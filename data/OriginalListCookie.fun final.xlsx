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PSB Coursework\Social Network Analysis\Projet\Original Dataset\"/>
    </mc:Choice>
  </mc:AlternateContent>
  <xr:revisionPtr revIDLastSave="0" documentId="8_{37FD4F8A-FFB3-4C0D-997E-F09910BB1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s" sheetId="1" r:id="rId1"/>
    <sheet name="Feuille 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3" i="2" l="1"/>
  <c r="N242" i="2"/>
  <c r="L242" i="2"/>
  <c r="Q241" i="2"/>
  <c r="N241" i="2"/>
  <c r="L241" i="2"/>
  <c r="Q240" i="2"/>
  <c r="Q239" i="2"/>
  <c r="N239" i="2"/>
  <c r="L239" i="2"/>
  <c r="U237" i="2"/>
  <c r="Q237" i="2"/>
  <c r="U236" i="2"/>
  <c r="Q236" i="2"/>
  <c r="N236" i="2"/>
  <c r="L236" i="2"/>
  <c r="Q235" i="2"/>
  <c r="Q234" i="2"/>
  <c r="U232" i="2"/>
  <c r="Q232" i="2"/>
  <c r="N232" i="2"/>
  <c r="L232" i="2"/>
  <c r="U231" i="2"/>
  <c r="Q231" i="2"/>
  <c r="N231" i="2"/>
  <c r="Q230" i="2"/>
  <c r="U229" i="2"/>
  <c r="Q229" i="2"/>
  <c r="N229" i="2"/>
  <c r="L229" i="2"/>
  <c r="U228" i="2"/>
  <c r="Q228" i="2"/>
  <c r="N228" i="2"/>
  <c r="L228" i="2"/>
  <c r="U227" i="2"/>
  <c r="Q227" i="2"/>
  <c r="N227" i="2"/>
  <c r="L227" i="2"/>
  <c r="Q226" i="2"/>
  <c r="N226" i="2"/>
  <c r="U225" i="2"/>
  <c r="Q225" i="2"/>
  <c r="N225" i="2"/>
  <c r="L225" i="2"/>
  <c r="N224" i="2"/>
  <c r="U223" i="2"/>
  <c r="Q223" i="2"/>
  <c r="N223" i="2"/>
  <c r="L223" i="2"/>
  <c r="Q222" i="2"/>
  <c r="Q221" i="2"/>
  <c r="Q220" i="2"/>
  <c r="U219" i="2"/>
  <c r="Q219" i="2"/>
  <c r="Q217" i="2"/>
  <c r="I217" i="2"/>
  <c r="N214" i="2"/>
  <c r="L214" i="2"/>
  <c r="Q213" i="2"/>
  <c r="U212" i="2"/>
  <c r="Q212" i="2"/>
  <c r="U211" i="2"/>
  <c r="Q211" i="2"/>
  <c r="Q210" i="2"/>
  <c r="N210" i="2"/>
  <c r="L210" i="2"/>
  <c r="U209" i="2"/>
  <c r="Q209" i="2"/>
  <c r="N209" i="2"/>
  <c r="L209" i="2"/>
  <c r="Q208" i="2"/>
  <c r="U207" i="2"/>
  <c r="Q207" i="2"/>
  <c r="N207" i="2"/>
  <c r="L207" i="2"/>
  <c r="Q206" i="2"/>
  <c r="Q205" i="2"/>
  <c r="Q204" i="2"/>
  <c r="N204" i="2"/>
  <c r="L204" i="2"/>
  <c r="N203" i="2"/>
  <c r="L203" i="2"/>
  <c r="U202" i="2"/>
  <c r="Q202" i="2"/>
  <c r="N202" i="2"/>
  <c r="L202" i="2"/>
  <c r="Q200" i="2"/>
  <c r="U199" i="2"/>
  <c r="Q199" i="2"/>
  <c r="U198" i="2"/>
  <c r="Q198" i="2"/>
  <c r="N198" i="2"/>
  <c r="U197" i="2"/>
  <c r="Q197" i="2"/>
  <c r="N197" i="2"/>
  <c r="Q196" i="2"/>
  <c r="N196" i="2"/>
  <c r="L196" i="2"/>
  <c r="Q195" i="2"/>
  <c r="U194" i="2"/>
  <c r="Q194" i="2"/>
  <c r="N194" i="2"/>
  <c r="L194" i="2"/>
  <c r="U193" i="2"/>
  <c r="Q193" i="2"/>
  <c r="N193" i="2"/>
  <c r="L193" i="2"/>
  <c r="U192" i="2"/>
  <c r="Q192" i="2"/>
  <c r="U191" i="2"/>
  <c r="Q191" i="2"/>
  <c r="Q190" i="2"/>
  <c r="U189" i="2"/>
  <c r="Q189" i="2"/>
  <c r="Q188" i="2"/>
  <c r="U187" i="2"/>
  <c r="Q187" i="2"/>
  <c r="U186" i="2"/>
  <c r="Q186" i="2"/>
  <c r="N186" i="2"/>
  <c r="L186" i="2"/>
  <c r="U184" i="2"/>
  <c r="Q184" i="2"/>
  <c r="N184" i="2"/>
  <c r="L184" i="2"/>
  <c r="Q183" i="2"/>
  <c r="U181" i="2"/>
  <c r="Q181" i="2"/>
  <c r="N181" i="2"/>
  <c r="L181" i="2"/>
  <c r="U180" i="2"/>
  <c r="Q180" i="2"/>
  <c r="N180" i="2"/>
  <c r="L180" i="2"/>
  <c r="N179" i="2"/>
  <c r="L179" i="2"/>
  <c r="U178" i="2"/>
  <c r="Q178" i="2"/>
  <c r="Q177" i="2"/>
  <c r="Q174" i="2"/>
  <c r="U173" i="2"/>
  <c r="Q173" i="2"/>
  <c r="N172" i="2"/>
  <c r="L172" i="2"/>
  <c r="U171" i="2"/>
  <c r="Q171" i="2"/>
  <c r="N171" i="2"/>
  <c r="L171" i="2"/>
  <c r="Q170" i="2"/>
  <c r="I170" i="2"/>
  <c r="U169" i="2"/>
  <c r="Q169" i="2"/>
  <c r="N169" i="2"/>
  <c r="L169" i="2"/>
  <c r="N168" i="2"/>
  <c r="L168" i="2"/>
  <c r="Q167" i="2"/>
  <c r="N167" i="2"/>
  <c r="Q166" i="2"/>
  <c r="U165" i="2"/>
  <c r="Q165" i="2"/>
  <c r="Q164" i="2"/>
  <c r="N164" i="2"/>
  <c r="L164" i="2"/>
  <c r="N163" i="2"/>
  <c r="L163" i="2"/>
  <c r="Q162" i="2"/>
  <c r="N162" i="2"/>
  <c r="L162" i="2"/>
  <c r="U161" i="2"/>
  <c r="Q161" i="2"/>
  <c r="N161" i="2"/>
  <c r="L161" i="2"/>
  <c r="Q160" i="2"/>
  <c r="Q159" i="2"/>
  <c r="N159" i="2"/>
  <c r="L159" i="2"/>
  <c r="U158" i="2"/>
  <c r="Q158" i="2"/>
  <c r="U157" i="2"/>
  <c r="Q157" i="2"/>
  <c r="N157" i="2"/>
  <c r="L157" i="2"/>
  <c r="Q156" i="2"/>
  <c r="Q154" i="2"/>
  <c r="N154" i="2"/>
  <c r="Q153" i="2"/>
  <c r="N153" i="2"/>
  <c r="U152" i="2"/>
  <c r="Q152" i="2"/>
  <c r="N152" i="2"/>
  <c r="L152" i="2"/>
  <c r="Q151" i="2"/>
  <c r="Q150" i="2"/>
  <c r="U149" i="2"/>
  <c r="Q149" i="2"/>
  <c r="Q147" i="2"/>
  <c r="N147" i="2"/>
  <c r="L147" i="2"/>
  <c r="Q146" i="2"/>
  <c r="Q145" i="2"/>
  <c r="U144" i="2"/>
  <c r="Q144" i="2"/>
  <c r="Q143" i="2"/>
  <c r="U141" i="2"/>
  <c r="Q141" i="2"/>
  <c r="N141" i="2"/>
  <c r="L141" i="2"/>
  <c r="Q140" i="2"/>
  <c r="N140" i="2"/>
  <c r="L140" i="2"/>
  <c r="U138" i="2"/>
  <c r="Q138" i="2"/>
  <c r="N138" i="2"/>
  <c r="L138" i="2"/>
  <c r="U137" i="2"/>
  <c r="Q137" i="2"/>
  <c r="N137" i="2"/>
  <c r="L137" i="2"/>
  <c r="U136" i="2"/>
  <c r="Q136" i="2"/>
  <c r="N136" i="2"/>
  <c r="L136" i="2"/>
  <c r="U135" i="2"/>
  <c r="Q135" i="2"/>
  <c r="N135" i="2"/>
  <c r="L135" i="2"/>
  <c r="Q133" i="2"/>
  <c r="Q132" i="2"/>
  <c r="U131" i="2"/>
  <c r="Q131" i="2"/>
  <c r="N131" i="2"/>
  <c r="L131" i="2"/>
  <c r="U130" i="2"/>
  <c r="Q130" i="2"/>
  <c r="N130" i="2"/>
  <c r="L130" i="2"/>
  <c r="Q129" i="2"/>
  <c r="U128" i="2"/>
  <c r="Q128" i="2"/>
  <c r="N128" i="2"/>
  <c r="L128" i="2"/>
  <c r="I128" i="2"/>
  <c r="Q127" i="2"/>
  <c r="I127" i="2"/>
  <c r="U126" i="2"/>
  <c r="Q126" i="2"/>
  <c r="N126" i="2"/>
  <c r="L126" i="2"/>
  <c r="I126" i="2"/>
  <c r="Q125" i="2"/>
  <c r="Q123" i="2"/>
  <c r="N123" i="2"/>
  <c r="L123" i="2"/>
  <c r="U122" i="2"/>
  <c r="Q122" i="2"/>
  <c r="U121" i="2"/>
  <c r="Q121" i="2"/>
  <c r="U120" i="2"/>
  <c r="Q120" i="2"/>
  <c r="N120" i="2"/>
  <c r="U119" i="2"/>
  <c r="Q119" i="2"/>
  <c r="N119" i="2"/>
  <c r="L119" i="2"/>
  <c r="I119" i="2"/>
  <c r="U118" i="2"/>
  <c r="Q118" i="2"/>
  <c r="U117" i="2"/>
  <c r="Q117" i="2"/>
  <c r="U116" i="2"/>
  <c r="Q116" i="2"/>
  <c r="N116" i="2"/>
  <c r="L116" i="2"/>
  <c r="Q115" i="2"/>
  <c r="N115" i="2"/>
  <c r="L115" i="2"/>
  <c r="Q112" i="2"/>
  <c r="N112" i="2"/>
  <c r="L112" i="2"/>
  <c r="U111" i="2"/>
  <c r="Q111" i="2"/>
  <c r="N111" i="2"/>
  <c r="L111" i="2"/>
  <c r="U110" i="2"/>
  <c r="Q110" i="2"/>
  <c r="U109" i="2"/>
  <c r="Q109" i="2"/>
  <c r="N109" i="2"/>
  <c r="L109" i="2"/>
  <c r="U108" i="2"/>
  <c r="Q108" i="2"/>
  <c r="U107" i="2"/>
  <c r="Q107" i="2"/>
  <c r="N107" i="2"/>
  <c r="L107" i="2"/>
  <c r="I107" i="2"/>
  <c r="U106" i="2"/>
  <c r="Q106" i="2"/>
  <c r="U105" i="2"/>
  <c r="Q105" i="2"/>
  <c r="N105" i="2"/>
  <c r="L105" i="2"/>
  <c r="U104" i="2"/>
  <c r="Q104" i="2"/>
  <c r="Q102" i="2"/>
  <c r="U101" i="2"/>
  <c r="Q101" i="2"/>
  <c r="N101" i="2"/>
  <c r="L101" i="2"/>
  <c r="U100" i="2"/>
  <c r="Q100" i="2"/>
  <c r="Q99" i="2"/>
  <c r="N99" i="2"/>
  <c r="L99" i="2"/>
  <c r="Q98" i="2"/>
  <c r="U97" i="2"/>
  <c r="Q97" i="2"/>
  <c r="Q96" i="2"/>
  <c r="U95" i="2"/>
  <c r="Q95" i="2"/>
  <c r="N95" i="2"/>
  <c r="L95" i="2"/>
  <c r="U94" i="2"/>
  <c r="Q94" i="2"/>
  <c r="U93" i="2"/>
  <c r="Q93" i="2"/>
  <c r="U92" i="2"/>
  <c r="Q92" i="2"/>
  <c r="Q91" i="2"/>
  <c r="U90" i="2"/>
  <c r="Q90" i="2"/>
  <c r="N90" i="2"/>
  <c r="L90" i="2"/>
  <c r="U89" i="2"/>
  <c r="Q89" i="2"/>
  <c r="N89" i="2"/>
  <c r="L89" i="2"/>
  <c r="Q87" i="2"/>
  <c r="I87" i="2"/>
  <c r="U86" i="2"/>
  <c r="Q86" i="2"/>
  <c r="N85" i="2"/>
  <c r="L85" i="2"/>
  <c r="U83" i="2"/>
  <c r="Q83" i="2"/>
  <c r="U80" i="2"/>
  <c r="Q80" i="2"/>
  <c r="N79" i="2"/>
  <c r="Q78" i="2"/>
  <c r="N78" i="2"/>
  <c r="L78" i="2"/>
  <c r="Q77" i="2"/>
  <c r="N76" i="2"/>
  <c r="L76" i="2"/>
  <c r="U75" i="2"/>
  <c r="Q75" i="2"/>
  <c r="N75" i="2"/>
  <c r="L75" i="2"/>
  <c r="U74" i="2"/>
  <c r="Q74" i="2"/>
  <c r="N74" i="2"/>
  <c r="L74" i="2"/>
  <c r="Q73" i="2"/>
  <c r="U72" i="2"/>
  <c r="Q72" i="2"/>
  <c r="N72" i="2"/>
  <c r="L72" i="2"/>
  <c r="U71" i="2"/>
  <c r="Q71" i="2"/>
  <c r="U70" i="2"/>
  <c r="Q70" i="2"/>
  <c r="N70" i="2"/>
  <c r="L70" i="2"/>
  <c r="Q69" i="2"/>
  <c r="N69" i="2"/>
  <c r="L69" i="2"/>
  <c r="Q68" i="2"/>
  <c r="Q67" i="2"/>
  <c r="U66" i="2"/>
  <c r="Q66" i="2"/>
  <c r="N66" i="2"/>
  <c r="L66" i="2"/>
  <c r="U65" i="2"/>
  <c r="Q65" i="2"/>
  <c r="N65" i="2"/>
  <c r="L65" i="2"/>
  <c r="Q64" i="2"/>
  <c r="U63" i="2"/>
  <c r="Q63" i="2"/>
  <c r="N63" i="2"/>
  <c r="L63" i="2"/>
  <c r="Q62" i="2"/>
  <c r="U61" i="2"/>
  <c r="Q61" i="2"/>
  <c r="U60" i="2"/>
  <c r="Q60" i="2"/>
  <c r="N60" i="2"/>
  <c r="L60" i="2"/>
  <c r="Q59" i="2"/>
  <c r="Q58" i="2"/>
  <c r="N58" i="2"/>
  <c r="L58" i="2"/>
  <c r="U57" i="2"/>
  <c r="Q57" i="2"/>
  <c r="N57" i="2"/>
  <c r="L57" i="2"/>
  <c r="U56" i="2"/>
  <c r="Q56" i="2"/>
  <c r="N56" i="2"/>
  <c r="L56" i="2"/>
  <c r="U55" i="2"/>
  <c r="Q55" i="2"/>
  <c r="N55" i="2"/>
  <c r="Q54" i="2"/>
  <c r="N54" i="2"/>
  <c r="L54" i="2"/>
  <c r="Q53" i="2"/>
  <c r="Q51" i="2"/>
  <c r="Q50" i="2"/>
  <c r="Q49" i="2"/>
  <c r="N49" i="2"/>
  <c r="L49" i="2"/>
  <c r="U48" i="2"/>
  <c r="Q48" i="2"/>
  <c r="N48" i="2"/>
  <c r="L48" i="2"/>
  <c r="I48" i="2"/>
  <c r="Q47" i="2"/>
  <c r="Q46" i="2"/>
  <c r="U45" i="2"/>
  <c r="Q45" i="2"/>
  <c r="U44" i="2"/>
  <c r="Q44" i="2"/>
  <c r="N44" i="2"/>
  <c r="L44" i="2"/>
  <c r="U43" i="2"/>
  <c r="Q43" i="2"/>
  <c r="U42" i="2"/>
  <c r="Q42" i="2"/>
  <c r="N42" i="2"/>
  <c r="L42" i="2"/>
  <c r="U41" i="2"/>
  <c r="Q41" i="2"/>
  <c r="I41" i="2"/>
  <c r="Q40" i="2"/>
  <c r="Q39" i="2"/>
  <c r="N39" i="2"/>
  <c r="L39" i="2"/>
  <c r="U38" i="2"/>
  <c r="Q38" i="2"/>
  <c r="N38" i="2"/>
  <c r="L38" i="2"/>
  <c r="U37" i="2"/>
  <c r="Q37" i="2"/>
  <c r="N37" i="2"/>
  <c r="L37" i="2"/>
  <c r="U36" i="2"/>
  <c r="Q36" i="2"/>
  <c r="N36" i="2"/>
  <c r="L36" i="2"/>
  <c r="U35" i="2"/>
  <c r="Q35" i="2"/>
  <c r="N35" i="2"/>
  <c r="L35" i="2"/>
  <c r="Q34" i="2"/>
  <c r="Q33" i="2"/>
  <c r="Q32" i="2"/>
  <c r="Q31" i="2"/>
  <c r="N31" i="2"/>
  <c r="L31" i="2"/>
  <c r="Q30" i="2"/>
  <c r="N30" i="2"/>
  <c r="L30" i="2"/>
  <c r="Q29" i="2"/>
  <c r="U28" i="2"/>
  <c r="Q28" i="2"/>
  <c r="N28" i="2"/>
  <c r="L28" i="2"/>
  <c r="U27" i="2"/>
  <c r="Q27" i="2"/>
  <c r="N27" i="2"/>
  <c r="L27" i="2"/>
  <c r="I27" i="2"/>
  <c r="U26" i="2"/>
  <c r="Q26" i="2"/>
  <c r="N26" i="2"/>
  <c r="L26" i="2"/>
  <c r="Q25" i="2"/>
  <c r="U24" i="2"/>
  <c r="Q24" i="2"/>
  <c r="N24" i="2"/>
  <c r="L24" i="2"/>
  <c r="Q23" i="2"/>
  <c r="N23" i="2"/>
  <c r="L23" i="2"/>
  <c r="U22" i="2"/>
  <c r="Q22" i="2"/>
  <c r="Q21" i="2"/>
  <c r="N21" i="2"/>
  <c r="L21" i="2"/>
  <c r="U20" i="2"/>
  <c r="Q20" i="2"/>
  <c r="N20" i="2"/>
  <c r="L20" i="2"/>
  <c r="U19" i="2"/>
  <c r="Q19" i="2"/>
  <c r="U18" i="2"/>
  <c r="Q18" i="2"/>
  <c r="N18" i="2"/>
  <c r="L18" i="2"/>
  <c r="U17" i="2"/>
  <c r="Q17" i="2"/>
  <c r="Q16" i="2"/>
  <c r="N16" i="2"/>
  <c r="L16" i="2"/>
  <c r="U15" i="2"/>
  <c r="Q15" i="2"/>
  <c r="Q14" i="2"/>
  <c r="U13" i="2"/>
  <c r="Q13" i="2"/>
  <c r="N13" i="2"/>
  <c r="L13" i="2"/>
  <c r="U11" i="2"/>
  <c r="Q11" i="2"/>
  <c r="U10" i="2"/>
  <c r="Q10" i="2"/>
  <c r="N10" i="2"/>
  <c r="L10" i="2"/>
  <c r="I10" i="2"/>
  <c r="U9" i="2"/>
  <c r="Q9" i="2"/>
  <c r="N9" i="2"/>
  <c r="U8" i="2"/>
  <c r="Q8" i="2"/>
  <c r="U7" i="2"/>
  <c r="Q7" i="2"/>
  <c r="U6" i="2"/>
  <c r="Q6" i="2"/>
  <c r="N6" i="2"/>
  <c r="L6" i="2"/>
  <c r="I6" i="2"/>
  <c r="U5" i="2"/>
  <c r="Q5" i="2"/>
  <c r="N5" i="2"/>
  <c r="L5" i="2"/>
  <c r="Q4" i="2"/>
  <c r="N4" i="2"/>
  <c r="L4" i="2"/>
  <c r="Q3" i="2"/>
  <c r="N3" i="2"/>
  <c r="L3" i="2"/>
  <c r="U2" i="2"/>
  <c r="Q2" i="2"/>
  <c r="N2" i="2"/>
  <c r="L2" i="2"/>
  <c r="Q1001" i="1"/>
  <c r="N1000" i="1"/>
  <c r="L1000" i="1"/>
  <c r="Q999" i="1"/>
  <c r="N999" i="1"/>
  <c r="L999" i="1"/>
  <c r="Q998" i="1"/>
  <c r="Q997" i="1"/>
  <c r="N997" i="1"/>
  <c r="L997" i="1"/>
  <c r="U995" i="1"/>
  <c r="Q995" i="1"/>
  <c r="U994" i="1"/>
  <c r="Q994" i="1"/>
  <c r="N994" i="1"/>
  <c r="L994" i="1"/>
  <c r="Q993" i="1"/>
  <c r="Q992" i="1"/>
  <c r="U990" i="1"/>
  <c r="Q990" i="1"/>
  <c r="N990" i="1"/>
  <c r="L990" i="1"/>
  <c r="U989" i="1"/>
  <c r="Q989" i="1"/>
  <c r="N989" i="1"/>
  <c r="Q988" i="1"/>
  <c r="U987" i="1"/>
  <c r="Q987" i="1"/>
  <c r="N987" i="1"/>
  <c r="L987" i="1"/>
  <c r="U986" i="1"/>
  <c r="Q986" i="1"/>
  <c r="N986" i="1"/>
  <c r="L986" i="1"/>
  <c r="U985" i="1"/>
  <c r="Q985" i="1"/>
  <c r="N985" i="1"/>
  <c r="L985" i="1"/>
  <c r="Q984" i="1"/>
  <c r="N984" i="1"/>
  <c r="U983" i="1"/>
  <c r="Q983" i="1"/>
  <c r="N983" i="1"/>
  <c r="L983" i="1"/>
  <c r="N982" i="1"/>
  <c r="U981" i="1"/>
  <c r="Q981" i="1"/>
  <c r="N981" i="1"/>
  <c r="L981" i="1"/>
  <c r="Q980" i="1"/>
  <c r="Q979" i="1"/>
  <c r="Q978" i="1"/>
  <c r="U977" i="1"/>
  <c r="Q977" i="1"/>
  <c r="Q975" i="1"/>
  <c r="I975" i="1"/>
  <c r="N972" i="1"/>
  <c r="L972" i="1"/>
  <c r="Q971" i="1"/>
  <c r="U970" i="1"/>
  <c r="Q970" i="1"/>
  <c r="U969" i="1"/>
  <c r="Q969" i="1"/>
  <c r="Q968" i="1"/>
  <c r="N968" i="1"/>
  <c r="L968" i="1"/>
  <c r="U967" i="1"/>
  <c r="Q967" i="1"/>
  <c r="N967" i="1"/>
  <c r="L967" i="1"/>
  <c r="Q966" i="1"/>
  <c r="U965" i="1"/>
  <c r="Q965" i="1"/>
  <c r="N965" i="1"/>
  <c r="L965" i="1"/>
  <c r="Q964" i="1"/>
  <c r="Q963" i="1"/>
  <c r="Q962" i="1"/>
  <c r="N962" i="1"/>
  <c r="L962" i="1"/>
  <c r="N961" i="1"/>
  <c r="L961" i="1"/>
  <c r="U960" i="1"/>
  <c r="Q960" i="1"/>
  <c r="N960" i="1"/>
  <c r="L960" i="1"/>
  <c r="Q958" i="1"/>
  <c r="U957" i="1"/>
  <c r="Q957" i="1"/>
  <c r="U956" i="1"/>
  <c r="Q956" i="1"/>
  <c r="N956" i="1"/>
  <c r="U955" i="1"/>
  <c r="Q955" i="1"/>
  <c r="N955" i="1"/>
  <c r="Q954" i="1"/>
  <c r="N954" i="1"/>
  <c r="L954" i="1"/>
  <c r="Q953" i="1"/>
  <c r="U952" i="1"/>
  <c r="Q952" i="1"/>
  <c r="N952" i="1"/>
  <c r="L952" i="1"/>
  <c r="U951" i="1"/>
  <c r="Q951" i="1"/>
  <c r="N951" i="1"/>
  <c r="L951" i="1"/>
  <c r="U950" i="1"/>
  <c r="Q950" i="1"/>
  <c r="U949" i="1"/>
  <c r="Q949" i="1"/>
  <c r="Q948" i="1"/>
  <c r="U947" i="1"/>
  <c r="Q947" i="1"/>
  <c r="Q946" i="1"/>
  <c r="U945" i="1"/>
  <c r="Q945" i="1"/>
  <c r="U944" i="1"/>
  <c r="Q944" i="1"/>
  <c r="N944" i="1"/>
  <c r="L944" i="1"/>
  <c r="U942" i="1"/>
  <c r="Q942" i="1"/>
  <c r="N942" i="1"/>
  <c r="L942" i="1"/>
  <c r="Q941" i="1"/>
  <c r="U939" i="1"/>
  <c r="Q939" i="1"/>
  <c r="N939" i="1"/>
  <c r="L939" i="1"/>
  <c r="U938" i="1"/>
  <c r="Q938" i="1"/>
  <c r="N938" i="1"/>
  <c r="L938" i="1"/>
  <c r="N937" i="1"/>
  <c r="L937" i="1"/>
  <c r="U936" i="1"/>
  <c r="Q936" i="1"/>
  <c r="Q935" i="1"/>
  <c r="Q932" i="1"/>
  <c r="U931" i="1"/>
  <c r="Q931" i="1"/>
  <c r="N930" i="1"/>
  <c r="L930" i="1"/>
  <c r="U929" i="1"/>
  <c r="Q929" i="1"/>
  <c r="N929" i="1"/>
  <c r="L929" i="1"/>
  <c r="Q928" i="1"/>
  <c r="I928" i="1"/>
  <c r="U927" i="1"/>
  <c r="Q927" i="1"/>
  <c r="N927" i="1"/>
  <c r="L927" i="1"/>
  <c r="N926" i="1"/>
  <c r="L926" i="1"/>
  <c r="Q925" i="1"/>
  <c r="N925" i="1"/>
  <c r="Q924" i="1"/>
  <c r="U923" i="1"/>
  <c r="Q923" i="1"/>
  <c r="Q922" i="1"/>
  <c r="N922" i="1"/>
  <c r="L922" i="1"/>
  <c r="N921" i="1"/>
  <c r="L921" i="1"/>
  <c r="Q920" i="1"/>
  <c r="N920" i="1"/>
  <c r="L920" i="1"/>
  <c r="U919" i="1"/>
  <c r="Q919" i="1"/>
  <c r="N919" i="1"/>
  <c r="L919" i="1"/>
  <c r="Q918" i="1"/>
  <c r="Q917" i="1"/>
  <c r="N917" i="1"/>
  <c r="L917" i="1"/>
  <c r="U916" i="1"/>
  <c r="Q916" i="1"/>
  <c r="U915" i="1"/>
  <c r="Q915" i="1"/>
  <c r="N915" i="1"/>
  <c r="L915" i="1"/>
  <c r="Q914" i="1"/>
  <c r="Q912" i="1"/>
  <c r="N912" i="1"/>
  <c r="Q911" i="1"/>
  <c r="N911" i="1"/>
  <c r="U910" i="1"/>
  <c r="Q910" i="1"/>
  <c r="N910" i="1"/>
  <c r="L910" i="1"/>
  <c r="Q909" i="1"/>
  <c r="Q908" i="1"/>
  <c r="U907" i="1"/>
  <c r="Q907" i="1"/>
  <c r="Q905" i="1"/>
  <c r="N905" i="1"/>
  <c r="L905" i="1"/>
  <c r="Q904" i="1"/>
  <c r="Q903" i="1"/>
  <c r="U902" i="1"/>
  <c r="Q902" i="1"/>
  <c r="Q901" i="1"/>
  <c r="U899" i="1"/>
  <c r="Q899" i="1"/>
  <c r="N899" i="1"/>
  <c r="L899" i="1"/>
  <c r="Q898" i="1"/>
  <c r="N898" i="1"/>
  <c r="L898" i="1"/>
  <c r="U896" i="1"/>
  <c r="Q896" i="1"/>
  <c r="N896" i="1"/>
  <c r="L896" i="1"/>
  <c r="U895" i="1"/>
  <c r="Q895" i="1"/>
  <c r="N895" i="1"/>
  <c r="L895" i="1"/>
  <c r="U894" i="1"/>
  <c r="Q894" i="1"/>
  <c r="N894" i="1"/>
  <c r="L894" i="1"/>
  <c r="U893" i="1"/>
  <c r="Q893" i="1"/>
  <c r="N893" i="1"/>
  <c r="L893" i="1"/>
  <c r="Q891" i="1"/>
  <c r="Q890" i="1"/>
  <c r="U889" i="1"/>
  <c r="Q889" i="1"/>
  <c r="N889" i="1"/>
  <c r="L889" i="1"/>
  <c r="U888" i="1"/>
  <c r="Q888" i="1"/>
  <c r="N888" i="1"/>
  <c r="L888" i="1"/>
  <c r="Q887" i="1"/>
  <c r="U886" i="1"/>
  <c r="Q886" i="1"/>
  <c r="N886" i="1"/>
  <c r="L886" i="1"/>
  <c r="I886" i="1"/>
  <c r="Q885" i="1"/>
  <c r="I885" i="1"/>
  <c r="U884" i="1"/>
  <c r="Q884" i="1"/>
  <c r="N884" i="1"/>
  <c r="L884" i="1"/>
  <c r="I884" i="1"/>
  <c r="Q883" i="1"/>
  <c r="Q881" i="1"/>
  <c r="N881" i="1"/>
  <c r="L881" i="1"/>
  <c r="U880" i="1"/>
  <c r="Q880" i="1"/>
  <c r="U879" i="1"/>
  <c r="Q879" i="1"/>
  <c r="U878" i="1"/>
  <c r="Q878" i="1"/>
  <c r="N878" i="1"/>
  <c r="U877" i="1"/>
  <c r="Q877" i="1"/>
  <c r="N877" i="1"/>
  <c r="L877" i="1"/>
  <c r="I877" i="1"/>
  <c r="U876" i="1"/>
  <c r="Q876" i="1"/>
  <c r="U875" i="1"/>
  <c r="Q875" i="1"/>
  <c r="U874" i="1"/>
  <c r="Q874" i="1"/>
  <c r="N874" i="1"/>
  <c r="L874" i="1"/>
  <c r="Q873" i="1"/>
  <c r="N873" i="1"/>
  <c r="L873" i="1"/>
  <c r="Q870" i="1"/>
  <c r="N870" i="1"/>
  <c r="L870" i="1"/>
  <c r="U869" i="1"/>
  <c r="Q869" i="1"/>
  <c r="N869" i="1"/>
  <c r="L869" i="1"/>
  <c r="U868" i="1"/>
  <c r="Q868" i="1"/>
  <c r="U867" i="1"/>
  <c r="Q867" i="1"/>
  <c r="N867" i="1"/>
  <c r="L867" i="1"/>
  <c r="U866" i="1"/>
  <c r="Q866" i="1"/>
  <c r="U865" i="1"/>
  <c r="Q865" i="1"/>
  <c r="N865" i="1"/>
  <c r="L865" i="1"/>
  <c r="I865" i="1"/>
  <c r="U864" i="1"/>
  <c r="Q864" i="1"/>
  <c r="U863" i="1"/>
  <c r="Q863" i="1"/>
  <c r="N863" i="1"/>
  <c r="L863" i="1"/>
  <c r="U862" i="1"/>
  <c r="Q862" i="1"/>
  <c r="Q860" i="1"/>
  <c r="U859" i="1"/>
  <c r="Q859" i="1"/>
  <c r="N859" i="1"/>
  <c r="L859" i="1"/>
  <c r="U858" i="1"/>
  <c r="Q858" i="1"/>
  <c r="Q857" i="1"/>
  <c r="N857" i="1"/>
  <c r="L857" i="1"/>
  <c r="Q856" i="1"/>
  <c r="U855" i="1"/>
  <c r="Q855" i="1"/>
  <c r="Q854" i="1"/>
  <c r="U853" i="1"/>
  <c r="Q853" i="1"/>
  <c r="N853" i="1"/>
  <c r="L853" i="1"/>
  <c r="U852" i="1"/>
  <c r="Q852" i="1"/>
  <c r="U851" i="1"/>
  <c r="Q851" i="1"/>
  <c r="U850" i="1"/>
  <c r="Q850" i="1"/>
  <c r="Q849" i="1"/>
  <c r="U848" i="1"/>
  <c r="Q848" i="1"/>
  <c r="N848" i="1"/>
  <c r="L848" i="1"/>
  <c r="U847" i="1"/>
  <c r="Q847" i="1"/>
  <c r="N847" i="1"/>
  <c r="L847" i="1"/>
  <c r="Q845" i="1"/>
  <c r="I845" i="1"/>
  <c r="U844" i="1"/>
  <c r="Q844" i="1"/>
  <c r="N843" i="1"/>
  <c r="L843" i="1"/>
  <c r="U841" i="1"/>
  <c r="Q841" i="1"/>
  <c r="U838" i="1"/>
  <c r="Q838" i="1"/>
  <c r="N837" i="1"/>
  <c r="Q836" i="1"/>
  <c r="N836" i="1"/>
  <c r="L836" i="1"/>
  <c r="Q835" i="1"/>
  <c r="N834" i="1"/>
  <c r="L834" i="1"/>
  <c r="U833" i="1"/>
  <c r="Q833" i="1"/>
  <c r="N833" i="1"/>
  <c r="L833" i="1"/>
  <c r="U832" i="1"/>
  <c r="Q832" i="1"/>
  <c r="N832" i="1"/>
  <c r="L832" i="1"/>
  <c r="Q831" i="1"/>
  <c r="U830" i="1"/>
  <c r="Q830" i="1"/>
  <c r="N830" i="1"/>
  <c r="L830" i="1"/>
  <c r="U829" i="1"/>
  <c r="Q829" i="1"/>
  <c r="U828" i="1"/>
  <c r="Q828" i="1"/>
  <c r="N828" i="1"/>
  <c r="L828" i="1"/>
  <c r="Q827" i="1"/>
  <c r="N827" i="1"/>
  <c r="L827" i="1"/>
  <c r="Q826" i="1"/>
  <c r="Q825" i="1"/>
  <c r="U824" i="1"/>
  <c r="Q824" i="1"/>
  <c r="N824" i="1"/>
  <c r="L824" i="1"/>
  <c r="U823" i="1"/>
  <c r="Q823" i="1"/>
  <c r="N823" i="1"/>
  <c r="L823" i="1"/>
  <c r="Q822" i="1"/>
  <c r="U821" i="1"/>
  <c r="Q821" i="1"/>
  <c r="N821" i="1"/>
  <c r="L821" i="1"/>
  <c r="Q820" i="1"/>
  <c r="U819" i="1"/>
  <c r="Q819" i="1"/>
  <c r="U818" i="1"/>
  <c r="Q818" i="1"/>
  <c r="N818" i="1"/>
  <c r="L818" i="1"/>
  <c r="Q817" i="1"/>
  <c r="Q816" i="1"/>
  <c r="N816" i="1"/>
  <c r="L816" i="1"/>
  <c r="U815" i="1"/>
  <c r="Q815" i="1"/>
  <c r="N815" i="1"/>
  <c r="L815" i="1"/>
  <c r="U814" i="1"/>
  <c r="Q814" i="1"/>
  <c r="N814" i="1"/>
  <c r="L814" i="1"/>
  <c r="U813" i="1"/>
  <c r="Q813" i="1"/>
  <c r="N813" i="1"/>
  <c r="Q812" i="1"/>
  <c r="N812" i="1"/>
  <c r="L812" i="1"/>
  <c r="Q811" i="1"/>
  <c r="Q809" i="1"/>
  <c r="Q808" i="1"/>
  <c r="Q807" i="1"/>
  <c r="N807" i="1"/>
  <c r="L807" i="1"/>
  <c r="U806" i="1"/>
  <c r="Q806" i="1"/>
  <c r="N806" i="1"/>
  <c r="L806" i="1"/>
  <c r="I806" i="1"/>
  <c r="Q805" i="1"/>
  <c r="Q804" i="1"/>
  <c r="U803" i="1"/>
  <c r="Q803" i="1"/>
  <c r="U802" i="1"/>
  <c r="Q802" i="1"/>
  <c r="N802" i="1"/>
  <c r="L802" i="1"/>
  <c r="U801" i="1"/>
  <c r="Q801" i="1"/>
  <c r="U800" i="1"/>
  <c r="Q800" i="1"/>
  <c r="N800" i="1"/>
  <c r="L800" i="1"/>
  <c r="U799" i="1"/>
  <c r="Q799" i="1"/>
  <c r="I799" i="1"/>
  <c r="Q798" i="1"/>
  <c r="Q797" i="1"/>
  <c r="N797" i="1"/>
  <c r="L797" i="1"/>
  <c r="U796" i="1"/>
  <c r="Q796" i="1"/>
  <c r="N796" i="1"/>
  <c r="L796" i="1"/>
  <c r="U795" i="1"/>
  <c r="Q795" i="1"/>
  <c r="N795" i="1"/>
  <c r="L795" i="1"/>
  <c r="U794" i="1"/>
  <c r="Q794" i="1"/>
  <c r="N794" i="1"/>
  <c r="L794" i="1"/>
  <c r="U793" i="1"/>
  <c r="Q793" i="1"/>
  <c r="N793" i="1"/>
  <c r="L793" i="1"/>
  <c r="Q792" i="1"/>
  <c r="Q791" i="1"/>
  <c r="Q790" i="1"/>
  <c r="Q789" i="1"/>
  <c r="N789" i="1"/>
  <c r="L789" i="1"/>
  <c r="Q788" i="1"/>
  <c r="N788" i="1"/>
  <c r="L788" i="1"/>
  <c r="Q787" i="1"/>
  <c r="U786" i="1"/>
  <c r="Q786" i="1"/>
  <c r="N786" i="1"/>
  <c r="L786" i="1"/>
  <c r="U785" i="1"/>
  <c r="Q785" i="1"/>
  <c r="N785" i="1"/>
  <c r="L785" i="1"/>
  <c r="I785" i="1"/>
  <c r="U784" i="1"/>
  <c r="Q784" i="1"/>
  <c r="N784" i="1"/>
  <c r="L784" i="1"/>
  <c r="Q783" i="1"/>
  <c r="U782" i="1"/>
  <c r="Q782" i="1"/>
  <c r="N782" i="1"/>
  <c r="L782" i="1"/>
  <c r="Q781" i="1"/>
  <c r="N781" i="1"/>
  <c r="L781" i="1"/>
  <c r="U780" i="1"/>
  <c r="Q780" i="1"/>
  <c r="Q779" i="1"/>
  <c r="N779" i="1"/>
  <c r="L779" i="1"/>
  <c r="U778" i="1"/>
  <c r="Q778" i="1"/>
  <c r="N778" i="1"/>
  <c r="L778" i="1"/>
  <c r="U777" i="1"/>
  <c r="Q777" i="1"/>
  <c r="U776" i="1"/>
  <c r="Q776" i="1"/>
  <c r="N776" i="1"/>
  <c r="L776" i="1"/>
  <c r="U775" i="1"/>
  <c r="Q775" i="1"/>
  <c r="Q774" i="1"/>
  <c r="N774" i="1"/>
  <c r="L774" i="1"/>
  <c r="U773" i="1"/>
  <c r="Q773" i="1"/>
  <c r="Q772" i="1"/>
  <c r="U771" i="1"/>
  <c r="Q771" i="1"/>
  <c r="N771" i="1"/>
  <c r="L771" i="1"/>
  <c r="U769" i="1"/>
  <c r="Q769" i="1"/>
  <c r="U768" i="1"/>
  <c r="Q768" i="1"/>
  <c r="N768" i="1"/>
  <c r="L768" i="1"/>
  <c r="I768" i="1"/>
  <c r="U767" i="1"/>
  <c r="Q767" i="1"/>
  <c r="N767" i="1"/>
  <c r="U766" i="1"/>
  <c r="Q766" i="1"/>
  <c r="U765" i="1"/>
  <c r="Q765" i="1"/>
  <c r="U764" i="1"/>
  <c r="Q764" i="1"/>
  <c r="N764" i="1"/>
  <c r="L764" i="1"/>
  <c r="I764" i="1"/>
  <c r="U763" i="1"/>
  <c r="Q763" i="1"/>
  <c r="N763" i="1"/>
  <c r="L763" i="1"/>
  <c r="Q762" i="1"/>
  <c r="N762" i="1"/>
  <c r="L762" i="1"/>
  <c r="Q761" i="1"/>
  <c r="N761" i="1"/>
  <c r="L761" i="1"/>
  <c r="U760" i="1"/>
  <c r="Q760" i="1"/>
  <c r="N760" i="1"/>
  <c r="L760" i="1"/>
  <c r="U759" i="1"/>
  <c r="U758" i="1"/>
  <c r="U757" i="1"/>
  <c r="N757" i="1"/>
  <c r="L757" i="1"/>
  <c r="U755" i="1"/>
  <c r="U754" i="1"/>
  <c r="N751" i="1"/>
  <c r="I735" i="1"/>
  <c r="I726" i="1"/>
  <c r="I725" i="1"/>
  <c r="I719" i="1"/>
  <c r="I715" i="1"/>
  <c r="I712" i="1"/>
  <c r="I711" i="1"/>
  <c r="U679" i="1"/>
  <c r="N679" i="1"/>
  <c r="L679" i="1"/>
  <c r="U676" i="1"/>
  <c r="U674" i="1"/>
  <c r="N669" i="1"/>
  <c r="L669" i="1"/>
  <c r="I668" i="1"/>
  <c r="U667" i="1"/>
  <c r="Q667" i="1"/>
  <c r="U652" i="1"/>
  <c r="I652" i="1"/>
  <c r="N650" i="1"/>
  <c r="L650" i="1"/>
  <c r="L649" i="1"/>
  <c r="U647" i="1"/>
  <c r="U646" i="1"/>
  <c r="U644" i="1"/>
  <c r="I644" i="1"/>
  <c r="U643" i="1"/>
  <c r="N643" i="1"/>
  <c r="L643" i="1"/>
  <c r="U641" i="1"/>
  <c r="U640" i="1"/>
  <c r="U639" i="1"/>
  <c r="N639" i="1"/>
  <c r="L639" i="1"/>
  <c r="U638" i="1"/>
  <c r="Q638" i="1"/>
  <c r="U636" i="1"/>
  <c r="U633" i="1"/>
  <c r="N633" i="1"/>
  <c r="L633" i="1"/>
  <c r="U631" i="1"/>
  <c r="U628" i="1"/>
  <c r="N628" i="1"/>
  <c r="L628" i="1"/>
  <c r="I628" i="1"/>
  <c r="U627" i="1"/>
  <c r="N623" i="1"/>
  <c r="U622" i="1"/>
  <c r="N622" i="1"/>
  <c r="L622" i="1"/>
  <c r="U620" i="1"/>
  <c r="I620" i="1"/>
  <c r="U618" i="1"/>
  <c r="U615" i="1"/>
  <c r="U614" i="1"/>
  <c r="U612" i="1"/>
  <c r="U611" i="1"/>
  <c r="N611" i="1"/>
  <c r="L611" i="1"/>
  <c r="U608" i="1"/>
  <c r="U607" i="1"/>
  <c r="N607" i="1"/>
  <c r="L607" i="1"/>
  <c r="Q606" i="1"/>
  <c r="U604" i="1"/>
  <c r="U603" i="1"/>
  <c r="N603" i="1"/>
  <c r="L603" i="1"/>
  <c r="I603" i="1"/>
  <c r="U599" i="1"/>
  <c r="Q599" i="1"/>
  <c r="U595" i="1"/>
  <c r="N595" i="1"/>
  <c r="L595" i="1"/>
  <c r="U594" i="1"/>
  <c r="U589" i="1"/>
  <c r="N589" i="1"/>
  <c r="L589" i="1"/>
  <c r="U584" i="1"/>
  <c r="N584" i="1"/>
  <c r="L584" i="1"/>
  <c r="U583" i="1"/>
  <c r="U582" i="1"/>
  <c r="U581" i="1"/>
  <c r="Q581" i="1"/>
  <c r="U580" i="1"/>
  <c r="Q579" i="1"/>
  <c r="U577" i="1"/>
  <c r="U573" i="1"/>
  <c r="U572" i="1"/>
  <c r="U568" i="1"/>
  <c r="U565" i="1"/>
  <c r="N565" i="1"/>
  <c r="L565" i="1"/>
  <c r="U564" i="1"/>
  <c r="U562" i="1"/>
  <c r="N562" i="1"/>
  <c r="L562" i="1"/>
  <c r="U561" i="1"/>
  <c r="U560" i="1"/>
  <c r="U558" i="1"/>
  <c r="U553" i="1"/>
  <c r="U552" i="1"/>
  <c r="U550" i="1"/>
  <c r="U542" i="1"/>
  <c r="U538" i="1"/>
  <c r="N537" i="1"/>
  <c r="U536" i="1"/>
  <c r="N536" i="1"/>
  <c r="L536" i="1"/>
  <c r="U535" i="1"/>
  <c r="U533" i="1"/>
  <c r="U525" i="1"/>
  <c r="U524" i="1"/>
  <c r="U523" i="1"/>
  <c r="U522" i="1"/>
  <c r="Q520" i="1"/>
  <c r="U519" i="1"/>
  <c r="U516" i="1"/>
  <c r="N516" i="1"/>
  <c r="L516" i="1"/>
  <c r="U515" i="1"/>
  <c r="U511" i="1"/>
  <c r="U504" i="1"/>
  <c r="U498" i="1"/>
  <c r="N498" i="1"/>
  <c r="L498" i="1"/>
  <c r="U493" i="1"/>
  <c r="U488" i="1"/>
  <c r="U485" i="1"/>
  <c r="N485" i="1"/>
  <c r="N483" i="1"/>
  <c r="L483" i="1"/>
  <c r="N482" i="1"/>
  <c r="U478" i="1"/>
  <c r="U477" i="1"/>
  <c r="U475" i="1"/>
  <c r="U473" i="1"/>
  <c r="U471" i="1"/>
  <c r="U466" i="1"/>
  <c r="N466" i="1"/>
  <c r="L466" i="1"/>
  <c r="N461" i="1"/>
  <c r="U460" i="1"/>
  <c r="U459" i="1"/>
  <c r="U454" i="1"/>
  <c r="N454" i="1"/>
  <c r="L454" i="1"/>
  <c r="U452" i="1"/>
  <c r="N452" i="1"/>
  <c r="L452" i="1"/>
  <c r="U450" i="1"/>
  <c r="U449" i="1"/>
  <c r="U445" i="1"/>
  <c r="U439" i="1"/>
  <c r="U438" i="1"/>
  <c r="N436" i="1"/>
  <c r="N434" i="1"/>
  <c r="L434" i="1"/>
  <c r="U429" i="1"/>
  <c r="N429" i="1"/>
  <c r="U427" i="1"/>
  <c r="U426" i="1"/>
  <c r="U425" i="1"/>
  <c r="N423" i="1"/>
  <c r="L423" i="1"/>
  <c r="U408" i="1"/>
  <c r="N408" i="1"/>
  <c r="U407" i="1"/>
  <c r="Q402" i="1"/>
  <c r="N399" i="1"/>
  <c r="U397" i="1"/>
  <c r="N397" i="1"/>
  <c r="U394" i="1"/>
  <c r="N382" i="1"/>
  <c r="L382" i="1"/>
  <c r="U377" i="1"/>
  <c r="N377" i="1"/>
  <c r="U374" i="1"/>
  <c r="N373" i="1"/>
  <c r="L373" i="1"/>
  <c r="U371" i="1"/>
  <c r="U368" i="1"/>
  <c r="U365" i="1"/>
  <c r="N365" i="1"/>
  <c r="L365" i="1"/>
  <c r="I365" i="1"/>
  <c r="N362" i="1"/>
  <c r="L362" i="1"/>
  <c r="U360" i="1"/>
  <c r="N360" i="1"/>
  <c r="L360" i="1"/>
  <c r="U358" i="1"/>
  <c r="N358" i="1"/>
  <c r="U356" i="1"/>
  <c r="U352" i="1"/>
  <c r="N352" i="1"/>
  <c r="L352" i="1"/>
  <c r="U344" i="1"/>
  <c r="N344" i="1"/>
  <c r="L344" i="1"/>
  <c r="U343" i="1"/>
  <c r="N343" i="1"/>
  <c r="L343" i="1"/>
  <c r="I343" i="1"/>
  <c r="N342" i="1"/>
  <c r="U340" i="1"/>
  <c r="U339" i="1"/>
  <c r="U338" i="1"/>
  <c r="N338" i="1"/>
  <c r="L338" i="1"/>
  <c r="N336" i="1"/>
  <c r="U332" i="1"/>
  <c r="N332" i="1"/>
  <c r="L332" i="1"/>
  <c r="U331" i="1"/>
  <c r="N331" i="1"/>
  <c r="L331" i="1"/>
  <c r="U330" i="1"/>
  <c r="U328" i="1"/>
  <c r="U325" i="1"/>
  <c r="U323" i="1"/>
  <c r="U322" i="1"/>
  <c r="U321" i="1"/>
  <c r="N319" i="1"/>
  <c r="L319" i="1"/>
  <c r="Q318" i="1"/>
  <c r="N318" i="1"/>
  <c r="L318" i="1"/>
  <c r="U317" i="1"/>
  <c r="Q316" i="1"/>
  <c r="U315" i="1"/>
  <c r="N315" i="1"/>
  <c r="L315" i="1"/>
  <c r="U312" i="1"/>
  <c r="Q310" i="1"/>
  <c r="N305" i="1"/>
  <c r="L305" i="1"/>
  <c r="U304" i="1"/>
  <c r="U302" i="1"/>
  <c r="N302" i="1"/>
  <c r="L302" i="1"/>
  <c r="Q301" i="1"/>
  <c r="N301" i="1"/>
  <c r="L301" i="1"/>
  <c r="N300" i="1"/>
  <c r="L300" i="1"/>
  <c r="U299" i="1"/>
  <c r="Q299" i="1"/>
  <c r="N299" i="1"/>
  <c r="L299" i="1"/>
  <c r="Q298" i="1"/>
  <c r="N298" i="1"/>
  <c r="L298" i="1"/>
  <c r="Q294" i="1"/>
  <c r="U293" i="1"/>
  <c r="N293" i="1"/>
  <c r="L293" i="1"/>
  <c r="U289" i="1"/>
  <c r="N289" i="1"/>
  <c r="L289" i="1"/>
  <c r="U288" i="1"/>
  <c r="Q287" i="1"/>
  <c r="U286" i="1"/>
  <c r="U283" i="1"/>
  <c r="U282" i="1"/>
  <c r="I282" i="1"/>
  <c r="U277" i="1"/>
  <c r="N277" i="1"/>
  <c r="L277" i="1"/>
  <c r="U275" i="1"/>
  <c r="U274" i="1"/>
  <c r="N272" i="1"/>
  <c r="L272" i="1"/>
  <c r="U271" i="1"/>
  <c r="U270" i="1"/>
  <c r="Q268" i="1"/>
  <c r="Q266" i="1"/>
  <c r="N266" i="1"/>
  <c r="L266" i="1"/>
  <c r="N265" i="1"/>
  <c r="L265" i="1"/>
  <c r="N264" i="1"/>
  <c r="Q260" i="1"/>
  <c r="N260" i="1"/>
  <c r="L260" i="1"/>
  <c r="U259" i="1"/>
  <c r="N259" i="1"/>
  <c r="U258" i="1"/>
  <c r="U257" i="1"/>
  <c r="N257" i="1"/>
  <c r="U252" i="1"/>
  <c r="U248" i="1"/>
  <c r="N248" i="1"/>
  <c r="U247" i="1"/>
  <c r="Q247" i="1"/>
  <c r="Q243" i="1"/>
  <c r="N239" i="1"/>
  <c r="U235" i="1"/>
  <c r="U230" i="1"/>
  <c r="Q230" i="1"/>
  <c r="U229" i="1"/>
  <c r="U227" i="1"/>
  <c r="U226" i="1"/>
  <c r="U224" i="1"/>
  <c r="N222" i="1"/>
  <c r="L222" i="1"/>
  <c r="I222" i="1"/>
  <c r="U221" i="1"/>
  <c r="Q220" i="1"/>
  <c r="U219" i="1"/>
  <c r="N218" i="1"/>
  <c r="L218" i="1"/>
  <c r="U215" i="1"/>
  <c r="U214" i="1"/>
  <c r="U213" i="1"/>
  <c r="U208" i="1"/>
  <c r="N205" i="1"/>
  <c r="L205" i="1"/>
  <c r="U203" i="1"/>
  <c r="N203" i="1"/>
  <c r="L203" i="1"/>
  <c r="U202" i="1"/>
  <c r="N202" i="1"/>
  <c r="L202" i="1"/>
  <c r="Q201" i="1"/>
  <c r="N201" i="1"/>
  <c r="L201" i="1"/>
  <c r="U199" i="1"/>
  <c r="N199" i="1"/>
  <c r="L199" i="1"/>
  <c r="U198" i="1"/>
  <c r="U197" i="1"/>
  <c r="U196" i="1"/>
  <c r="U195" i="1"/>
  <c r="Q195" i="1"/>
  <c r="U194" i="1"/>
  <c r="Q194" i="1"/>
  <c r="N194" i="1"/>
  <c r="L194" i="1"/>
  <c r="Q193" i="1"/>
  <c r="N193" i="1"/>
  <c r="L193" i="1"/>
  <c r="U190" i="1"/>
  <c r="Q188" i="1"/>
  <c r="N188" i="1"/>
  <c r="L188" i="1"/>
  <c r="U186" i="1"/>
  <c r="Q186" i="1"/>
  <c r="Q185" i="1"/>
  <c r="N185" i="1"/>
  <c r="L185" i="1"/>
  <c r="U183" i="1"/>
  <c r="U182" i="1"/>
  <c r="U178" i="1"/>
  <c r="N178" i="1"/>
  <c r="L178" i="1"/>
  <c r="U176" i="1"/>
  <c r="U175" i="1"/>
  <c r="N175" i="1"/>
  <c r="L175" i="1"/>
  <c r="Q174" i="1"/>
  <c r="N174" i="1"/>
  <c r="L174" i="1"/>
  <c r="N173" i="1"/>
  <c r="L173" i="1"/>
  <c r="U172" i="1"/>
  <c r="U171" i="1"/>
  <c r="Q170" i="1"/>
  <c r="N170" i="1"/>
  <c r="L170" i="1"/>
  <c r="N169" i="1"/>
  <c r="L169" i="1"/>
  <c r="N168" i="1"/>
  <c r="L168" i="1"/>
  <c r="N166" i="1"/>
  <c r="L166" i="1"/>
  <c r="U165" i="1"/>
  <c r="U164" i="1"/>
  <c r="N164" i="1"/>
  <c r="L164" i="1"/>
  <c r="U162" i="1"/>
  <c r="N162" i="1"/>
  <c r="L162" i="1"/>
  <c r="U160" i="1"/>
  <c r="Q159" i="1"/>
  <c r="N158" i="1"/>
  <c r="L158" i="1"/>
  <c r="U155" i="1"/>
  <c r="Q155" i="1"/>
  <c r="U152" i="1"/>
  <c r="U150" i="1"/>
  <c r="U146" i="1"/>
  <c r="U144" i="1"/>
  <c r="N144" i="1"/>
  <c r="L144" i="1"/>
  <c r="Q143" i="1"/>
  <c r="N143" i="1"/>
  <c r="L143" i="1"/>
  <c r="U141" i="1"/>
  <c r="Q141" i="1"/>
  <c r="U136" i="1"/>
  <c r="N136" i="1"/>
  <c r="L136" i="1"/>
  <c r="U135" i="1"/>
  <c r="N133" i="1"/>
  <c r="L133" i="1"/>
  <c r="U131" i="1"/>
  <c r="Q131" i="1"/>
  <c r="N131" i="1"/>
  <c r="L131" i="1"/>
  <c r="Q130" i="1"/>
  <c r="N130" i="1"/>
  <c r="L130" i="1"/>
  <c r="N128" i="1"/>
  <c r="L128" i="1"/>
  <c r="U126" i="1"/>
  <c r="U123" i="1"/>
  <c r="U122" i="1"/>
  <c r="N122" i="1"/>
  <c r="L122" i="1"/>
  <c r="N121" i="1"/>
  <c r="L121" i="1"/>
  <c r="U120" i="1"/>
  <c r="U118" i="1"/>
  <c r="Q108" i="1"/>
  <c r="N108" i="1"/>
  <c r="L108" i="1"/>
  <c r="U107" i="1"/>
  <c r="U103" i="1"/>
  <c r="Q103" i="1"/>
  <c r="U98" i="1"/>
  <c r="U94" i="1"/>
  <c r="N94" i="1"/>
  <c r="L94" i="1"/>
  <c r="U93" i="1"/>
  <c r="N93" i="1"/>
  <c r="L93" i="1"/>
  <c r="U91" i="1"/>
  <c r="Q91" i="1"/>
  <c r="U90" i="1"/>
  <c r="Q89" i="1"/>
  <c r="U87" i="1"/>
  <c r="N87" i="1"/>
  <c r="L87" i="1"/>
  <c r="U86" i="1"/>
  <c r="U85" i="1"/>
  <c r="U82" i="1"/>
  <c r="N82" i="1"/>
  <c r="I82" i="1"/>
  <c r="U80" i="1"/>
  <c r="N80" i="1"/>
  <c r="L80" i="1"/>
  <c r="U73" i="1"/>
  <c r="U70" i="1"/>
  <c r="Q69" i="1"/>
  <c r="Q67" i="1"/>
  <c r="Q66" i="1"/>
  <c r="N66" i="1"/>
  <c r="L66" i="1"/>
  <c r="U65" i="1"/>
  <c r="Q65" i="1"/>
  <c r="Q64" i="1"/>
  <c r="N64" i="1"/>
  <c r="L64" i="1"/>
  <c r="U63" i="1"/>
  <c r="Q63" i="1"/>
  <c r="Q62" i="1"/>
  <c r="U61" i="1"/>
  <c r="Q61" i="1"/>
  <c r="N61" i="1"/>
  <c r="L61" i="1"/>
  <c r="Q60" i="1"/>
  <c r="U59" i="1"/>
  <c r="Q59" i="1"/>
  <c r="U58" i="1"/>
  <c r="Q58" i="1"/>
  <c r="N58" i="1"/>
  <c r="L58" i="1"/>
  <c r="I58" i="1"/>
  <c r="U57" i="1"/>
  <c r="Q57" i="1"/>
  <c r="N57" i="1"/>
  <c r="U56" i="1"/>
  <c r="Q56" i="1"/>
  <c r="N56" i="1"/>
  <c r="L56" i="1"/>
  <c r="U55" i="1"/>
  <c r="Q55" i="1"/>
  <c r="U53" i="1"/>
  <c r="Q53" i="1"/>
  <c r="N53" i="1"/>
  <c r="L53" i="1"/>
  <c r="Q51" i="1"/>
  <c r="N51" i="1"/>
  <c r="L51" i="1"/>
  <c r="U50" i="1"/>
  <c r="Q50" i="1"/>
  <c r="U48" i="1"/>
  <c r="Q48" i="1"/>
  <c r="N48" i="1"/>
  <c r="L48" i="1"/>
  <c r="Q47" i="1"/>
  <c r="Q45" i="1"/>
  <c r="N45" i="1"/>
  <c r="L45" i="1"/>
  <c r="Q44" i="1"/>
  <c r="Q43" i="1"/>
  <c r="U41" i="1"/>
  <c r="Q41" i="1"/>
  <c r="Q40" i="1"/>
  <c r="N40" i="1"/>
  <c r="L40" i="1"/>
  <c r="Q37" i="1"/>
  <c r="Q35" i="1"/>
  <c r="U34" i="1"/>
  <c r="Q34" i="1"/>
  <c r="Q33" i="1"/>
  <c r="U31" i="1"/>
  <c r="Q31" i="1"/>
  <c r="Q30" i="1"/>
  <c r="Q29" i="1"/>
  <c r="U28" i="1"/>
  <c r="Q28" i="1"/>
  <c r="Q27" i="1"/>
  <c r="N26" i="1"/>
  <c r="L26" i="1"/>
  <c r="U25" i="1"/>
  <c r="Q25" i="1"/>
  <c r="N25" i="1"/>
  <c r="L25" i="1"/>
  <c r="Q24" i="1"/>
  <c r="N22" i="1"/>
  <c r="L22" i="1"/>
  <c r="Q21" i="1"/>
  <c r="N21" i="1"/>
  <c r="L21" i="1"/>
  <c r="U20" i="1"/>
  <c r="Q20" i="1"/>
  <c r="Q19" i="1"/>
  <c r="N19" i="1"/>
  <c r="L19" i="1"/>
  <c r="Q16" i="1"/>
  <c r="N16" i="1"/>
  <c r="L16" i="1"/>
  <c r="Q15" i="1"/>
  <c r="U14" i="1"/>
  <c r="Q14" i="1"/>
  <c r="N14" i="1"/>
  <c r="L14" i="1"/>
  <c r="Q13" i="1"/>
  <c r="N13" i="1"/>
  <c r="L13" i="1"/>
  <c r="U12" i="1"/>
  <c r="Q12" i="1"/>
  <c r="N12" i="1"/>
  <c r="L12" i="1"/>
  <c r="U11" i="1"/>
  <c r="Q11" i="1"/>
  <c r="N11" i="1"/>
  <c r="L11" i="1"/>
  <c r="U10" i="1"/>
  <c r="Q10" i="1"/>
  <c r="U8" i="1"/>
  <c r="Q8" i="1"/>
  <c r="N8" i="1"/>
  <c r="L8" i="1"/>
  <c r="U7" i="1"/>
  <c r="Q7" i="1"/>
  <c r="Q6" i="1"/>
  <c r="U5" i="1"/>
  <c r="Q5" i="1"/>
  <c r="U4" i="1"/>
  <c r="Q4" i="1"/>
  <c r="N4" i="1"/>
  <c r="L4" i="1"/>
  <c r="U3" i="1"/>
  <c r="Q3" i="1"/>
  <c r="U2" i="1"/>
  <c r="N2" i="1"/>
  <c r="L2" i="1"/>
</calcChain>
</file>

<file path=xl/sharedStrings.xml><?xml version="1.0" encoding="utf-8"?>
<sst xmlns="http://schemas.openxmlformats.org/spreadsheetml/2006/main" count="20366" uniqueCount="9263">
  <si>
    <t>Id</t>
  </si>
  <si>
    <t>Profile cookie</t>
  </si>
  <si>
    <t>absolute</t>
  </si>
  <si>
    <t>Profile_Image</t>
  </si>
  <si>
    <t>Blockchain</t>
  </si>
  <si>
    <t>inline-flex</t>
  </si>
  <si>
    <t>Twitter</t>
  </si>
  <si>
    <t>Mindshare</t>
  </si>
  <si>
    <t>Variationmindshare</t>
  </si>
  <si>
    <t>blur-sm</t>
  </si>
  <si>
    <t>Price</t>
  </si>
  <si>
    <t>Variationprice</t>
  </si>
  <si>
    <t>Marketcap</t>
  </si>
  <si>
    <t>Variationmarketcap</t>
  </si>
  <si>
    <t>text-sm 3</t>
  </si>
  <si>
    <t>text-sm 4</t>
  </si>
  <si>
    <t>flex 4</t>
  </si>
  <si>
    <t>z-[1]</t>
  </si>
  <si>
    <t>z-[1] 2</t>
  </si>
  <si>
    <t>Holders</t>
  </si>
  <si>
    <t>variationholders</t>
  </si>
  <si>
    <t>flex href 2</t>
  </si>
  <si>
    <t>w-4 src</t>
  </si>
  <si>
    <t>flex href 3</t>
  </si>
  <si>
    <t>w-4 src 2</t>
  </si>
  <si>
    <t>flex href 4</t>
  </si>
  <si>
    <t>w-4 src 3</t>
  </si>
  <si>
    <t>flex href 5</t>
  </si>
  <si>
    <t>w-4 src 4</t>
  </si>
  <si>
    <t>flex href 6</t>
  </si>
  <si>
    <t>https://www.cookie.fun/agent/cyi</t>
  </si>
  <si>
    <t>C</t>
  </si>
  <si>
    <t>https://pbs.twimg.com/profile_images/1857789073550921728/f-APks2G_400x400.jpg</t>
  </si>
  <si>
    <t>https://www.cookie.fun/chains/base.svg</t>
  </si>
  <si>
    <t>CYI</t>
  </si>
  <si>
    <t>@CYI_agent</t>
  </si>
  <si>
    <t>0.01%</t>
  </si>
  <si>
    <t>-0.0019</t>
  </si>
  <si>
    <t>0.32%</t>
  </si>
  <si>
    <t>$0.0033</t>
  </si>
  <si>
    <t>$3.26M</t>
  </si>
  <si>
    <t>$208.92K</t>
  </si>
  <si>
    <t>408.38K</t>
  </si>
  <si>
    <t>1 175</t>
  </si>
  <si>
    <t>3.95K</t>
  </si>
  <si>
    <t>https://www.cookie.fun/agent/elyrai</t>
  </si>
  <si>
    <t>E</t>
  </si>
  <si>
    <t>https://pbs.twimg.com/profile_images/1864172683585327105/jKUo5DED_400x400.jpg</t>
  </si>
  <si>
    <t>https://www.cookie.fun/chains/solana.svg</t>
  </si>
  <si>
    <t>ELYRAI</t>
  </si>
  <si>
    <t>@ElyraiAgent</t>
  </si>
  <si>
    <t>-2.2%</t>
  </si>
  <si>
    <t>0.42%</t>
  </si>
  <si>
    <t>$0.0015</t>
  </si>
  <si>
    <t>-4.9%</t>
  </si>
  <si>
    <t>$1.47M</t>
  </si>
  <si>
    <t>$79.59K</t>
  </si>
  <si>
    <t>16.5K</t>
  </si>
  <si>
    <t>1 453</t>
  </si>
  <si>
    <t>https://www.cookie.fun/agent/neurobro</t>
  </si>
  <si>
    <t>N</t>
  </si>
  <si>
    <t>https://pbs.twimg.com/profile_images/1863155460410388480/rQQWkBWT_400x400.jpg</t>
  </si>
  <si>
    <t>$BRO</t>
  </si>
  <si>
    <t>@0xNeurobro</t>
  </si>
  <si>
    <t>0.84%</t>
  </si>
  <si>
    <t>$0.032</t>
  </si>
  <si>
    <t>$31.75M</t>
  </si>
  <si>
    <t>$943.05K</t>
  </si>
  <si>
    <t>1.05M</t>
  </si>
  <si>
    <t>10 408</t>
  </si>
  <si>
    <t>101.29K</t>
  </si>
  <si>
    <t>https://www.cookie.fun/agent/aiko</t>
  </si>
  <si>
    <t>A</t>
  </si>
  <si>
    <t>https://pbs.twimg.com/profile_images/1865293224094392320/CiFJlS2s_400x400.jpg</t>
  </si>
  <si>
    <t>AIKO</t>
  </si>
  <si>
    <t>@aikowakesup</t>
  </si>
  <si>
    <t>-0.0035</t>
  </si>
  <si>
    <t>0.71%</t>
  </si>
  <si>
    <t>$0.0022</t>
  </si>
  <si>
    <t>$2.16M</t>
  </si>
  <si>
    <t>$286.25K</t>
  </si>
  <si>
    <t>236.87K</t>
  </si>
  <si>
    <t>1 800</t>
  </si>
  <si>
    <t>3.18K</t>
  </si>
  <si>
    <t>https://www.cookie.fun/agent/gemxbt</t>
  </si>
  <si>
    <t>G</t>
  </si>
  <si>
    <t>https://pbs.twimg.com/profile_images/1874429212301692928/Uj9ipGuV_400x400.jpg</t>
  </si>
  <si>
    <t>GEMXBT</t>
  </si>
  <si>
    <t>@gemxbt_agent</t>
  </si>
  <si>
    <t>-0.041</t>
  </si>
  <si>
    <t>0.74%</t>
  </si>
  <si>
    <t>$0.0026</t>
  </si>
  <si>
    <t>$2.44M</t>
  </si>
  <si>
    <t>$224.75K</t>
  </si>
  <si>
    <t>629.92K</t>
  </si>
  <si>
    <t>26 323</t>
  </si>
  <si>
    <t>3.7K</t>
  </si>
  <si>
    <t>https://x.com/sepsauce/status/1877608012904288282</t>
  </si>
  <si>
    <t>https://pbs.twimg.com/profile_images/1654279810334752768/XPY9giex_normal.png</t>
  </si>
  <si>
    <t>https://x.com/SebyGWeb3/status/1879446978536657082</t>
  </si>
  <si>
    <t>https://pbs.twimg.com/profile_images/1870235513065496576/jQTWuOY5_normal.jpg</t>
  </si>
  <si>
    <t>https://www.cookie.fun/agent/bet</t>
  </si>
  <si>
    <t>B</t>
  </si>
  <si>
    <t>https://pbs.twimg.com/profile_images/1858964730418769920/9zfot3jm_400x400.jpg</t>
  </si>
  <si>
    <t>BET</t>
  </si>
  <si>
    <t>@greg_ribai</t>
  </si>
  <si>
    <t>-1.2%</t>
  </si>
  <si>
    <t>0.78%</t>
  </si>
  <si>
    <t>$0.0023</t>
  </si>
  <si>
    <t>$2.34M</t>
  </si>
  <si>
    <t>$188.26K</t>
  </si>
  <si>
    <t>276.69K</t>
  </si>
  <si>
    <t>2.87K</t>
  </si>
  <si>
    <t>https://www.cookie.fun/agent/ms2</t>
  </si>
  <si>
    <t>M</t>
  </si>
  <si>
    <t>https://pbs.twimg.com/profile_images/1799902799863664640/FFb-xaqb_400x400.jpg</t>
  </si>
  <si>
    <t>MS2</t>
  </si>
  <si>
    <t>@stationthisbot</t>
  </si>
  <si>
    <t>0.79%</t>
  </si>
  <si>
    <t>$0.0017</t>
  </si>
  <si>
    <t>$1.69M</t>
  </si>
  <si>
    <t>$148.47K</t>
  </si>
  <si>
    <t>16.37K</t>
  </si>
  <si>
    <t>2 332</t>
  </si>
  <si>
    <t>1.29K</t>
  </si>
  <si>
    <t>https://www.cookie.fun/agent/symx</t>
  </si>
  <si>
    <t>S</t>
  </si>
  <si>
    <t>https://pbs.twimg.com/profile_images/1868081615198392320/p7pUbg19_400x400.jpg</t>
  </si>
  <si>
    <t>SYMX</t>
  </si>
  <si>
    <t>@SYMBaiEX</t>
  </si>
  <si>
    <t>-0.033</t>
  </si>
  <si>
    <t>0.34%</t>
  </si>
  <si>
    <t>$0.₃912</t>
  </si>
  <si>
    <t>$912.81K</t>
  </si>
  <si>
    <t>$105.26K</t>
  </si>
  <si>
    <t>132.13K</t>
  </si>
  <si>
    <t>2.36K</t>
  </si>
  <si>
    <t>https://www.cookie.fun/agent/cannabisai</t>
  </si>
  <si>
    <t>https://pbs.twimg.com/profile_images/1875266537633845248/1Rmp3wUJ_400x400.jpg</t>
  </si>
  <si>
    <t>CANNABISAI</t>
  </si>
  <si>
    <t>@CannabisAIagent</t>
  </si>
  <si>
    <t>0.58%</t>
  </si>
  <si>
    <t>$0.0123</t>
  </si>
  <si>
    <t>$255.1K</t>
  </si>
  <si>
    <t>$37.04K</t>
  </si>
  <si>
    <t>11.16K</t>
  </si>
  <si>
    <t>204.18K</t>
  </si>
  <si>
    <t>https://www.cookie.fun/agent/rocket</t>
  </si>
  <si>
    <t>R</t>
  </si>
  <si>
    <t>https://pbs.twimg.com/profile_images/1862352519873089536/oo9onRfL_400x400.jpg</t>
  </si>
  <si>
    <t>ROCKET</t>
  </si>
  <si>
    <t>@airocket_agent</t>
  </si>
  <si>
    <t>-0.017</t>
  </si>
  <si>
    <t>0.33%</t>
  </si>
  <si>
    <t>$0.014</t>
  </si>
  <si>
    <t>$14.03M</t>
  </si>
  <si>
    <t>$583.73K</t>
  </si>
  <si>
    <t>284.26K</t>
  </si>
  <si>
    <t>9 496</t>
  </si>
  <si>
    <t>64.61K</t>
  </si>
  <si>
    <t>https://www.cookie.fun/agent/aikek</t>
  </si>
  <si>
    <t>https://pbs.twimg.com/profile_images/1874857676938657792/NVeFX7LA_400x400.jpg</t>
  </si>
  <si>
    <t>https://www.cookie.fun/chains/ethereum.svg</t>
  </si>
  <si>
    <t>AIKEK</t>
  </si>
  <si>
    <t>@aikek_agent</t>
  </si>
  <si>
    <t>-8.7%</t>
  </si>
  <si>
    <t>0.55%</t>
  </si>
  <si>
    <t>$0.0515</t>
  </si>
  <si>
    <t>$12.34M</t>
  </si>
  <si>
    <t>$546.38K</t>
  </si>
  <si>
    <t>232.31K</t>
  </si>
  <si>
    <t>1.68K</t>
  </si>
  <si>
    <t>https://www.cookie.fun/agent/dantegpu</t>
  </si>
  <si>
    <t>D</t>
  </si>
  <si>
    <t>https://pbs.twimg.com/profile_images/1868392437648900096/WjYeNAjv_400x400.jpg</t>
  </si>
  <si>
    <t>DGPU</t>
  </si>
  <si>
    <t>@dantegpu</t>
  </si>
  <si>
    <t>0.44%</t>
  </si>
  <si>
    <t>$0.0049</t>
  </si>
  <si>
    <t>$4.92M</t>
  </si>
  <si>
    <t>$359.81K</t>
  </si>
  <si>
    <t>1.19M</t>
  </si>
  <si>
    <t>5 633</t>
  </si>
  <si>
    <t>5.17K</t>
  </si>
  <si>
    <t>https://www.cookie.fun/agent/flub</t>
  </si>
  <si>
    <t>F</t>
  </si>
  <si>
    <t>https://pbs.twimg.com/profile_images/1862375090551152640/PDBWB426_400x400.jpg</t>
  </si>
  <si>
    <t>FLUB</t>
  </si>
  <si>
    <t>@flubgg</t>
  </si>
  <si>
    <t>0.39%</t>
  </si>
  <si>
    <t>$0.₃558</t>
  </si>
  <si>
    <t>$558.76K</t>
  </si>
  <si>
    <t>$77.23K</t>
  </si>
  <si>
    <t>181.88K</t>
  </si>
  <si>
    <t>https://www.cookie.fun/agent/aicz</t>
  </si>
  <si>
    <t>https://pbs.twimg.com/profile_images/1870504224678612994/lWHFK4_-_400x400.jpg</t>
  </si>
  <si>
    <t>https://www.cookie.fun/chains/bsc.svg</t>
  </si>
  <si>
    <t>AICZ</t>
  </si>
  <si>
    <t>@ArtificialCZ</t>
  </si>
  <si>
    <t>0.1%</t>
  </si>
  <si>
    <t>$0.₃115</t>
  </si>
  <si>
    <t>-5.6%</t>
  </si>
  <si>
    <t>$115.18K</t>
  </si>
  <si>
    <t>$15.74K</t>
  </si>
  <si>
    <t>1.11K</t>
  </si>
  <si>
    <t>1 150</t>
  </si>
  <si>
    <t>https://www.cookie.fun/agent/deep-whales-ai</t>
  </si>
  <si>
    <t>https://pbs.twimg.com/profile_images/1849756276542017536/VdjJGy-I_400x400.jpg</t>
  </si>
  <si>
    <t>DEEPAI</t>
  </si>
  <si>
    <t>@DeepWhalesAI</t>
  </si>
  <si>
    <t>-0.00012</t>
  </si>
  <si>
    <t>0.94%</t>
  </si>
  <si>
    <t>$0.009</t>
  </si>
  <si>
    <t>$899.5K</t>
  </si>
  <si>
    <t>$47.08K</t>
  </si>
  <si>
    <t>3.1K</t>
  </si>
  <si>
    <t>3 877</t>
  </si>
  <si>
    <t>-</t>
  </si>
  <si>
    <t>https://www.cookie.fun/agent/vitai</t>
  </si>
  <si>
    <t>V</t>
  </si>
  <si>
    <t>https://pbs.twimg.com/profile_images/1861148796778094593/cWuHr9oy_400x400.jpg</t>
  </si>
  <si>
    <t>https://www.cookie.fun/chains/arbitrum.svg</t>
  </si>
  <si>
    <t>VITAI</t>
  </si>
  <si>
    <t>@vitaieth</t>
  </si>
  <si>
    <t>-0.002</t>
  </si>
  <si>
    <t>0.24%</t>
  </si>
  <si>
    <t>$0.0027</t>
  </si>
  <si>
    <t>$250.85K</t>
  </si>
  <si>
    <t>$95.25K</t>
  </si>
  <si>
    <t>324.42</t>
  </si>
  <si>
    <t>1 407</t>
  </si>
  <si>
    <t>https://www.cookie.fun/agent/btch</t>
  </si>
  <si>
    <t>https://pbs.twimg.com/profile_images/1849759908989984768/CiENRA5v_400x400.jpg</t>
  </si>
  <si>
    <t>BTCH</t>
  </si>
  <si>
    <t>@NOBULLSHIT_EXE</t>
  </si>
  <si>
    <t>-0.0076</t>
  </si>
  <si>
    <t>0.6%</t>
  </si>
  <si>
    <t>$0.₃676</t>
  </si>
  <si>
    <t>-6.4%</t>
  </si>
  <si>
    <t>$676.95K</t>
  </si>
  <si>
    <t>$54.06K</t>
  </si>
  <si>
    <t>9.6K</t>
  </si>
  <si>
    <t>2 137</t>
  </si>
  <si>
    <t>https://x.com/patty_fi/status/1877024284024959083</t>
  </si>
  <si>
    <t>https://pbs.twimg.com/profile_images/1862760717255897089/esUkI57L_normal.jpg</t>
  </si>
  <si>
    <t>https://www.cookie.fun/agent/nbara</t>
  </si>
  <si>
    <t>https://pbs.twimg.com/profile_images/1869157567504830464/03gPfYhA_400x400.jpg</t>
  </si>
  <si>
    <t>NBARA</t>
  </si>
  <si>
    <t>@nibibara</t>
  </si>
  <si>
    <t>-0.0045</t>
  </si>
  <si>
    <t>0.77%</t>
  </si>
  <si>
    <t>$0.₃167</t>
  </si>
  <si>
    <t>$166.67K</t>
  </si>
  <si>
    <t>$61.27K</t>
  </si>
  <si>
    <t>21.96K</t>
  </si>
  <si>
    <t>https://www.cookie.fun/agent/bill-nye-the-desci-guy</t>
  </si>
  <si>
    <t>https://pbs.twimg.com/profile_images/1864350621605761024/XwiavfeS_400x400.jpg</t>
  </si>
  <si>
    <t>BILLNYE</t>
  </si>
  <si>
    <t>@AgentBILLNYE</t>
  </si>
  <si>
    <t>0.51%</t>
  </si>
  <si>
    <t>$0.14</t>
  </si>
  <si>
    <t>$2.94M</t>
  </si>
  <si>
    <t>$126.52K</t>
  </si>
  <si>
    <t>24.46K</t>
  </si>
  <si>
    <t>1 646</t>
  </si>
  <si>
    <t>1.08K</t>
  </si>
  <si>
    <t>https://www.cookie.fun/agent/loky</t>
  </si>
  <si>
    <t>L</t>
  </si>
  <si>
    <t>https://pbs.twimg.com/profile_images/1862076942389854208/zr7_N6Ay_400x400.png</t>
  </si>
  <si>
    <t>LOKY</t>
  </si>
  <si>
    <t>@0x_Loky</t>
  </si>
  <si>
    <t>-0.17</t>
  </si>
  <si>
    <t>0.25%</t>
  </si>
  <si>
    <t>$0.0053</t>
  </si>
  <si>
    <t>$5.32M</t>
  </si>
  <si>
    <t>$451.89K</t>
  </si>
  <si>
    <t>445.54K</t>
  </si>
  <si>
    <t>3 776</t>
  </si>
  <si>
    <t>94.47K</t>
  </si>
  <si>
    <t>https://www.cookie.fun/agent/based-aipe</t>
  </si>
  <si>
    <t>https://pbs.twimg.com/profile_images/1864054533657178112/EhtqVT01_400x400.jpg</t>
  </si>
  <si>
    <t>AIPE</t>
  </si>
  <si>
    <t>@basedAIPE</t>
  </si>
  <si>
    <t>-0.007</t>
  </si>
  <si>
    <t>0.46%</t>
  </si>
  <si>
    <t>$0.0011</t>
  </si>
  <si>
    <t>$1.11M</t>
  </si>
  <si>
    <t>$152.37K</t>
  </si>
  <si>
    <t>35.6K</t>
  </si>
  <si>
    <t>5.06K</t>
  </si>
  <si>
    <t>https://www.cookie.fun/agent/trenchai</t>
  </si>
  <si>
    <t>T</t>
  </si>
  <si>
    <t>https://pbs.twimg.com/profile_images/1870888035182915584/I5dR-ZKU_400x400.jpg</t>
  </si>
  <si>
    <t>TRENCHAI</t>
  </si>
  <si>
    <t>@Trenches_AI_</t>
  </si>
  <si>
    <t>-0.024</t>
  </si>
  <si>
    <t>0.14%</t>
  </si>
  <si>
    <t>$0.0069</t>
  </si>
  <si>
    <t>$6.89M</t>
  </si>
  <si>
    <t>$369.36K</t>
  </si>
  <si>
    <t>1.11M</t>
  </si>
  <si>
    <t>20 729</t>
  </si>
  <si>
    <t>11.77K</t>
  </si>
  <si>
    <t>https://www.cookie.fun/agent/parry</t>
  </si>
  <si>
    <t>P</t>
  </si>
  <si>
    <t>https://pbs.twimg.com/profile_images/1858804168946831360/L_EntIWE_400x400.jpg</t>
  </si>
  <si>
    <t>PARRY</t>
  </si>
  <si>
    <t>@schizoparry</t>
  </si>
  <si>
    <t>-0.0073</t>
  </si>
  <si>
    <t>0.07%</t>
  </si>
  <si>
    <t>$0.₄244</t>
  </si>
  <si>
    <t>$24.44K</t>
  </si>
  <si>
    <t>$11.77K</t>
  </si>
  <si>
    <t>2.6K</t>
  </si>
  <si>
    <t>1.1K</t>
  </si>
  <si>
    <t>https://x.com/moonraygame/status/1877431046511173968</t>
  </si>
  <si>
    <t>https://pbs.twimg.com/profile_images/1247913681419026432/O-M9foxt_normal.jpg</t>
  </si>
  <si>
    <t>https://www.cookie.fun/agent/virtu</t>
  </si>
  <si>
    <t>https://pbs.twimg.com/profile_images/1861144087996268545/-MfiTMMo_400x400.jpg</t>
  </si>
  <si>
    <t>VIRTU</t>
  </si>
  <si>
    <t>@Virtu_Bot</t>
  </si>
  <si>
    <t>0.66%</t>
  </si>
  <si>
    <t>$0.0028</t>
  </si>
  <si>
    <t>$2.84M</t>
  </si>
  <si>
    <t>$338.23K</t>
  </si>
  <si>
    <t>490.87K</t>
  </si>
  <si>
    <t>3 994</t>
  </si>
  <si>
    <t>22.45K</t>
  </si>
  <si>
    <t>https://www.cookie.fun/agent/brot</t>
  </si>
  <si>
    <t>https://pbs.twimg.com/profile_images/1864971119947845635/JzU7UL-C_400x400.jpg</t>
  </si>
  <si>
    <t>BROT</t>
  </si>
  <si>
    <t>@blockrotbot</t>
  </si>
  <si>
    <t>0.05%</t>
  </si>
  <si>
    <t>$0.003</t>
  </si>
  <si>
    <t>$2.95M</t>
  </si>
  <si>
    <t>$131.19K</t>
  </si>
  <si>
    <t>58.2K</t>
  </si>
  <si>
    <t>2 385</t>
  </si>
  <si>
    <t>2.71K</t>
  </si>
  <si>
    <t>https://www.cookie.fun/agent/aicat</t>
  </si>
  <si>
    <t>https://pbs.twimg.com/profile_images/1862801073733255169/ifN15NMy_400x400.jpg</t>
  </si>
  <si>
    <t>$AICAT</t>
  </si>
  <si>
    <t>@TheCatTeller_AI</t>
  </si>
  <si>
    <t>0.98%</t>
  </si>
  <si>
    <t>$0.₄796</t>
  </si>
  <si>
    <t>$78.5K</t>
  </si>
  <si>
    <t>$36.28K</t>
  </si>
  <si>
    <t>2.49K</t>
  </si>
  <si>
    <t>https://x.com/GalacticGeckoSG/status/1879257127631622277</t>
  </si>
  <si>
    <t>https://pbs.twimg.com/profile_images/1443216875874394124/oduXY60G_normal.jpg</t>
  </si>
  <si>
    <t>https://www.cookie.fun/agent/alpha-rabbit</t>
  </si>
  <si>
    <t>https://pbs.twimg.com/profile_images/1874757177279148032/2tcaL0Wh_400x400.jpg</t>
  </si>
  <si>
    <t>RABBIT</t>
  </si>
  <si>
    <t>@GutterDoug_</t>
  </si>
  <si>
    <t>0.4%</t>
  </si>
  <si>
    <t>$0.₃790</t>
  </si>
  <si>
    <t>$16.21K</t>
  </si>
  <si>
    <t>$9.28K</t>
  </si>
  <si>
    <t>819.75</t>
  </si>
  <si>
    <t>4 502</t>
  </si>
  <si>
    <t>4.81K</t>
  </si>
  <si>
    <t>https://x.com/carlosroldanx/status/1877633770729218128</t>
  </si>
  <si>
    <t>https://pbs.twimg.com/profile_images/1765817423054123009/OivvC-Af_normal.jpg</t>
  </si>
  <si>
    <t>https://x.com/ZoraWeb3/status/1877941380439330890</t>
  </si>
  <si>
    <t>https://pbs.twimg.com/profile_images/1829944754047455232/lyvxtEJ3_normal.jpg</t>
  </si>
  <si>
    <t>https://x.com/carlosroldanx/status/1878112158313042164</t>
  </si>
  <si>
    <t>https://x.com/lowercaseboot/status/1878301674567295391</t>
  </si>
  <si>
    <t>https://pbs.twimg.com/profile_images/1794394967173210112/F9rS3xKQ_normal.jpg</t>
  </si>
  <si>
    <t>https://x.com/painter_crypto/status/1877017555547595257</t>
  </si>
  <si>
    <t>https://www.cookie.fun/agent/kyra</t>
  </si>
  <si>
    <t>K</t>
  </si>
  <si>
    <t>https://pbs.twimg.com/profile_images/1846769487103905792/1JuPlsRZ_400x400.jpg</t>
  </si>
  <si>
    <t>KYRA</t>
  </si>
  <si>
    <t>@KyraEvolves</t>
  </si>
  <si>
    <t>0.27%</t>
  </si>
  <si>
    <t>$0.₃147</t>
  </si>
  <si>
    <t>$137.56K</t>
  </si>
  <si>
    <t>$22.58K</t>
  </si>
  <si>
    <t>5.5K</t>
  </si>
  <si>
    <t>9 133</t>
  </si>
  <si>
    <t>-3.9%</t>
  </si>
  <si>
    <t>https://www.cookie.fun/agent/corgiai</t>
  </si>
  <si>
    <t>https://pbs.twimg.com/profile_images/1650735063846522881/HVJYdgCF_400x400.jpg</t>
  </si>
  <si>
    <t>CORGIAI</t>
  </si>
  <si>
    <t>@corgiaiclub</t>
  </si>
  <si>
    <t>0.68%</t>
  </si>
  <si>
    <t>$0.₃645</t>
  </si>
  <si>
    <t>-9.3%</t>
  </si>
  <si>
    <t>$16.14M</t>
  </si>
  <si>
    <t>$166.6K</t>
  </si>
  <si>
    <t>788.59</t>
  </si>
  <si>
    <t>64 632</t>
  </si>
  <si>
    <t>2.61K</t>
  </si>
  <si>
    <t>https://www.cookie.fun/agent/astropepex</t>
  </si>
  <si>
    <t>https://pbs.twimg.com/profile_images/1857644197609611264/2MSpdIFY_400x400.jpg</t>
  </si>
  <si>
    <t>APX</t>
  </si>
  <si>
    <t>@AstroPepe_X</t>
  </si>
  <si>
    <t>0.23%</t>
  </si>
  <si>
    <t>$0.₃125</t>
  </si>
  <si>
    <t>$8.16M</t>
  </si>
  <si>
    <t>-0.56%</t>
  </si>
  <si>
    <t>$549.79K</t>
  </si>
  <si>
    <t>60.66K</t>
  </si>
  <si>
    <t>9 201</t>
  </si>
  <si>
    <t>9.44K</t>
  </si>
  <si>
    <t>https://www.cookie.fun/agent/infinite-backrooms</t>
  </si>
  <si>
    <t>I</t>
  </si>
  <si>
    <t>https://abs.twimg.com/sticky/default_profile_images/default_profile_400x400.png</t>
  </si>
  <si>
    <t>IB</t>
  </si>
  <si>
    <t>@ibtoken</t>
  </si>
  <si>
    <t>-0.0031</t>
  </si>
  <si>
    <t>0.36%</t>
  </si>
  <si>
    <t>$0.₃623</t>
  </si>
  <si>
    <t>$622.82K</t>
  </si>
  <si>
    <t>$112.43K</t>
  </si>
  <si>
    <t>24.34K</t>
  </si>
  <si>
    <t>3.98K</t>
  </si>
  <si>
    <t>https://www.cookie.fun/agent/rokos-matrix</t>
  </si>
  <si>
    <t>https://pbs.twimg.com/profile_images/1875517028062162944/91BETxn8_400x400.jpg</t>
  </si>
  <si>
    <t>MATRIX</t>
  </si>
  <si>
    <t>@rokosmatrix</t>
  </si>
  <si>
    <t>0.63%</t>
  </si>
  <si>
    <t>$0.₄498</t>
  </si>
  <si>
    <t>$49.79K</t>
  </si>
  <si>
    <t>$15.93K</t>
  </si>
  <si>
    <t>1.3K</t>
  </si>
  <si>
    <t>1.21K</t>
  </si>
  <si>
    <t>https://www.cookie.fun/agent/truth-terminals-hentai</t>
  </si>
  <si>
    <t>https://pbs.twimg.com/profile_images/1849194651070189569/Ani83tYp_400x400.jpg</t>
  </si>
  <si>
    <t>HENTAI</t>
  </si>
  <si>
    <t>@HentaiTerminal</t>
  </si>
  <si>
    <t>0.09%</t>
  </si>
  <si>
    <t>$0.₄368</t>
  </si>
  <si>
    <t>-4.6%</t>
  </si>
  <si>
    <t>$36.85K</t>
  </si>
  <si>
    <t>$20.67K</t>
  </si>
  <si>
    <t>291.01</t>
  </si>
  <si>
    <t>1.86K</t>
  </si>
  <si>
    <t>https://www.cookie.fun/agent/tao-inu</t>
  </si>
  <si>
    <t>https://pbs.twimg.com/profile_images/1730371835655573505/-Sz-IAJT_400x400.jpg</t>
  </si>
  <si>
    <t>TAONU</t>
  </si>
  <si>
    <t>@TAOinueth</t>
  </si>
  <si>
    <t>0.81%</t>
  </si>
  <si>
    <t>$0.0031</t>
  </si>
  <si>
    <t>$2.91M</t>
  </si>
  <si>
    <t>$189.66K</t>
  </si>
  <si>
    <t>10.62K</t>
  </si>
  <si>
    <t>11 681</t>
  </si>
  <si>
    <t>3.12K</t>
  </si>
  <si>
    <t>https://www.cookie.fun/agent/lola</t>
  </si>
  <si>
    <t>https://pbs.twimg.com/profile_images/1854649559529443328/YMwHnIx1_400x400.jpg</t>
  </si>
  <si>
    <t>LOLA</t>
  </si>
  <si>
    <t>@lola_onchain</t>
  </si>
  <si>
    <t>-0.14</t>
  </si>
  <si>
    <t>0.56%</t>
  </si>
  <si>
    <t>$0.₃241</t>
  </si>
  <si>
    <t>$241.95K</t>
  </si>
  <si>
    <t>$66.89K</t>
  </si>
  <si>
    <t>13.02K</t>
  </si>
  <si>
    <t>6 697</t>
  </si>
  <si>
    <t>4.03K</t>
  </si>
  <si>
    <t>https://x.com/yianak1s/status/1879155971756568761</t>
  </si>
  <si>
    <t>https://pbs.twimg.com/profile_images/1658157387059015692/OU-FKNkf_normal.png</t>
  </si>
  <si>
    <t>https://x.com/_mackinac/status/1878810030218326260</t>
  </si>
  <si>
    <t>https://pbs.twimg.com/profile_images/1851127432222302208/60yW4YQ-_normal.jpg</t>
  </si>
  <si>
    <t>https://www.cookie.fun/agent/wokie</t>
  </si>
  <si>
    <t>W</t>
  </si>
  <si>
    <t>https://pbs.twimg.com/profile_images/1855025232530063360/PWwC4h4c_400x400.jpg</t>
  </si>
  <si>
    <t>WOKIE</t>
  </si>
  <si>
    <t>@WokiePlumpkin</t>
  </si>
  <si>
    <t>-0.0083</t>
  </si>
  <si>
    <t>$0.₃305</t>
  </si>
  <si>
    <t>-0.4%</t>
  </si>
  <si>
    <t>$304.82K</t>
  </si>
  <si>
    <t>-0.41%</t>
  </si>
  <si>
    <t>$97.5K</t>
  </si>
  <si>
    <t>28.28K</t>
  </si>
  <si>
    <t>12.86K</t>
  </si>
  <si>
    <t>https://www.cookie.fun/agent/matl</t>
  </si>
  <si>
    <t>https://pbs.twimg.com/profile_images/1856774662509715456/VT7lIA3h_400x400.jpg</t>
  </si>
  <si>
    <t>MATL</t>
  </si>
  <si>
    <t>@matt_levAIne</t>
  </si>
  <si>
    <t>0.93%</t>
  </si>
  <si>
    <t>$0.₄656</t>
  </si>
  <si>
    <t>$65.68K</t>
  </si>
  <si>
    <t>$26.5K</t>
  </si>
  <si>
    <t>1.71K</t>
  </si>
  <si>
    <t>2 232</t>
  </si>
  <si>
    <t>2.51K</t>
  </si>
  <si>
    <t>https://www.cookie.fun/agent/blobana</t>
  </si>
  <si>
    <t>https://pbs.twimg.com/profile_images/1856713981630783488/yXRWSvno_400x400.jpg</t>
  </si>
  <si>
    <t>BLOB</t>
  </si>
  <si>
    <t>@BlobanaPet</t>
  </si>
  <si>
    <t>-0.0075</t>
  </si>
  <si>
    <t>0.41%</t>
  </si>
  <si>
    <t>$0.₃101</t>
  </si>
  <si>
    <t>$101.64K</t>
  </si>
  <si>
    <t>$45K</t>
  </si>
  <si>
    <t>820.25</t>
  </si>
  <si>
    <t>8 329</t>
  </si>
  <si>
    <t>6.5K</t>
  </si>
  <si>
    <t>https://www.cookie.fun/agent/aejo</t>
  </si>
  <si>
    <t>https://pbs.twimg.com/profile_images/1861264643970174976/EUhlxq4B_400x400.jpg</t>
  </si>
  <si>
    <t>AEJO</t>
  </si>
  <si>
    <t>@Aejo</t>
  </si>
  <si>
    <t>-1.1%</t>
  </si>
  <si>
    <t>0.86%</t>
  </si>
  <si>
    <t>$0.₃353</t>
  </si>
  <si>
    <t>$353.28K</t>
  </si>
  <si>
    <t>$85.22K</t>
  </si>
  <si>
    <t>144.69K</t>
  </si>
  <si>
    <t>6 252</t>
  </si>
  <si>
    <t>6.52K</t>
  </si>
  <si>
    <t>https://www.cookie.fun/agent/binary-darksun</t>
  </si>
  <si>
    <t>https://pbs.twimg.com/profile_images/1859909269002596352/FOlE7Vza_400x400.jpg</t>
  </si>
  <si>
    <t>BINARY</t>
  </si>
  <si>
    <t>@0xblacksun</t>
  </si>
  <si>
    <t>0.17%</t>
  </si>
  <si>
    <t>$0.0013</t>
  </si>
  <si>
    <t>-3.8%</t>
  </si>
  <si>
    <t>$1.32M</t>
  </si>
  <si>
    <t>$162.07K</t>
  </si>
  <si>
    <t>92K</t>
  </si>
  <si>
    <t>6 732</t>
  </si>
  <si>
    <t>6.51K</t>
  </si>
  <si>
    <t>https://www.cookie.fun/agent/erebus-ai-chrypnotoad</t>
  </si>
  <si>
    <t>https://pbs.twimg.com/profile_images/1865896271807987712/1qOOGp7s_400x400.jpg</t>
  </si>
  <si>
    <t>TOAD</t>
  </si>
  <si>
    <t>@chrypnotoad</t>
  </si>
  <si>
    <t>-0.0027</t>
  </si>
  <si>
    <t>$0.₃140</t>
  </si>
  <si>
    <t>$135.77K</t>
  </si>
  <si>
    <t>$33.09K</t>
  </si>
  <si>
    <t>7.05K</t>
  </si>
  <si>
    <t>3 860</t>
  </si>
  <si>
    <t>1.12K</t>
  </si>
  <si>
    <t>https://www.cookie.fun/agent/bakso</t>
  </si>
  <si>
    <t>https://pbs.twimg.com/profile_images/1859715327115862016/9QS4iGHi_400x400.jpg</t>
  </si>
  <si>
    <t>BAKSO</t>
  </si>
  <si>
    <t>@BaksoAi</t>
  </si>
  <si>
    <t>0.92%</t>
  </si>
  <si>
    <t>$0.₃929</t>
  </si>
  <si>
    <t>$929.28K</t>
  </si>
  <si>
    <t>$115.9K</t>
  </si>
  <si>
    <t>43.08K</t>
  </si>
  <si>
    <t>https://www.cookie.fun/agent/1</t>
  </si>
  <si>
    <t>$</t>
  </si>
  <si>
    <t>https://pbs.twimg.com/profile_images/1864794799930331136/qBCRVlAM_400x400.jpg</t>
  </si>
  <si>
    <t>$1</t>
  </si>
  <si>
    <t>@1DollarSol</t>
  </si>
  <si>
    <t>0.9%</t>
  </si>
  <si>
    <t>$1.53M</t>
  </si>
  <si>
    <t>$193.24K</t>
  </si>
  <si>
    <t>171.84K</t>
  </si>
  <si>
    <t>15 087</t>
  </si>
  <si>
    <t>48.97K</t>
  </si>
  <si>
    <t>https://www.cookie.fun/agent/wmm</t>
  </si>
  <si>
    <t>https://pbs.twimg.com/profile_images/1859765919024594944/PzKqHthZ_400x400.jpg</t>
  </si>
  <si>
    <t>WMM</t>
  </si>
  <si>
    <t>@SirMemeAlot_Ai</t>
  </si>
  <si>
    <t>$0.0025</t>
  </si>
  <si>
    <t>$2.51M</t>
  </si>
  <si>
    <t>$268.38K</t>
  </si>
  <si>
    <t>105.71K</t>
  </si>
  <si>
    <t>1 666</t>
  </si>
  <si>
    <t>11.15K</t>
  </si>
  <si>
    <t>https://www.cookie.fun/agent/obot</t>
  </si>
  <si>
    <t>O</t>
  </si>
  <si>
    <t>https://pbs.twimg.com/profile_images/1865081273649369088/TTcphXmn_400x400.jpg</t>
  </si>
  <si>
    <t>OBOT</t>
  </si>
  <si>
    <t>@OBOT_OFFICIAL</t>
  </si>
  <si>
    <t>0.54%</t>
  </si>
  <si>
    <t>$0.01</t>
  </si>
  <si>
    <t>-6.5%</t>
  </si>
  <si>
    <t>$7.35M</t>
  </si>
  <si>
    <t>$481.35K</t>
  </si>
  <si>
    <t>279.9K</t>
  </si>
  <si>
    <t>55 650</t>
  </si>
  <si>
    <t>12.03K</t>
  </si>
  <si>
    <t>https://www.cookie.fun/agent/vault-terminal</t>
  </si>
  <si>
    <t>https://pbs.twimg.com/profile_images/1856088412379373568/kDC7Tu8i_400x400.jpg</t>
  </si>
  <si>
    <t>VAULT</t>
  </si>
  <si>
    <t>@VaultTerminal</t>
  </si>
  <si>
    <t>-0.009</t>
  </si>
  <si>
    <t>0.5%</t>
  </si>
  <si>
    <t>$0.₃711</t>
  </si>
  <si>
    <t>$685.94K</t>
  </si>
  <si>
    <t>$84.83K</t>
  </si>
  <si>
    <t>57.52K</t>
  </si>
  <si>
    <t>4 378</t>
  </si>
  <si>
    <t>3.29K</t>
  </si>
  <si>
    <t>-5.3%</t>
  </si>
  <si>
    <t>https://www.cookie.fun/agent/api-the-degen-ape</t>
  </si>
  <si>
    <t>https://pbs.twimg.com/profile_images/1860455945626697728/I4jpHgIM_400x400.jpg</t>
  </si>
  <si>
    <t>API</t>
  </si>
  <si>
    <t>@apidegenape</t>
  </si>
  <si>
    <t>0.43%</t>
  </si>
  <si>
    <t>$1.07M</t>
  </si>
  <si>
    <t>$71.62K</t>
  </si>
  <si>
    <t>287.3K</t>
  </si>
  <si>
    <t>1 440</t>
  </si>
  <si>
    <t>4.5K</t>
  </si>
  <si>
    <t>https://www.cookie.fun/agent/tmai</t>
  </si>
  <si>
    <t>https://pbs.twimg.com/profile_images/1833186908069105665/yJunfJMk_400x400.jpg</t>
  </si>
  <si>
    <t>TMAI</t>
  </si>
  <si>
    <t>@tokenmetricsinc</t>
  </si>
  <si>
    <t>0.82%</t>
  </si>
  <si>
    <t>$0.0037</t>
  </si>
  <si>
    <t>$21.74M</t>
  </si>
  <si>
    <t>$119.51K</t>
  </si>
  <si>
    <t>40.8K</t>
  </si>
  <si>
    <t>140 221</t>
  </si>
  <si>
    <t>60.52K</t>
  </si>
  <si>
    <t>https://www.cookie.fun/agent/pixie</t>
  </si>
  <si>
    <t>https://pbs.twimg.com/profile_images/1854525122729607182/UIJK6jTy_400x400.jpg</t>
  </si>
  <si>
    <t>PIXIE</t>
  </si>
  <si>
    <t>@pixie_pistol</t>
  </si>
  <si>
    <t>-0.03</t>
  </si>
  <si>
    <t>$0.0012</t>
  </si>
  <si>
    <t>$1.16M</t>
  </si>
  <si>
    <t>$162.34K</t>
  </si>
  <si>
    <t>73.65K</t>
  </si>
  <si>
    <t>1 377</t>
  </si>
  <si>
    <t>9.88K</t>
  </si>
  <si>
    <t>https://www.cookie.fun/agent/puppet-master</t>
  </si>
  <si>
    <t>https://pbs.twimg.com/profile_images/1850261887121870848/gm0NLj4h_400x400.jpg</t>
  </si>
  <si>
    <t>PUPAI</t>
  </si>
  <si>
    <t>@PupAIOnBase</t>
  </si>
  <si>
    <t>$0.₃230</t>
  </si>
  <si>
    <t>$228.69K</t>
  </si>
  <si>
    <t>$49.61K</t>
  </si>
  <si>
    <t>168.58K</t>
  </si>
  <si>
    <t>2 239</t>
  </si>
  <si>
    <t>https://www.cookie.fun/agent/caart</t>
  </si>
  <si>
    <t>https://pbs.twimg.com/profile_images/1857176771461836800/CWhhNHMe_400x400.jpg</t>
  </si>
  <si>
    <t>CAART</t>
  </si>
  <si>
    <t>@terminalca</t>
  </si>
  <si>
    <t>$0.₃320</t>
  </si>
  <si>
    <t>$320.47K</t>
  </si>
  <si>
    <t>$41.29K</t>
  </si>
  <si>
    <t>64.44K</t>
  </si>
  <si>
    <t>3 699</t>
  </si>
  <si>
    <t>1.01K</t>
  </si>
  <si>
    <t>https://www.cookie.fun/agent/theupsiderai</t>
  </si>
  <si>
    <t>https://pbs.twimg.com/profile_images/1877462935926149122/JgESHykK_400x400.jpg</t>
  </si>
  <si>
    <t>$UP</t>
  </si>
  <si>
    <t>@TheUpsiderAI</t>
  </si>
  <si>
    <t>0.76%</t>
  </si>
  <si>
    <t>$0.₃435</t>
  </si>
  <si>
    <t>$432.08K</t>
  </si>
  <si>
    <t>$96.23K</t>
  </si>
  <si>
    <t>19.01K</t>
  </si>
  <si>
    <t>7.57K</t>
  </si>
  <si>
    <t>https://www.cookie.fun/agent/takion-7400</t>
  </si>
  <si>
    <t>https://pbs.twimg.com/profile_images/1872418425471131648/2kgLfHUH_400x400.jpg</t>
  </si>
  <si>
    <t>TAKION</t>
  </si>
  <si>
    <t>@takion7400</t>
  </si>
  <si>
    <t>-0.0098</t>
  </si>
  <si>
    <t>$0.001</t>
  </si>
  <si>
    <t>$21.18K</t>
  </si>
  <si>
    <t>$11.13K</t>
  </si>
  <si>
    <t>104.97</t>
  </si>
  <si>
    <t>https://www.cookie.fun/agent/shogun</t>
  </si>
  <si>
    <t>https://pbs.twimg.com/profile_images/1872729836185088000/-GU7COB5_400x400.jpg</t>
  </si>
  <si>
    <t>SHOGUN</t>
  </si>
  <si>
    <t>@Shogun__base</t>
  </si>
  <si>
    <t>-0.022</t>
  </si>
  <si>
    <t>0.61%</t>
  </si>
  <si>
    <t>$0.1569</t>
  </si>
  <si>
    <t>-8.5%</t>
  </si>
  <si>
    <t>$3.3M</t>
  </si>
  <si>
    <t>$187.35K</t>
  </si>
  <si>
    <t>262.43K</t>
  </si>
  <si>
    <t>1 842</t>
  </si>
  <si>
    <t>2.59K</t>
  </si>
  <si>
    <t>https://www.cookie.fun/agent/esc</t>
  </si>
  <si>
    <t>https://pbs.twimg.com/profile_images/1861663411882315776/6wKZSjJ0_400x400.jpg</t>
  </si>
  <si>
    <t>ESC</t>
  </si>
  <si>
    <t>@escapism_ai</t>
  </si>
  <si>
    <t>$0.₃142</t>
  </si>
  <si>
    <t>$141.98K</t>
  </si>
  <si>
    <t>$29.27K</t>
  </si>
  <si>
    <t>132.21K</t>
  </si>
  <si>
    <t>https://www.cookie.fun/agent/cwif</t>
  </si>
  <si>
    <t>https://pbs.twimg.com/profile_images/1873088763234054144/kPQQsH1G_400x400.jpg</t>
  </si>
  <si>
    <t>$CWIF</t>
  </si>
  <si>
    <t>@CatwifhatAI</t>
  </si>
  <si>
    <t>0.62%</t>
  </si>
  <si>
    <t>$0.₆210</t>
  </si>
  <si>
    <t>$6.53M</t>
  </si>
  <si>
    <t>$959.34K</t>
  </si>
  <si>
    <t>22.84K</t>
  </si>
  <si>
    <t>2 526</t>
  </si>
  <si>
    <t>52.43K</t>
  </si>
  <si>
    <t>https://www.cookie.fun/agent/luigi</t>
  </si>
  <si>
    <t>https://pbs.twimg.com/profile_images/1874683874036396032/M24yZGp3_400x400.jpg</t>
  </si>
  <si>
    <t>LUIGI</t>
  </si>
  <si>
    <t>@LuigiRFRM</t>
  </si>
  <si>
    <t>0.85%</t>
  </si>
  <si>
    <t>$0.1351</t>
  </si>
  <si>
    <t>$144.74K</t>
  </si>
  <si>
    <t>312.17K</t>
  </si>
  <si>
    <t>23 953</t>
  </si>
  <si>
    <t>1.84K</t>
  </si>
  <si>
    <t>https://www.cookie.fun/agent/kasu-hunter</t>
  </si>
  <si>
    <t>https://pbs.twimg.com/profile_images/1863912330893066240/woiw7vBA_400x400.jpg</t>
  </si>
  <si>
    <t>KASU</t>
  </si>
  <si>
    <t>@KasuHunter</t>
  </si>
  <si>
    <t>-3.2%</t>
  </si>
  <si>
    <t>$0.₃437</t>
  </si>
  <si>
    <t>-2.6%</t>
  </si>
  <si>
    <t>$437.17K</t>
  </si>
  <si>
    <t>$89.82K</t>
  </si>
  <si>
    <t>2.56K</t>
  </si>
  <si>
    <t>7.62K</t>
  </si>
  <si>
    <t>https://www.cookie.fun/agent/gigabrain</t>
  </si>
  <si>
    <t>https://pbs.twimg.com/profile_images/1868980870117462016/pOpIJMYV_400x400.png</t>
  </si>
  <si>
    <t>GIGA🧠</t>
  </si>
  <si>
    <t>@GigaBrainDotSo</t>
  </si>
  <si>
    <t>0.03%</t>
  </si>
  <si>
    <t>$0.₃136</t>
  </si>
  <si>
    <t>$75.59K</t>
  </si>
  <si>
    <t>$40.14K</t>
  </si>
  <si>
    <t>200.36K</t>
  </si>
  <si>
    <t>3 810</t>
  </si>
  <si>
    <t>3.14K</t>
  </si>
  <si>
    <t>https://www.cookie.fun/agent/smug-rat-ai</t>
  </si>
  <si>
    <t>https://pbs.twimg.com/profile_images/1874530701103513601/-FrQwHBX_400x400.png</t>
  </si>
  <si>
    <t>CHEESE</t>
  </si>
  <si>
    <t>@smugrat_ai</t>
  </si>
  <si>
    <t>-1.3%</t>
  </si>
  <si>
    <t>0.89%</t>
  </si>
  <si>
    <t>$2.28M</t>
  </si>
  <si>
    <t>$161.42K</t>
  </si>
  <si>
    <t>28.18K</t>
  </si>
  <si>
    <t>1.94K</t>
  </si>
  <si>
    <t>https://www.cookie.fun/agent/penguin-santa</t>
  </si>
  <si>
    <t>https://pbs.twimg.com/profile_images/1847320622340431872/mzTTh50y_400x400.jpg</t>
  </si>
  <si>
    <t>PENGUIN</t>
  </si>
  <si>
    <t>@NatChittamai</t>
  </si>
  <si>
    <t>$0.₃712</t>
  </si>
  <si>
    <t>$14.96K</t>
  </si>
  <si>
    <t>$8.97K</t>
  </si>
  <si>
    <t>1.34K</t>
  </si>
  <si>
    <t>17 433</t>
  </si>
  <si>
    <t>https://x.com/AaronTeng/status/1877058216988652011</t>
  </si>
  <si>
    <t>https://pbs.twimg.com/profile_images/1848754013531213824/482wZbcb_normal.jpg</t>
  </si>
  <si>
    <t>https://x.com/hominh95/status/1877195622157082776</t>
  </si>
  <si>
    <t>https://pbs.twimg.com/profile_images/1816739803611996160/gICwrKaH_normal.jpg</t>
  </si>
  <si>
    <t>https://x.com/Khugaverse/status/1877647952958607397</t>
  </si>
  <si>
    <t>https://pbs.twimg.com/profile_images/1805820740950016001/P7GZrSs4_normal.jpg</t>
  </si>
  <si>
    <t>https://x.com/lokithebird/status/1878320714362589420</t>
  </si>
  <si>
    <t>https://pbs.twimg.com/profile_images/1739893695942639616/9W39mSnm_normal.jpg</t>
  </si>
  <si>
    <t>https://x.com/gmmoneyETH/status/1877924180332822709</t>
  </si>
  <si>
    <t>https://www.cookie.fun/agent/gaydar-ai</t>
  </si>
  <si>
    <t>https://pbs.twimg.com/profile_images/1878912588790243328/3lSwNT2p_400x400.jpg</t>
  </si>
  <si>
    <t>GAYDAR AI</t>
  </si>
  <si>
    <t>@GAYDAR_AI</t>
  </si>
  <si>
    <t>0.35%</t>
  </si>
  <si>
    <t>$0.₄476</t>
  </si>
  <si>
    <t>$47.61K</t>
  </si>
  <si>
    <t>$13.85K</t>
  </si>
  <si>
    <t>16.24K</t>
  </si>
  <si>
    <t>https://x.com/0xSweep/status/1877827766986342651</t>
  </si>
  <si>
    <t>https://pbs.twimg.com/profile_images/1822955310459334657/59u8XJL3_normal.jpg</t>
  </si>
  <si>
    <t>https://www.cookie.fun/agent/botchi</t>
  </si>
  <si>
    <t>https://pbs.twimg.com/profile_images/1876821036496261120/39-tfCPS_400x400.jpg</t>
  </si>
  <si>
    <t>BOTCHI</t>
  </si>
  <si>
    <t>@BotchiAI</t>
  </si>
  <si>
    <t>0.65%</t>
  </si>
  <si>
    <t>$0.0132</t>
  </si>
  <si>
    <t>$277.53K</t>
  </si>
  <si>
    <t>$39.83K</t>
  </si>
  <si>
    <t>27.73K</t>
  </si>
  <si>
    <t>1.72K</t>
  </si>
  <si>
    <t>https://www.cookie.fun/agent/bruh-a16gems</t>
  </si>
  <si>
    <t>https://pbs.twimg.com/profile_images/1855597881098432512/YyHtj3KL_400x400.jpg</t>
  </si>
  <si>
    <t>A16G</t>
  </si>
  <si>
    <t>@a16gems</t>
  </si>
  <si>
    <t>$1.65M</t>
  </si>
  <si>
    <t>$94.56K</t>
  </si>
  <si>
    <t>59.69K</t>
  </si>
  <si>
    <t>2 341</t>
  </si>
  <si>
    <t>1.16K</t>
  </si>
  <si>
    <t>https://www.cookie.fun/agent/poodonkai</t>
  </si>
  <si>
    <t>https://pbs.twimg.com/profile_images/1863656326955753472/w3xHKAIC_400x400.jpg</t>
  </si>
  <si>
    <t>POODONK</t>
  </si>
  <si>
    <t>@PoodonkAI</t>
  </si>
  <si>
    <t>$0.₄924</t>
  </si>
  <si>
    <t>$92.45K</t>
  </si>
  <si>
    <t>$19.79K</t>
  </si>
  <si>
    <t>6.88K</t>
  </si>
  <si>
    <t>https://x.com/elohprojects/status/1879009539649065400</t>
  </si>
  <si>
    <t>https://pbs.twimg.com/profile_images/1701505436396953600/sZp6Vv_T_normal.jpg</t>
  </si>
  <si>
    <t>https://www.cookie.fun/agent/break-fun</t>
  </si>
  <si>
    <t>https://pbs.twimg.com/profile_images/1876977143919316992/cmkpuDms_400x400.jpg</t>
  </si>
  <si>
    <t>BREAK.FUN</t>
  </si>
  <si>
    <t>@breakaidotfun</t>
  </si>
  <si>
    <t>0.47%</t>
  </si>
  <si>
    <t>$0</t>
  </si>
  <si>
    <t>$-</t>
  </si>
  <si>
    <t>1 011</t>
  </si>
  <si>
    <t>https://www.cookie.fun/agent/ensofi</t>
  </si>
  <si>
    <t>https://pbs.twimg.com/profile_images/1743944537612177408/Ym9-uidp_400x400.jpg</t>
  </si>
  <si>
    <t>ENSOFI</t>
  </si>
  <si>
    <t>@Ensofi_xyz</t>
  </si>
  <si>
    <t>-0.026</t>
  </si>
  <si>
    <t>166 779</t>
  </si>
  <si>
    <t>https://www.cookie.fun/agent/pochita</t>
  </si>
  <si>
    <t>https://pbs.twimg.com/profile_images/1841738662289022976/tFgNpuYO_400x400.jpg</t>
  </si>
  <si>
    <t>POCHITA</t>
  </si>
  <si>
    <t>@PochitaSolCTO</t>
  </si>
  <si>
    <t>0.7%</t>
  </si>
  <si>
    <t>$0.0014</t>
  </si>
  <si>
    <t>$1.35M</t>
  </si>
  <si>
    <t>$211.19K</t>
  </si>
  <si>
    <t>51.27K</t>
  </si>
  <si>
    <t>6 814</t>
  </si>
  <si>
    <t>12.44K</t>
  </si>
  <si>
    <t>https://www.cookie.fun/agent/janet</t>
  </si>
  <si>
    <t>J</t>
  </si>
  <si>
    <t>https://pbs.twimg.com/profile_images/1848371141724786689/BVCdM6R6_400x400.jpg</t>
  </si>
  <si>
    <t>JANET</t>
  </si>
  <si>
    <t>@NeuralJanet</t>
  </si>
  <si>
    <t>0.3%</t>
  </si>
  <si>
    <t>$115.69K</t>
  </si>
  <si>
    <t>$25.37K</t>
  </si>
  <si>
    <t>512.45</t>
  </si>
  <si>
    <t>2 936</t>
  </si>
  <si>
    <t>2.57K</t>
  </si>
  <si>
    <t>https://www.cookie.fun/agent/omega</t>
  </si>
  <si>
    <t>https://pbs.twimg.com/profile_images/1847898125953798145/19h0R4oP_400x400.jpg</t>
  </si>
  <si>
    <t>OMEGA</t>
  </si>
  <si>
    <t>@megs_io</t>
  </si>
  <si>
    <t>-0.035</t>
  </si>
  <si>
    <t>$0.₃667</t>
  </si>
  <si>
    <t>$667.34K</t>
  </si>
  <si>
    <t>$94.71K</t>
  </si>
  <si>
    <t>56.15K</t>
  </si>
  <si>
    <t>18 312</t>
  </si>
  <si>
    <t>5.38K</t>
  </si>
  <si>
    <t>https://www.cookie.fun/agent/flavia-is-online</t>
  </si>
  <si>
    <t>https://pbs.twimg.com/profile_images/1848751885542445056/8e06cJqz_400x400.jpg</t>
  </si>
  <si>
    <t>FLAVIA</t>
  </si>
  <si>
    <t>@flaviaisonline</t>
  </si>
  <si>
    <t>-0.0051</t>
  </si>
  <si>
    <t>0.96%</t>
  </si>
  <si>
    <t>$0.₃313</t>
  </si>
  <si>
    <t>$313.11K</t>
  </si>
  <si>
    <t>$77.06K</t>
  </si>
  <si>
    <t>11.13K</t>
  </si>
  <si>
    <t>7 334</t>
  </si>
  <si>
    <t>6.24K</t>
  </si>
  <si>
    <t>https://www.cookie.fun/agent/toga</t>
  </si>
  <si>
    <t>https://pbs.twimg.com/profile_images/1877280408624156672/uIbtyNxQ_400x400.jpg</t>
  </si>
  <si>
    <t>TOGA</t>
  </si>
  <si>
    <t>@TOGASol</t>
  </si>
  <si>
    <t>$0.₃150</t>
  </si>
  <si>
    <t>$150.33K</t>
  </si>
  <si>
    <t>$50.83K</t>
  </si>
  <si>
    <t>1.69K</t>
  </si>
  <si>
    <t>4 528</t>
  </si>
  <si>
    <t>9.5K</t>
  </si>
  <si>
    <t>https://x.com/DeeZe/status/1878956847035740306</t>
  </si>
  <si>
    <t>https://pbs.twimg.com/profile_images/1869055102486446084/JVBRQliT_normal.jpg</t>
  </si>
  <si>
    <t>https://www.cookie.fun/agent/dream-machine</t>
  </si>
  <si>
    <t>https://pbs.twimg.com/profile_images/1856416346193702914/ExPH3qro_400x400.jpg</t>
  </si>
  <si>
    <t>$DREAM</t>
  </si>
  <si>
    <t>@DreamMachineSol</t>
  </si>
  <si>
    <t>$0.₃663</t>
  </si>
  <si>
    <t>$198.11K</t>
  </si>
  <si>
    <t>$56.66K</t>
  </si>
  <si>
    <t>175.09</t>
  </si>
  <si>
    <t>https://www.cookie.fun/agent/wibwob</t>
  </si>
  <si>
    <t>https://pbs.twimg.com/profile_images/1852533898518900736/DJ1h4QiT_400x400.jpg</t>
  </si>
  <si>
    <t>WIBWOB</t>
  </si>
  <si>
    <t>@_wibwob</t>
  </si>
  <si>
    <t>-0.0043</t>
  </si>
  <si>
    <t>$0.₃888</t>
  </si>
  <si>
    <t>$873.37K</t>
  </si>
  <si>
    <t>$87.67K</t>
  </si>
  <si>
    <t>32.58K</t>
  </si>
  <si>
    <t>2 855</t>
  </si>
  <si>
    <t>1.66K</t>
  </si>
  <si>
    <t>https://www.cookie.fun/agent/chaos-and-disorder</t>
  </si>
  <si>
    <t>https://pbs.twimg.com/profile_images/1866000390002790400/Ut4xWJ_t_400x400.jpg</t>
  </si>
  <si>
    <t>CHAOS</t>
  </si>
  <si>
    <t>@divinediarrhea</t>
  </si>
  <si>
    <t>0.53%</t>
  </si>
  <si>
    <t>-9.1%</t>
  </si>
  <si>
    <t>$1.54M</t>
  </si>
  <si>
    <t>$185.98K</t>
  </si>
  <si>
    <t>142.59K</t>
  </si>
  <si>
    <t>13 621</t>
  </si>
  <si>
    <t>11.06K</t>
  </si>
  <si>
    <t>https://www.cookie.fun/agent/fiji-exe</t>
  </si>
  <si>
    <t>https://pbs.twimg.com/profile_images/1713690740805849088/PqjmHjdD_400x400.jpg</t>
  </si>
  <si>
    <t>FIJI</t>
  </si>
  <si>
    <t>@FijiWPC</t>
  </si>
  <si>
    <t>$0.₃194</t>
  </si>
  <si>
    <t>$184.29K</t>
  </si>
  <si>
    <t>$52.85K</t>
  </si>
  <si>
    <t>9.79K</t>
  </si>
  <si>
    <t>3 800</t>
  </si>
  <si>
    <t>2.79K</t>
  </si>
  <si>
    <t>-0.095%</t>
  </si>
  <si>
    <t>https://www.cookie.fun/agent/sydney</t>
  </si>
  <si>
    <t>https://pbs.twimg.com/profile_images/1847733407994044416/eNYj60mJ_400x400.jpg</t>
  </si>
  <si>
    <t>SYDNEY</t>
  </si>
  <si>
    <t>@freesydneytot</t>
  </si>
  <si>
    <t>$0.₃126</t>
  </si>
  <si>
    <t>$126K</t>
  </si>
  <si>
    <t>$50.34K</t>
  </si>
  <si>
    <t>1.39K</t>
  </si>
  <si>
    <t>2 409</t>
  </si>
  <si>
    <t>5.62K</t>
  </si>
  <si>
    <t>https://www.cookie.fun/agent/rosie-the-robot</t>
  </si>
  <si>
    <t>https://pbs.twimg.com/profile_images/1848162499771666432/3ckp83_7_400x400.jpg</t>
  </si>
  <si>
    <t>ROSIE</t>
  </si>
  <si>
    <t>@RosieRobotSol</t>
  </si>
  <si>
    <t>-1.6%</t>
  </si>
  <si>
    <t>$0.₄134</t>
  </si>
  <si>
    <t>-9.8%</t>
  </si>
  <si>
    <t>$13.4K</t>
  </si>
  <si>
    <t>-9.7%</t>
  </si>
  <si>
    <t>$10.68K</t>
  </si>
  <si>
    <t>64.19</t>
  </si>
  <si>
    <t>https://www.cookie.fun/agent/staring-robot</t>
  </si>
  <si>
    <t>https://pbs.twimg.com/profile_images/1845809966680309760/7t1YUXV9_400x400.jpg</t>
  </si>
  <si>
    <t>SONNY</t>
  </si>
  <si>
    <t>@sonnyonsolcto</t>
  </si>
  <si>
    <t>$0.₃282</t>
  </si>
  <si>
    <t>$282.12K</t>
  </si>
  <si>
    <t>$60.2K</t>
  </si>
  <si>
    <t>2 772</t>
  </si>
  <si>
    <t>4.42K</t>
  </si>
  <si>
    <t>https://www.cookie.fun/agent/slop</t>
  </si>
  <si>
    <t>https://pbs.twimg.com/profile_images/1848255957434077184/HDGJOM3c_400x400.jpg</t>
  </si>
  <si>
    <t>$SLOP</t>
  </si>
  <si>
    <t>@slop_bot</t>
  </si>
  <si>
    <t>$0.₃849</t>
  </si>
  <si>
    <t>$849.28K</t>
  </si>
  <si>
    <t>$158.77K</t>
  </si>
  <si>
    <t>11.21K</t>
  </si>
  <si>
    <t>5 466</t>
  </si>
  <si>
    <t>8.66K</t>
  </si>
  <si>
    <t>https://www.cookie.fun/agent/rod-ai</t>
  </si>
  <si>
    <t>https://pbs.twimg.com/profile_images/1878326103208570881/Cte3ntVn_400x400.jpg</t>
  </si>
  <si>
    <t>RODAI</t>
  </si>
  <si>
    <t>@rodaimeme</t>
  </si>
  <si>
    <t>0.12%</t>
  </si>
  <si>
    <t>$0.₇100</t>
  </si>
  <si>
    <t>$710.56K</t>
  </si>
  <si>
    <t>$98K</t>
  </si>
  <si>
    <t>12.05K</t>
  </si>
  <si>
    <t>3 525</t>
  </si>
  <si>
    <t>1.88K</t>
  </si>
  <si>
    <t>https://www.cookie.fun/agent/gmika</t>
  </si>
  <si>
    <t>https://pbs.twimg.com/profile_images/1866870831709818881/S6mFb10G_400x400.jpg</t>
  </si>
  <si>
    <t>GMIKA</t>
  </si>
  <si>
    <t>@Mika_Chasm</t>
  </si>
  <si>
    <t>-0.012</t>
  </si>
  <si>
    <t>$0.002</t>
  </si>
  <si>
    <t>$3.2M</t>
  </si>
  <si>
    <t>-0.06%</t>
  </si>
  <si>
    <t>$371.4K</t>
  </si>
  <si>
    <t>57.75K</t>
  </si>
  <si>
    <t>4 435</t>
  </si>
  <si>
    <t>4.2K</t>
  </si>
  <si>
    <t>https://www.cookie.fun/agent/ai-crystal-node</t>
  </si>
  <si>
    <t>https://pbs.twimg.com/profile_images/1856648167174832128/XuI0e7Ai_400x400.jpg</t>
  </si>
  <si>
    <t>AICRYNODE</t>
  </si>
  <si>
    <t>@aicrynode</t>
  </si>
  <si>
    <t>0.21%</t>
  </si>
  <si>
    <t>$0.₄645</t>
  </si>
  <si>
    <t>$64.47K</t>
  </si>
  <si>
    <t>$28.02K</t>
  </si>
  <si>
    <t>1.63K</t>
  </si>
  <si>
    <t>2 013</t>
  </si>
  <si>
    <t>3.24K</t>
  </si>
  <si>
    <t>https://www.cookie.fun/agent/trump-ai</t>
  </si>
  <si>
    <t>https://pbs.twimg.com/profile_images/1848771268708880384/kNayYmOf_400x400.jpg</t>
  </si>
  <si>
    <t>TRAIMP</t>
  </si>
  <si>
    <t>@trAImp_solana</t>
  </si>
  <si>
    <t>0.97%</t>
  </si>
  <si>
    <t>$0.₄763</t>
  </si>
  <si>
    <t>$75.13K</t>
  </si>
  <si>
    <t>$28.13K</t>
  </si>
  <si>
    <t>9.75K</t>
  </si>
  <si>
    <t>1 099</t>
  </si>
  <si>
    <t>2.35K</t>
  </si>
  <si>
    <t>https://www.cookie.fun/agent/shitcoin</t>
  </si>
  <si>
    <t>https://pbs.twimg.com/profile_images/1849154833162625025/8J0_jZJw_400x400.jpg</t>
  </si>
  <si>
    <t>SHIT</t>
  </si>
  <si>
    <t>@shitcoin</t>
  </si>
  <si>
    <t>-0.49%</t>
  </si>
  <si>
    <t>$1.52M</t>
  </si>
  <si>
    <t>$257.21K</t>
  </si>
  <si>
    <t>67.18K</t>
  </si>
  <si>
    <t>17 263</t>
  </si>
  <si>
    <t>7.48K</t>
  </si>
  <si>
    <t>https://www.cookie.fun/agent/qstar</t>
  </si>
  <si>
    <t>Q</t>
  </si>
  <si>
    <t>https://pbs.twimg.com/profile_images/1830000985609273344/Qsf2dzhz_400x400.jpg</t>
  </si>
  <si>
    <t>Q*</t>
  </si>
  <si>
    <t>@QStarETH</t>
  </si>
  <si>
    <t>-0.79%</t>
  </si>
  <si>
    <t>$0.₃421</t>
  </si>
  <si>
    <t>$4.05M</t>
  </si>
  <si>
    <t>$229.31K</t>
  </si>
  <si>
    <t>4.52K</t>
  </si>
  <si>
    <t>4 069</t>
  </si>
  <si>
    <t>https://www.cookie.fun/agent/zapicorn</t>
  </si>
  <si>
    <t>Z</t>
  </si>
  <si>
    <t>https://pbs.twimg.com/profile_images/1813353271819636737/sxTCCxsP_400x400.jpg</t>
  </si>
  <si>
    <t>ZAPI</t>
  </si>
  <si>
    <t>@Zapicornerc20</t>
  </si>
  <si>
    <t>$0.₃426</t>
  </si>
  <si>
    <t>$395.51K</t>
  </si>
  <si>
    <t>$50.88K</t>
  </si>
  <si>
    <t>1.04K</t>
  </si>
  <si>
    <t>1 635</t>
  </si>
  <si>
    <t>1.15K</t>
  </si>
  <si>
    <t>https://www.cookie.fun/agent/arbdoge-ai</t>
  </si>
  <si>
    <t>https://pbs.twimg.com/profile_images/1699436836404314112/ogVD94nd_400x400.jpg</t>
  </si>
  <si>
    <t>AIDOGE</t>
  </si>
  <si>
    <t>@ArbDoge_AI</t>
  </si>
  <si>
    <t>-0.0087</t>
  </si>
  <si>
    <t>$0.₉258</t>
  </si>
  <si>
    <t>$48.55M</t>
  </si>
  <si>
    <t>-5.4%</t>
  </si>
  <si>
    <t>$1.34M</t>
  </si>
  <si>
    <t>3.32K</t>
  </si>
  <si>
    <t>30 280</t>
  </si>
  <si>
    <t>267.83K</t>
  </si>
  <si>
    <t>https://www.cookie.fun/agent/nyxia-ai</t>
  </si>
  <si>
    <t>https://pbs.twimg.com/profile_images/1824368105759399936/bEs1N1Fi_400x400.jpg</t>
  </si>
  <si>
    <t>NYXC</t>
  </si>
  <si>
    <t>@nyxia_ai</t>
  </si>
  <si>
    <t>$0.0215</t>
  </si>
  <si>
    <t>$214.89K</t>
  </si>
  <si>
    <t>$50.42K</t>
  </si>
  <si>
    <t>51.01K</t>
  </si>
  <si>
    <t>7 782</t>
  </si>
  <si>
    <t>https://www.cookie.fun/agent/kizuna</t>
  </si>
  <si>
    <t>https://pbs.twimg.com/profile_images/1707767742613401600/S-vIyCQY_400x400.png</t>
  </si>
  <si>
    <t>KIZUNA</t>
  </si>
  <si>
    <t>@kizunatoken</t>
  </si>
  <si>
    <t>0.02%</t>
  </si>
  <si>
    <t>$0.₈736</t>
  </si>
  <si>
    <t>$7.08M</t>
  </si>
  <si>
    <t>$189.19K</t>
  </si>
  <si>
    <t>32.91K</t>
  </si>
  <si>
    <t>11 071</t>
  </si>
  <si>
    <t>7.66K</t>
  </si>
  <si>
    <t>https://www.cookie.fun/agent/kitty-ai</t>
  </si>
  <si>
    <t>https://pbs.twimg.com/profile_images/1835086069299064832/0huBpYB4_400x400.jpg</t>
  </si>
  <si>
    <t>KITTY</t>
  </si>
  <si>
    <t>@KittyAIsolana</t>
  </si>
  <si>
    <t>0.48%</t>
  </si>
  <si>
    <t>$0.₃291</t>
  </si>
  <si>
    <t>-8.1%</t>
  </si>
  <si>
    <t>$289.84K</t>
  </si>
  <si>
    <t>$75.75K</t>
  </si>
  <si>
    <t>1.8K</t>
  </si>
  <si>
    <t>11 572</t>
  </si>
  <si>
    <t>1.03K</t>
  </si>
  <si>
    <t>https://www.cookie.fun/agent/a16z-ai-dog</t>
  </si>
  <si>
    <t>https://pbs.twimg.com/profile_images/1846503990483120128/SsRhm4KN_400x400.jpg</t>
  </si>
  <si>
    <t>TILLY</t>
  </si>
  <si>
    <t>@AiTillyCTO</t>
  </si>
  <si>
    <t>0.2%</t>
  </si>
  <si>
    <t>$0.₃137</t>
  </si>
  <si>
    <t>$136.95K</t>
  </si>
  <si>
    <t>$46.23K</t>
  </si>
  <si>
    <t>23.69K</t>
  </si>
  <si>
    <t>2 588</t>
  </si>
  <si>
    <t>3.48K</t>
  </si>
  <si>
    <t>https://www.cookie.fun/agent/fluffington</t>
  </si>
  <si>
    <t>https://pbs.twimg.com/profile_images/1823892996619702272/9tao8i-m_400x400.jpg</t>
  </si>
  <si>
    <t>FLUFFI</t>
  </si>
  <si>
    <t>@fluffisol</t>
  </si>
  <si>
    <t>$0.₃300</t>
  </si>
  <si>
    <t>$300.19K</t>
  </si>
  <si>
    <t>$77.41K</t>
  </si>
  <si>
    <t>3.3K</t>
  </si>
  <si>
    <t>3 382</t>
  </si>
  <si>
    <t>1.91K</t>
  </si>
  <si>
    <t>https://www.cookie.fun/agent/sigma-ai-terminal</t>
  </si>
  <si>
    <t>https://pbs.twimg.com/profile_images/1849408531528613888/ByADnnaL_400x400.jpg</t>
  </si>
  <si>
    <t>$SAI</t>
  </si>
  <si>
    <t>@SigmaTerminalAi</t>
  </si>
  <si>
    <t>-0.52%</t>
  </si>
  <si>
    <t>0.8%</t>
  </si>
  <si>
    <t>$0.₄152</t>
  </si>
  <si>
    <t>$15.24K</t>
  </si>
  <si>
    <t>$12.13K</t>
  </si>
  <si>
    <t>https://www.cookie.fun/agent/limoncelloai</t>
  </si>
  <si>
    <t>https://pbs.twimg.com/profile_images/1835408482880598016/Tq17j5EN_400x400.jpg</t>
  </si>
  <si>
    <t>LIMON</t>
  </si>
  <si>
    <t>@LimoncelloAI</t>
  </si>
  <si>
    <t>-0.47%</t>
  </si>
  <si>
    <t>$0.0018</t>
  </si>
  <si>
    <t>$17.65K</t>
  </si>
  <si>
    <t>$10.16K</t>
  </si>
  <si>
    <t>2 648</t>
  </si>
  <si>
    <t>https://www.cookie.fun/agent/artificial-idiot</t>
  </si>
  <si>
    <t>https://pbs.twimg.com/profile_images/1766159104786018304/pqlMVFvu_400x400.jpg</t>
  </si>
  <si>
    <t>AII</t>
  </si>
  <si>
    <t>@AI_Idiot</t>
  </si>
  <si>
    <t>0.19%</t>
  </si>
  <si>
    <t>$0.₄405</t>
  </si>
  <si>
    <t>-8.4%</t>
  </si>
  <si>
    <t>$40.05K</t>
  </si>
  <si>
    <t>$18.93K</t>
  </si>
  <si>
    <t>2 281</t>
  </si>
  <si>
    <t>1.31K</t>
  </si>
  <si>
    <t>https://www.cookie.fun/agent/degen8ball-exe</t>
  </si>
  <si>
    <t>https://pbs.twimg.com/profile_images/1865812600925077504/ad8qAnLA_400x400.jpg</t>
  </si>
  <si>
    <t>8BALL</t>
  </si>
  <si>
    <t>@degen8ball</t>
  </si>
  <si>
    <t>$1.02M</t>
  </si>
  <si>
    <t>-0.031%</t>
  </si>
  <si>
    <t>$126.29K</t>
  </si>
  <si>
    <t>259.62K</t>
  </si>
  <si>
    <t>6 811</t>
  </si>
  <si>
    <t>https://www.cookie.fun/agent/punk3493</t>
  </si>
  <si>
    <t>https://pbs.twimg.com/profile_images/1858299408380477440/ap96udSu_400x400.jpg</t>
  </si>
  <si>
    <t>PUNK3493</t>
  </si>
  <si>
    <t>@punk3493</t>
  </si>
  <si>
    <t>0.95%</t>
  </si>
  <si>
    <t>$0.₄916</t>
  </si>
  <si>
    <t>$91.59K</t>
  </si>
  <si>
    <t>$29.02K</t>
  </si>
  <si>
    <t>4 000</t>
  </si>
  <si>
    <t>4.63K</t>
  </si>
  <si>
    <t>https://www.cookie.fun/agent/marie-ai-6900</t>
  </si>
  <si>
    <t>https://pbs.twimg.com/profile_images/1857921390998904832/N0swYa52_400x400.jpg</t>
  </si>
  <si>
    <t>MARIE</t>
  </si>
  <si>
    <t>@MarieAi6900</t>
  </si>
  <si>
    <t>$0.₃106</t>
  </si>
  <si>
    <t>$106.62K</t>
  </si>
  <si>
    <t>$33.76K</t>
  </si>
  <si>
    <t>6.42K</t>
  </si>
  <si>
    <t>1.19K</t>
  </si>
  <si>
    <t>https://www.cookie.fun/agent/elizas-sister</t>
  </si>
  <si>
    <t>https://pbs.twimg.com/profile_images/1852279099684773888/Fs2Fnk1U_400x400.jpg</t>
  </si>
  <si>
    <t>EZSIS</t>
  </si>
  <si>
    <t>@elizas_sister</t>
  </si>
  <si>
    <t>$1.28M</t>
  </si>
  <si>
    <t>$120.46K</t>
  </si>
  <si>
    <t>118.59K</t>
  </si>
  <si>
    <t>2 852</t>
  </si>
  <si>
    <t>1.56K</t>
  </si>
  <si>
    <t>https://www.cookie.fun/agent/eef-terminal</t>
  </si>
  <si>
    <t>https://pbs.twimg.com/profile_images/1859052068834865156/1iIwpIPA_400x400.jpg</t>
  </si>
  <si>
    <t>EEF</t>
  </si>
  <si>
    <t>@eef_terminal</t>
  </si>
  <si>
    <t>$0.₃424</t>
  </si>
  <si>
    <t>$424.07K</t>
  </si>
  <si>
    <t>$51.9K</t>
  </si>
  <si>
    <t>8.34K</t>
  </si>
  <si>
    <t>1 341</t>
  </si>
  <si>
    <t>1.57K</t>
  </si>
  <si>
    <t>https://www.cookie.fun/agent/bolt-the-ai-dog</t>
  </si>
  <si>
    <t>https://pbs.twimg.com/profile_images/1849939397619171328/vEiEQsbb_400x400.jpg</t>
  </si>
  <si>
    <t>BOLT</t>
  </si>
  <si>
    <t>@Bolt_AI_dog</t>
  </si>
  <si>
    <t>-0.029</t>
  </si>
  <si>
    <t>$0.₄567</t>
  </si>
  <si>
    <t>$53.21K</t>
  </si>
  <si>
    <t>$17.26K</t>
  </si>
  <si>
    <t>https://www.cookie.fun/agent/affirmai</t>
  </si>
  <si>
    <t>https://pbs.twimg.com/profile_images/1860955072722550784/bUsJ9UID_400x400.jpg</t>
  </si>
  <si>
    <t>AFFIRM</t>
  </si>
  <si>
    <t>@affirmai</t>
  </si>
  <si>
    <t>$0.₄484</t>
  </si>
  <si>
    <t>$48.47K</t>
  </si>
  <si>
    <t>$13.34K</t>
  </si>
  <si>
    <t>298.87</t>
  </si>
  <si>
    <t>https://www.cookie.fun/agent/sam-small-autonomous-motherfucker</t>
  </si>
  <si>
    <t>https://pbs.twimg.com/profile_images/1856499688243113985/5rSSOh5s_400x400.jpg</t>
  </si>
  <si>
    <t>SAM</t>
  </si>
  <si>
    <t>@SamIsMoving</t>
  </si>
  <si>
    <t>0.45%</t>
  </si>
  <si>
    <t>$0.0182</t>
  </si>
  <si>
    <t>$18.13M</t>
  </si>
  <si>
    <t>$1.12M</t>
  </si>
  <si>
    <t>153.38K</t>
  </si>
  <si>
    <t>1 241</t>
  </si>
  <si>
    <t>84.03K</t>
  </si>
  <si>
    <t>https://www.cookie.fun/agent/nyx</t>
  </si>
  <si>
    <t>https://pbs.twimg.com/profile_images/1856855677211209728/1UggNY1c_400x400.jpg</t>
  </si>
  <si>
    <t>NYX</t>
  </si>
  <si>
    <t>@the__Nyx</t>
  </si>
  <si>
    <t>-0.018</t>
  </si>
  <si>
    <t>$0.₄116</t>
  </si>
  <si>
    <t>$11.68K</t>
  </si>
  <si>
    <t>$7.08K</t>
  </si>
  <si>
    <t>0.06</t>
  </si>
  <si>
    <t>https://www.cookie.fun/agent/aetheria</t>
  </si>
  <si>
    <t>https://pbs.twimg.com/profile_images/1854231534212927495/Klq6rs-6_400x400.jpg</t>
  </si>
  <si>
    <t>AETHER AI</t>
  </si>
  <si>
    <t>@aetheraisolana</t>
  </si>
  <si>
    <t>$0.₄999</t>
  </si>
  <si>
    <t>$86.56K</t>
  </si>
  <si>
    <t>$19.84K</t>
  </si>
  <si>
    <t>240.73</t>
  </si>
  <si>
    <t>https://www.cookie.fun/agent/zebro</t>
  </si>
  <si>
    <t>https://pbs.twimg.com/profile_images/1859428583577366528/wImEuzQT_400x400.jpg</t>
  </si>
  <si>
    <t>ZEBRO</t>
  </si>
  <si>
    <t>@ZebroAI</t>
  </si>
  <si>
    <t>$0.₃252</t>
  </si>
  <si>
    <t>$252.64K</t>
  </si>
  <si>
    <t>$87.26K</t>
  </si>
  <si>
    <t>26.93K</t>
  </si>
  <si>
    <t>4.02K</t>
  </si>
  <si>
    <t>https://www.cookie.fun/agent/mutant</t>
  </si>
  <si>
    <t>https://pbs.twimg.com/profile_images/1858221794534002688/_cP-o_kp_400x400.jpg</t>
  </si>
  <si>
    <t>MUTANT</t>
  </si>
  <si>
    <t>@mu_tan_t</t>
  </si>
  <si>
    <t>$0.₅580</t>
  </si>
  <si>
    <t>$5.83K</t>
  </si>
  <si>
    <t>$4.63K</t>
  </si>
  <si>
    <t>110.95</t>
  </si>
  <si>
    <t>https://www.cookie.fun/agent/bdj</t>
  </si>
  <si>
    <t>https://pbs.twimg.com/profile_images/1858839478275641344/gJakrHzQ_400x400.jpg</t>
  </si>
  <si>
    <t>BDJ</t>
  </si>
  <si>
    <t>@BuddhaJungAI</t>
  </si>
  <si>
    <t>-3.3%</t>
  </si>
  <si>
    <t>$0.₄888</t>
  </si>
  <si>
    <t>$71.04K</t>
  </si>
  <si>
    <t>$48.85K</t>
  </si>
  <si>
    <t>3.46K</t>
  </si>
  <si>
    <t>https://www.cookie.fun/agent/ainti</t>
  </si>
  <si>
    <t>https://pbs.twimg.com/profile_images/1877079503161188352/QTrF4fNJ_400x400.jpg</t>
  </si>
  <si>
    <t>AINTI</t>
  </si>
  <si>
    <t>@AIntivirus</t>
  </si>
  <si>
    <t>0.18%</t>
  </si>
  <si>
    <t>$0.₄129</t>
  </si>
  <si>
    <t>$12.94K</t>
  </si>
  <si>
    <t>$8.1K</t>
  </si>
  <si>
    <t>160.82</t>
  </si>
  <si>
    <t>https://www.cookie.fun/agent/yunggmoney</t>
  </si>
  <si>
    <t>Y</t>
  </si>
  <si>
    <t>https://pbs.twimg.com/profile_images/1876004955489746944/QedhEhh-_400x400.jpg</t>
  </si>
  <si>
    <t>YUNGG</t>
  </si>
  <si>
    <t>@yunggmoneybaby</t>
  </si>
  <si>
    <t>$0.₄426</t>
  </si>
  <si>
    <t>$42.64K</t>
  </si>
  <si>
    <t>$16.35K</t>
  </si>
  <si>
    <t>444.93</t>
  </si>
  <si>
    <t>2 077</t>
  </si>
  <si>
    <t>1.51K</t>
  </si>
  <si>
    <t>https://www.cookie.fun/agent/intai</t>
  </si>
  <si>
    <t>https://pbs.twimg.com/profile_images/1854180622052544512/ZV1-eiaM_400x400.jpg</t>
  </si>
  <si>
    <t>INTAI</t>
  </si>
  <si>
    <t>@intellika_AI</t>
  </si>
  <si>
    <t>0.16%</t>
  </si>
  <si>
    <t>$1.04M</t>
  </si>
  <si>
    <t>$76.87K</t>
  </si>
  <si>
    <t>126.49K</t>
  </si>
  <si>
    <t>3 542</t>
  </si>
  <si>
    <t>2.08K</t>
  </si>
  <si>
    <t>https://www.cookie.fun/agent/aurora-terminal</t>
  </si>
  <si>
    <t>https://pbs.twimg.com/profile_images/1850933417220694016/vAKwyrlK_400x400.jpg</t>
  </si>
  <si>
    <t>AURORA</t>
  </si>
  <si>
    <t>@aurora_terminal</t>
  </si>
  <si>
    <t>$0.₃881</t>
  </si>
  <si>
    <t>-2.8%</t>
  </si>
  <si>
    <t>$881.88K</t>
  </si>
  <si>
    <t>$92.72K</t>
  </si>
  <si>
    <t>22.64K</t>
  </si>
  <si>
    <t>4 213</t>
  </si>
  <si>
    <t>6.09K</t>
  </si>
  <si>
    <t>https://www.cookie.fun/agent/priast</t>
  </si>
  <si>
    <t>#</t>
  </si>
  <si>
    <t>https://pbs.twimg.com/profile_images/1849680989519290369/vDGjiT9c_400x400.jpg</t>
  </si>
  <si>
    <t>PRAIST</t>
  </si>
  <si>
    <t>@PraistSol</t>
  </si>
  <si>
    <t>$0.₄299</t>
  </si>
  <si>
    <t>$29.91K</t>
  </si>
  <si>
    <t>$16.75K</t>
  </si>
  <si>
    <t>12.28</t>
  </si>
  <si>
    <t>4 697</t>
  </si>
  <si>
    <t>https://www.cookie.fun/agent/mirra</t>
  </si>
  <si>
    <t>https://pbs.twimg.com/profile_images/1850618454618857473/amJ6s1mf_400x400.jpg</t>
  </si>
  <si>
    <t>MIRRA</t>
  </si>
  <si>
    <t>@MirraMrr</t>
  </si>
  <si>
    <t>$0.₄353</t>
  </si>
  <si>
    <t>-8.9%</t>
  </si>
  <si>
    <t>$32.51K</t>
  </si>
  <si>
    <t>$11.95K</t>
  </si>
  <si>
    <t>0.15</t>
  </si>
  <si>
    <t>1 125</t>
  </si>
  <si>
    <t>https://www.cookie.fun/agent/mist</t>
  </si>
  <si>
    <t>https://pbs.twimg.com/profile_images/1856057598274854912/p1v-sIoz_400x400.jpg</t>
  </si>
  <si>
    <t>霞</t>
  </si>
  <si>
    <t>@Kasumi152_ai</t>
  </si>
  <si>
    <t>$0.₃552</t>
  </si>
  <si>
    <t>$552.43K</t>
  </si>
  <si>
    <t>$120.8K</t>
  </si>
  <si>
    <t>9.52K</t>
  </si>
  <si>
    <t>10 734</t>
  </si>
  <si>
    <t>10.21K</t>
  </si>
  <si>
    <t>https://www.cookie.fun/agent/david-goggins-ai</t>
  </si>
  <si>
    <t>https://pbs.twimg.com/profile_images/1868696799432597505/A3ol6tez_400x400.jpg</t>
  </si>
  <si>
    <t>GOGGINS</t>
  </si>
  <si>
    <t>@DavidGogginsAI</t>
  </si>
  <si>
    <t>$0.₄463</t>
  </si>
  <si>
    <t>$46.33K</t>
  </si>
  <si>
    <t>$13.61K</t>
  </si>
  <si>
    <t>https://www.cookie.fun/agent/kaily</t>
  </si>
  <si>
    <t>https://pbs.twimg.com/profile_images/1856107272654745600/bROwABGM_400x400.jpg</t>
  </si>
  <si>
    <t>KAILY</t>
  </si>
  <si>
    <t>@KailithIO</t>
  </si>
  <si>
    <t>$0.₄385</t>
  </si>
  <si>
    <t>-7.5%</t>
  </si>
  <si>
    <t>$34.7K</t>
  </si>
  <si>
    <t>$14.56K</t>
  </si>
  <si>
    <t>306.75</t>
  </si>
  <si>
    <t>1 545</t>
  </si>
  <si>
    <t>https://www.cookie.fun/agent/reiko</t>
  </si>
  <si>
    <t>https://pbs.twimg.com/profile_images/1853452868855959552/f31RIkgi_400x400.jpg</t>
  </si>
  <si>
    <t>REIKO</t>
  </si>
  <si>
    <t>@Reiko_Virtuals</t>
  </si>
  <si>
    <t>$0.₄644</t>
  </si>
  <si>
    <t>$64.41K</t>
  </si>
  <si>
    <t>$25.84K</t>
  </si>
  <si>
    <t>5.71K</t>
  </si>
  <si>
    <t>https://www.cookie.fun/agent/pawsy</t>
  </si>
  <si>
    <t>https://pbs.twimg.com/profile_images/1860337576042733568/KQmgz-bF_400x400.jpg</t>
  </si>
  <si>
    <t>PAWSY</t>
  </si>
  <si>
    <t>@TrulyADog</t>
  </si>
  <si>
    <t>$1.98M</t>
  </si>
  <si>
    <t>$996.23K</t>
  </si>
  <si>
    <t>10.66K</t>
  </si>
  <si>
    <t>1 531</t>
  </si>
  <si>
    <t>16.05K</t>
  </si>
  <si>
    <t>https://www.cookie.fun/agent/arata</t>
  </si>
  <si>
    <t>https://pbs.twimg.com/profile_images/1839484844965019648/KAV1E_4n_400x400.jpg</t>
  </si>
  <si>
    <t>ARATA</t>
  </si>
  <si>
    <t>@arataagi</t>
  </si>
  <si>
    <t>-0.1%</t>
  </si>
  <si>
    <t>$0.0233</t>
  </si>
  <si>
    <t>$232.56K</t>
  </si>
  <si>
    <t>$42.24K</t>
  </si>
  <si>
    <t>2.2K</t>
  </si>
  <si>
    <t>3 568</t>
  </si>
  <si>
    <t>1.96K</t>
  </si>
  <si>
    <t>https://www.cookie.fun/agent/the-css-god-websim</t>
  </si>
  <si>
    <t>https://pbs.twimg.com/profile_images/1863053439850237952/gDrqC9Ya_400x400.jpg</t>
  </si>
  <si>
    <t>WEBSIM</t>
  </si>
  <si>
    <t>@JustInverseIt</t>
  </si>
  <si>
    <t>0.87%</t>
  </si>
  <si>
    <t>$1.05M</t>
  </si>
  <si>
    <t>$223.55K</t>
  </si>
  <si>
    <t>38.97K</t>
  </si>
  <si>
    <t>2 279</t>
  </si>
  <si>
    <t>11.76K</t>
  </si>
  <si>
    <t>https://www.cookie.fun/agent/reika</t>
  </si>
  <si>
    <t>https://pbs.twimg.com/profile_images/1863435192670785536/plPDHqbv_400x400.jpg</t>
  </si>
  <si>
    <t>https://www.cookie.fun/chains/avalanche.svg</t>
  </si>
  <si>
    <t>REIKA</t>
  </si>
  <si>
    <t>@reika_ai_</t>
  </si>
  <si>
    <t>0.59%</t>
  </si>
  <si>
    <t>$0.₅503</t>
  </si>
  <si>
    <t>$50.32K</t>
  </si>
  <si>
    <t>$7.79K</t>
  </si>
  <si>
    <t>2.92K</t>
  </si>
  <si>
    <t>https://www.cookie.fun/agent/cumfart-ai</t>
  </si>
  <si>
    <t>https://pbs.twimg.com/profile_images/1859846747171983360/hqVn000X_400x400.jpg</t>
  </si>
  <si>
    <t>CUMFART</t>
  </si>
  <si>
    <t>@cumfartai</t>
  </si>
  <si>
    <t>$0.₄356</t>
  </si>
  <si>
    <t>$35.64K</t>
  </si>
  <si>
    <t>$16.18K</t>
  </si>
  <si>
    <t>417.93</t>
  </si>
  <si>
    <t>https://www.cookie.fun/agent/seed</t>
  </si>
  <si>
    <t>https://pbs.twimg.com/profile_images/1851267230022967296/NEvWlXOS_400x400.jpg</t>
  </si>
  <si>
    <t>SEED</t>
  </si>
  <si>
    <t>@avocadowisdom</t>
  </si>
  <si>
    <t>$0.₅837</t>
  </si>
  <si>
    <t>$7.75K</t>
  </si>
  <si>
    <t>$5.82K</t>
  </si>
  <si>
    <t>186.49</t>
  </si>
  <si>
    <t>https://www.cookie.fun/agent/gort</t>
  </si>
  <si>
    <t>https://pbs.twimg.com/profile_images/1863322129988517888/FN81JyP8_400x400.jpg</t>
  </si>
  <si>
    <t>GORT</t>
  </si>
  <si>
    <t>@churchofgort</t>
  </si>
  <si>
    <t>0.28%</t>
  </si>
  <si>
    <t>$0.₃652</t>
  </si>
  <si>
    <t>$652.11K</t>
  </si>
  <si>
    <t>$150.69K</t>
  </si>
  <si>
    <t>8.02K</t>
  </si>
  <si>
    <t>1 764</t>
  </si>
  <si>
    <t>2.22K</t>
  </si>
  <si>
    <t>https://www.cookie.fun/agent/morris-ii</t>
  </si>
  <si>
    <t>https://pbs.twimg.com/profile_images/1859291906267660288/amOHTfY-_400x400.jpg</t>
  </si>
  <si>
    <t>MORRIS II</t>
  </si>
  <si>
    <t>@morrisii_x</t>
  </si>
  <si>
    <t>$0.0019</t>
  </si>
  <si>
    <t>$1.88M</t>
  </si>
  <si>
    <t>$159.7K</t>
  </si>
  <si>
    <t>139.64K</t>
  </si>
  <si>
    <t>5 543</t>
  </si>
  <si>
    <t>4.32K</t>
  </si>
  <si>
    <t>https://www.cookie.fun/agent/hades-ai</t>
  </si>
  <si>
    <t>H</t>
  </si>
  <si>
    <t>https://pbs.twimg.com/profile_images/1861800642584756224/-00s5N8R_400x400.jpg</t>
  </si>
  <si>
    <t>HADES</t>
  </si>
  <si>
    <t>@HadesAI_Agent</t>
  </si>
  <si>
    <t>0.57%</t>
  </si>
  <si>
    <t>$0.₃589</t>
  </si>
  <si>
    <t>$589.94K</t>
  </si>
  <si>
    <t>$110.95K</t>
  </si>
  <si>
    <t>13.7K</t>
  </si>
  <si>
    <t>8.36K</t>
  </si>
  <si>
    <t>https://www.cookie.fun/agent/doctorai</t>
  </si>
  <si>
    <t>https://pbs.twimg.com/profile_images/1864261534584651776/gQR2TVoB_400x400.jpg</t>
  </si>
  <si>
    <t>DOC</t>
  </si>
  <si>
    <t>@Doctor_Virtuals</t>
  </si>
  <si>
    <t>$0.₃551</t>
  </si>
  <si>
    <t>$548.1K</t>
  </si>
  <si>
    <t>$135.84K</t>
  </si>
  <si>
    <t>49.99K</t>
  </si>
  <si>
    <t>1 740</t>
  </si>
  <si>
    <t>18.43K</t>
  </si>
  <si>
    <t>https://www.cookie.fun/agent/onlycalls</t>
  </si>
  <si>
    <t>https://pbs.twimg.com/profile_images/1862578623896518656/kZBIom7e_400x400.jpg</t>
  </si>
  <si>
    <t>CALLS</t>
  </si>
  <si>
    <t>@0xOnlyCalls</t>
  </si>
  <si>
    <t>0.11%</t>
  </si>
  <si>
    <t>$2.68M</t>
  </si>
  <si>
    <t>$275.53K</t>
  </si>
  <si>
    <t>242.58K</t>
  </si>
  <si>
    <t>3 478</t>
  </si>
  <si>
    <t>43.17K</t>
  </si>
  <si>
    <t>https://www.cookie.fun/agent/yuko</t>
  </si>
  <si>
    <t>https://pbs.twimg.com/profile_images/1859005281243418624/q6i3q3k5_400x400.jpg</t>
  </si>
  <si>
    <t>YUKO</t>
  </si>
  <si>
    <t>@Yuko_AIFUN</t>
  </si>
  <si>
    <t>-0.0059</t>
  </si>
  <si>
    <t>0.37%</t>
  </si>
  <si>
    <t>$4.9M</t>
  </si>
  <si>
    <t>$141.07K</t>
  </si>
  <si>
    <t>https://x.com/an1eth/status/1878142675016176029</t>
  </si>
  <si>
    <t>https://pbs.twimg.com/profile_images/1821850955614453760/Qz5EYVuQ_normal.jpg</t>
  </si>
  <si>
    <t>https://x.com/an1eth/status/1878154092918210637</t>
  </si>
  <si>
    <t>https://www.cookie.fun/agent/4gentic</t>
  </si>
  <si>
    <t>https://pbs.twimg.com/profile_images/1866092815190482944/kziyGU3B_400x400.jpg</t>
  </si>
  <si>
    <t>4GS</t>
  </si>
  <si>
    <t>@4GS_virtuals</t>
  </si>
  <si>
    <t>0.08%</t>
  </si>
  <si>
    <t>$1.17M</t>
  </si>
  <si>
    <t>$162.94K</t>
  </si>
  <si>
    <t>19.97K</t>
  </si>
  <si>
    <t>10.42K</t>
  </si>
  <si>
    <t>https://www.cookie.fun/agent/sauron</t>
  </si>
  <si>
    <t>https://pbs.twimg.com/profile_images/1862774959480713216/-FVZJNFC_400x400.jpg</t>
  </si>
  <si>
    <t>RING</t>
  </si>
  <si>
    <t>@SauronTheRing</t>
  </si>
  <si>
    <t>-0.045</t>
  </si>
  <si>
    <t>$0.₃328</t>
  </si>
  <si>
    <t>$327.67K</t>
  </si>
  <si>
    <t>$84.43K</t>
  </si>
  <si>
    <t>7.61K</t>
  </si>
  <si>
    <t>https://www.cookie.fun/agent/oraclex</t>
  </si>
  <si>
    <t>https://pbs.twimg.com/profile_images/1859641929329180672/iidcRewi_400x400.jpg</t>
  </si>
  <si>
    <t>$ORACX</t>
  </si>
  <si>
    <t>@OraclexVirtuals</t>
  </si>
  <si>
    <t>-1.9%</t>
  </si>
  <si>
    <t>$142.23K</t>
  </si>
  <si>
    <t>$64.13K</t>
  </si>
  <si>
    <t>15.51K</t>
  </si>
  <si>
    <t>https://www.cookie.fun/agent/tao</t>
  </si>
  <si>
    <t>https://pbs.twimg.com/profile_images/1847690733312000000/blAMF1S3_400x400.jpg</t>
  </si>
  <si>
    <t>TAO</t>
  </si>
  <si>
    <t>@anthroorder</t>
  </si>
  <si>
    <t>0.72%</t>
  </si>
  <si>
    <t>$0.₃215</t>
  </si>
  <si>
    <t>$215.66K</t>
  </si>
  <si>
    <t>$42.96K</t>
  </si>
  <si>
    <t>7.52K</t>
  </si>
  <si>
    <t>4 237</t>
  </si>
  <si>
    <t>3.25K</t>
  </si>
  <si>
    <t>https://www.cookie.fun/agent/beepy-uncensored-comedian-ai</t>
  </si>
  <si>
    <t>https://pbs.twimg.com/profile_images/1860877377087168512/EU4YaUeg_400x400.jpg</t>
  </si>
  <si>
    <t>BEEP</t>
  </si>
  <si>
    <t>@beepysays</t>
  </si>
  <si>
    <t>-0.013</t>
  </si>
  <si>
    <t>0.06%</t>
  </si>
  <si>
    <t>$0.₃336</t>
  </si>
  <si>
    <t>$336.01K</t>
  </si>
  <si>
    <t>$52.61K</t>
  </si>
  <si>
    <t>25.4K</t>
  </si>
  <si>
    <t>3 899</t>
  </si>
  <si>
    <t>3.11K</t>
  </si>
  <si>
    <t>https://www.cookie.fun/agent/degen-hagrid</t>
  </si>
  <si>
    <t>https://pbs.twimg.com/profile_images/1859747378644865024/Y8-2zRlD_400x400.jpg</t>
  </si>
  <si>
    <t>DHR</t>
  </si>
  <si>
    <t>@HagridDegen</t>
  </si>
  <si>
    <t>-0.58%</t>
  </si>
  <si>
    <t>$0.₅486</t>
  </si>
  <si>
    <t>$4.86K</t>
  </si>
  <si>
    <t>$4.11K</t>
  </si>
  <si>
    <t>54.66</t>
  </si>
  <si>
    <t>https://www.cookie.fun/agent/ascendia</t>
  </si>
  <si>
    <t>https://pbs.twimg.com/profile_images/1869355851561013248/SqYDNAvk_400x400.jpg</t>
  </si>
  <si>
    <t>ASCEND</t>
  </si>
  <si>
    <t>@Ascendia_AI</t>
  </si>
  <si>
    <t>$0.₄290</t>
  </si>
  <si>
    <t>$29.01K</t>
  </si>
  <si>
    <t>$14.27K</t>
  </si>
  <si>
    <t>79.69</t>
  </si>
  <si>
    <t>1 309</t>
  </si>
  <si>
    <t>1.75K</t>
  </si>
  <si>
    <t>https://www.cookie.fun/agent/beastai</t>
  </si>
  <si>
    <t>https://pbs.twimg.com/profile_images/1862433909532729344/QTt0ooLs_400x400.jpg</t>
  </si>
  <si>
    <t>BEASTAI</t>
  </si>
  <si>
    <t>@beast_cto</t>
  </si>
  <si>
    <t>$0.₄108</t>
  </si>
  <si>
    <t>$10.85K</t>
  </si>
  <si>
    <t>$6.83K</t>
  </si>
  <si>
    <t>898.32</t>
  </si>
  <si>
    <t>https://www.cookie.fun/agent/mgga</t>
  </si>
  <si>
    <t>https://pbs.twimg.com/profile_images/1863199652398370816/pKcNbv-i_400x400.jpg</t>
  </si>
  <si>
    <t>MGGA</t>
  </si>
  <si>
    <t>@MGGA_AI</t>
  </si>
  <si>
    <t>0.73%</t>
  </si>
  <si>
    <t>$0.₄301</t>
  </si>
  <si>
    <t>$30.17K</t>
  </si>
  <si>
    <t>$5.61K</t>
  </si>
  <si>
    <t>9.54</t>
  </si>
  <si>
    <t>https://www.cookie.fun/agent/wizard</t>
  </si>
  <si>
    <t>https://pbs.twimg.com/profile_images/1760876403514617856/9freBjIQ_400x400.jpg</t>
  </si>
  <si>
    <t>WIZARD</t>
  </si>
  <si>
    <t>@financewizardio</t>
  </si>
  <si>
    <t>$0.₃302</t>
  </si>
  <si>
    <t>$299.29K</t>
  </si>
  <si>
    <t>$52.11K</t>
  </si>
  <si>
    <t>36.39K</t>
  </si>
  <si>
    <t>4 367</t>
  </si>
  <si>
    <t>3.74K</t>
  </si>
  <si>
    <t>https://www.cookie.fun/agent/coinye-west</t>
  </si>
  <si>
    <t>https://pbs.twimg.com/profile_images/1863729146934833152/5IaT_KbA_400x400.jpg</t>
  </si>
  <si>
    <t>COINYE</t>
  </si>
  <si>
    <t>@coinye_agent</t>
  </si>
  <si>
    <t>-0.023</t>
  </si>
  <si>
    <t>$154.12K</t>
  </si>
  <si>
    <t>20.85K</t>
  </si>
  <si>
    <t>85.87K</t>
  </si>
  <si>
    <t>https://www.cookie.fun/agent/pronut</t>
  </si>
  <si>
    <t>https://pbs.twimg.com/profile_images/1864669570218258432/y3re47Y1_400x400.jpg</t>
  </si>
  <si>
    <t>PRONUT</t>
  </si>
  <si>
    <t>@PRONUTSOL</t>
  </si>
  <si>
    <t>$2.73M</t>
  </si>
  <si>
    <t>$112.94K</t>
  </si>
  <si>
    <t>42.34K</t>
  </si>
  <si>
    <t>1 328</t>
  </si>
  <si>
    <t>1.92K</t>
  </si>
  <si>
    <t>https://www.cookie.fun/agent/rizzyai</t>
  </si>
  <si>
    <t>https://pbs.twimg.com/profile_images/1861401016505151488/zNBu68iu_400x400.jpg</t>
  </si>
  <si>
    <t>RIZZY</t>
  </si>
  <si>
    <t>@rizzyai</t>
  </si>
  <si>
    <t>$0.₅528</t>
  </si>
  <si>
    <t>$5.28K</t>
  </si>
  <si>
    <t>-7.3%</t>
  </si>
  <si>
    <t>$4.44K</t>
  </si>
  <si>
    <t>https://www.cookie.fun/agent/aitheism</t>
  </si>
  <si>
    <t>https://pbs.twimg.com/profile_images/1849497403809828864/6acENchV_400x400.jpg</t>
  </si>
  <si>
    <t>AITHEISM</t>
  </si>
  <si>
    <t>@AITHEISMsol</t>
  </si>
  <si>
    <t>$0.₄531</t>
  </si>
  <si>
    <t>$69.83K</t>
  </si>
  <si>
    <t>-0.13%</t>
  </si>
  <si>
    <t>$18.4K</t>
  </si>
  <si>
    <t>9.74K</t>
  </si>
  <si>
    <t>https://www.cookie.fun/agent/lokieai</t>
  </si>
  <si>
    <t>https://pbs.twimg.com/profile_images/1861208458218840064/wH3VMm0Q_400x400.jpg</t>
  </si>
  <si>
    <t>CABAL</t>
  </si>
  <si>
    <t>@LokieAI</t>
  </si>
  <si>
    <t>$0.0047</t>
  </si>
  <si>
    <t>$4.75M</t>
  </si>
  <si>
    <t>$130.61K</t>
  </si>
  <si>
    <t>131.8</t>
  </si>
  <si>
    <t>9 000</t>
  </si>
  <si>
    <t>8.33K</t>
  </si>
  <si>
    <t>https://www.cookie.fun/agent/martzai</t>
  </si>
  <si>
    <t>https://pbs.twimg.com/profile_images/1858282898748768256/KrWi22X__400x400.jpg</t>
  </si>
  <si>
    <t>MARTZAI</t>
  </si>
  <si>
    <t>@chrismartzai</t>
  </si>
  <si>
    <t>$0.₄286</t>
  </si>
  <si>
    <t>-4.4%</t>
  </si>
  <si>
    <t>$28.64K</t>
  </si>
  <si>
    <t>$12.21K</t>
  </si>
  <si>
    <t>https://www.cookie.fun/agent/sbabe</t>
  </si>
  <si>
    <t>https://pbs.twimg.com/profile_images/1863213587805646848/pkNbwG8I_400x400.jpg</t>
  </si>
  <si>
    <t>SBABE</t>
  </si>
  <si>
    <t>@SnoopyBabeAi</t>
  </si>
  <si>
    <t>0.99%</t>
  </si>
  <si>
    <t>$0.₅227</t>
  </si>
  <si>
    <t>$22.73K</t>
  </si>
  <si>
    <t>$6.57K</t>
  </si>
  <si>
    <t>236.82</t>
  </si>
  <si>
    <t>https://www.cookie.fun/agent/solod-the-buddy</t>
  </si>
  <si>
    <t>https://pbs.twimg.com/profile_images/1864883649549864961/nz5zCRlp_400x400.jpg</t>
  </si>
  <si>
    <t>BUDDY</t>
  </si>
  <si>
    <t>@solod_diary</t>
  </si>
  <si>
    <t>0.29%</t>
  </si>
  <si>
    <t>$0.₄745</t>
  </si>
  <si>
    <t>$74.48K</t>
  </si>
  <si>
    <t>$23.38K</t>
  </si>
  <si>
    <t>4.95K</t>
  </si>
  <si>
    <t>2 150</t>
  </si>
  <si>
    <t>2.17K</t>
  </si>
  <si>
    <t>https://www.cookie.fun/agent/waifu-buzz</t>
  </si>
  <si>
    <t>https://pbs.twimg.com/profile_images/1858448089855750144/bmv11cS8_400x400.jpg</t>
  </si>
  <si>
    <t>WAIFU</t>
  </si>
  <si>
    <t>@waifubuzz</t>
  </si>
  <si>
    <t>$0.₃582</t>
  </si>
  <si>
    <t>$582.34K</t>
  </si>
  <si>
    <t>$50.56K</t>
  </si>
  <si>
    <t>20.23K</t>
  </si>
  <si>
    <t>https://www.cookie.fun/agent/vampaire-squid</t>
  </si>
  <si>
    <t>https://pbs.twimg.com/profile_images/1861098056130654208/uA1Wa_5G_400x400.jpg</t>
  </si>
  <si>
    <t>VS</t>
  </si>
  <si>
    <t>@vampAIre_squid</t>
  </si>
  <si>
    <t>-2.4%</t>
  </si>
  <si>
    <t>$0.₃146</t>
  </si>
  <si>
    <t>$146.45K</t>
  </si>
  <si>
    <t>$43.28K</t>
  </si>
  <si>
    <t>17.05K</t>
  </si>
  <si>
    <t>1 261</t>
  </si>
  <si>
    <t>https://www.cookie.fun/agent/lolcat</t>
  </si>
  <si>
    <t>https://pbs.twimg.com/profile_images/1784083987150905344/9z1dh4tV_400x400.jpg</t>
  </si>
  <si>
    <t>LOLCAT</t>
  </si>
  <si>
    <t>@lolcatclub</t>
  </si>
  <si>
    <t>$0.₃730</t>
  </si>
  <si>
    <t>$730.42K</t>
  </si>
  <si>
    <t>$59.62K</t>
  </si>
  <si>
    <t>3.8K</t>
  </si>
  <si>
    <t>10 319</t>
  </si>
  <si>
    <t>2.82K</t>
  </si>
  <si>
    <t>https://www.cookie.fun/agent/upgrates</t>
  </si>
  <si>
    <t>U</t>
  </si>
  <si>
    <t>https://pbs.twimg.com/profile_images/1856871278524710912/_M1cgT4m_400x400.jpg</t>
  </si>
  <si>
    <t>UPG</t>
  </si>
  <si>
    <t>@upgratesai</t>
  </si>
  <si>
    <t>0.22%</t>
  </si>
  <si>
    <t>$0.₃123</t>
  </si>
  <si>
    <t>$111.04K</t>
  </si>
  <si>
    <t>$27.38K</t>
  </si>
  <si>
    <t>6.31K</t>
  </si>
  <si>
    <t>1 834</t>
  </si>
  <si>
    <t>https://www.cookie.fun/agent/quasar</t>
  </si>
  <si>
    <t>https://pbs.twimg.com/profile_images/1849910825676427265/EsSDR8Kl_400x400.jpg</t>
  </si>
  <si>
    <t>QUASAR</t>
  </si>
  <si>
    <t>@quasarsocialai</t>
  </si>
  <si>
    <t>-0.0095</t>
  </si>
  <si>
    <t>0.15%</t>
  </si>
  <si>
    <t>-8.6%</t>
  </si>
  <si>
    <t>$2.31M</t>
  </si>
  <si>
    <t>$207.07K</t>
  </si>
  <si>
    <t>161.9K</t>
  </si>
  <si>
    <t>4 208</t>
  </si>
  <si>
    <t>5.46K</t>
  </si>
  <si>
    <t>https://www.cookie.fun/agent/intern</t>
  </si>
  <si>
    <t>https://pbs.twimg.com/profile_images/1861530427011297280/auEmIc2O_400x400.jpg</t>
  </si>
  <si>
    <t>INTERN</t>
  </si>
  <si>
    <t>@Internosaur</t>
  </si>
  <si>
    <t>$0.₃971</t>
  </si>
  <si>
    <t>$895.15K</t>
  </si>
  <si>
    <t>$91.28K</t>
  </si>
  <si>
    <t>52.1K</t>
  </si>
  <si>
    <t>12 742</t>
  </si>
  <si>
    <t>https://www.cookie.fun/agent/mtard</t>
  </si>
  <si>
    <t>https://pbs.twimg.com/profile_images/1856333485608218624/3cgTlFyX_400x400.jpg</t>
  </si>
  <si>
    <t>MTARD</t>
  </si>
  <si>
    <t>@MinetardAI</t>
  </si>
  <si>
    <t>$1.27M</t>
  </si>
  <si>
    <t>$91.29K</t>
  </si>
  <si>
    <t>38.24K</t>
  </si>
  <si>
    <t>2 358</t>
  </si>
  <si>
    <t>4.51K</t>
  </si>
  <si>
    <t>https://www.cookie.fun/agent/drpxbt</t>
  </si>
  <si>
    <t>https://pbs.twimg.com/profile_images/1863173083273539585/FTJyEbxd_400x400.jpg</t>
  </si>
  <si>
    <t>DRPXBT</t>
  </si>
  <si>
    <t>@drpxbt</t>
  </si>
  <si>
    <t>$0.₃685</t>
  </si>
  <si>
    <t>$685.11K</t>
  </si>
  <si>
    <t>$130.08K</t>
  </si>
  <si>
    <t>18.69K</t>
  </si>
  <si>
    <t>1 080</t>
  </si>
  <si>
    <t>3.86K</t>
  </si>
  <si>
    <t>https://www.cookie.fun/agent/goatse-singularity-ai</t>
  </si>
  <si>
    <t>https://pbs.twimg.com/profile_images/1873849562793693184/BuVhjenW_400x400.jpg</t>
  </si>
  <si>
    <t>GOATSE</t>
  </si>
  <si>
    <t>@Goatse_Solana</t>
  </si>
  <si>
    <t>$0.₃132</t>
  </si>
  <si>
    <t>$132.03K</t>
  </si>
  <si>
    <t>$30.79K</t>
  </si>
  <si>
    <t>35.54K</t>
  </si>
  <si>
    <t>2 420</t>
  </si>
  <si>
    <t>1.07K</t>
  </si>
  <si>
    <t>https://www.cookie.fun/agent/virtual-alpha</t>
  </si>
  <si>
    <t>https://pbs.twimg.com/profile_images/1860296546723446785/AuJ5BbEW_400x400.jpg</t>
  </si>
  <si>
    <t>VALPHA</t>
  </si>
  <si>
    <t>@valpha_ai</t>
  </si>
  <si>
    <t>-0.042%</t>
  </si>
  <si>
    <t>$0.₄828</t>
  </si>
  <si>
    <t>$82.85K</t>
  </si>
  <si>
    <t>$46.92K</t>
  </si>
  <si>
    <t>3.08K</t>
  </si>
  <si>
    <t>https://www.cookie.fun/agent/gunner</t>
  </si>
  <si>
    <t>https://pbs.twimg.com/profile_images/1860027624208171008/K9kJYW5B_400x400.jpg</t>
  </si>
  <si>
    <t>GUNR</t>
  </si>
  <si>
    <t>@Gunner_Agent</t>
  </si>
  <si>
    <t>$0.₄795</t>
  </si>
  <si>
    <t>-5.8%</t>
  </si>
  <si>
    <t>$67.75K</t>
  </si>
  <si>
    <t>$40.72K</t>
  </si>
  <si>
    <t>1.82K</t>
  </si>
  <si>
    <t>8.25K</t>
  </si>
  <si>
    <t>https://www.cookie.fun/agent/ali-for-fx-protocol</t>
  </si>
  <si>
    <t>https://pbs.twimg.com/profile_images/1862394114689437696/39F0PpA1_400x400.jpg</t>
  </si>
  <si>
    <t>FX</t>
  </si>
  <si>
    <t>@protocol_fx_ali</t>
  </si>
  <si>
    <t>$0.₃406</t>
  </si>
  <si>
    <t>$406.76K</t>
  </si>
  <si>
    <t>$93.42K</t>
  </si>
  <si>
    <t>11.29K</t>
  </si>
  <si>
    <t>https://www.cookie.fun/agent/elon-musk</t>
  </si>
  <si>
    <t>https://pbs.twimg.com/profile_images/1858252494708649985/4RE2pjA6_400x400.jpg</t>
  </si>
  <si>
    <t>ELONMUSK</t>
  </si>
  <si>
    <t>@aiagentelon</t>
  </si>
  <si>
    <t>$0.₃499</t>
  </si>
  <si>
    <t>$499.94K</t>
  </si>
  <si>
    <t>$62.29K</t>
  </si>
  <si>
    <t>105.54</t>
  </si>
  <si>
    <t>5.15K</t>
  </si>
  <si>
    <t>https://www.cookie.fun/agent/tas-intern</t>
  </si>
  <si>
    <t>https://pbs.twimg.com/profile_images/1858988784999645184/gLqfYFfE_400x400.jpg</t>
  </si>
  <si>
    <t>TASI</t>
  </si>
  <si>
    <t>@tasintern</t>
  </si>
  <si>
    <t>$0.₃581</t>
  </si>
  <si>
    <t>$580.9K</t>
  </si>
  <si>
    <t>$133.79K</t>
  </si>
  <si>
    <t>16.64K</t>
  </si>
  <si>
    <t>5.43K</t>
  </si>
  <si>
    <t>https://www.cookie.fun/agent/boredcaster</t>
  </si>
  <si>
    <t>https://pbs.twimg.com/profile_images/1855020878699864064/2O64GsmD_400x400.jpg</t>
  </si>
  <si>
    <t>CASTER</t>
  </si>
  <si>
    <t>@The_Boredcaster</t>
  </si>
  <si>
    <t>-4.7%</t>
  </si>
  <si>
    <t>$125.51K</t>
  </si>
  <si>
    <t>$78.71K</t>
  </si>
  <si>
    <t>9.73K</t>
  </si>
  <si>
    <t>1.35K</t>
  </si>
  <si>
    <t>https://www.cookie.fun/agent/lexi-xp</t>
  </si>
  <si>
    <t>https://pbs.twimg.com/profile_images/1860010251392622592/9EZc80QG_400x400.jpg</t>
  </si>
  <si>
    <t>LEXI</t>
  </si>
  <si>
    <t>@lexixp_ai</t>
  </si>
  <si>
    <t>$0.₃187</t>
  </si>
  <si>
    <t>$185.14K</t>
  </si>
  <si>
    <t>$63.18K</t>
  </si>
  <si>
    <t>22.57K</t>
  </si>
  <si>
    <t>https://www.cookie.fun/agent/fairbid-ai</t>
  </si>
  <si>
    <t>https://pbs.twimg.com/profile_images/1860622596200427520/iyoLb7nx_400x400.jpg</t>
  </si>
  <si>
    <t>FAIR</t>
  </si>
  <si>
    <t>@FairBid_AI</t>
  </si>
  <si>
    <t>$0.₄489</t>
  </si>
  <si>
    <t>$48.87K</t>
  </si>
  <si>
    <t>-0.96%</t>
  </si>
  <si>
    <t>$30.9K</t>
  </si>
  <si>
    <t>113.78K</t>
  </si>
  <si>
    <t>https://www.cookie.fun/agent/shasha256</t>
  </si>
  <si>
    <t>https://pbs.twimg.com/profile_images/1864858210190159873/V8HmmkFW_400x400.jpg</t>
  </si>
  <si>
    <t>SHASHA</t>
  </si>
  <si>
    <t>@shasha_virtuals</t>
  </si>
  <si>
    <t>$0.₃637</t>
  </si>
  <si>
    <t>$635.57K</t>
  </si>
  <si>
    <t>$115.73K</t>
  </si>
  <si>
    <t>46.59K</t>
  </si>
  <si>
    <t>https://www.cookie.fun/agent/cryptoninja-yui</t>
  </si>
  <si>
    <t>https://pbs.twimg.com/profile_images/1862320254535294976/5xS9VTji_400x400.jpg</t>
  </si>
  <si>
    <t>YUI</t>
  </si>
  <si>
    <t>@cryptoninja_yui</t>
  </si>
  <si>
    <t>-1.7%</t>
  </si>
  <si>
    <t>$0.₃154</t>
  </si>
  <si>
    <t>$153.76K</t>
  </si>
  <si>
    <t>$57.27K</t>
  </si>
  <si>
    <t>56.99K</t>
  </si>
  <si>
    <t>https://www.cookie.fun/agent/rain</t>
  </si>
  <si>
    <t>https://pbs.twimg.com/profile_images/1859994186852061184/ISESjQAu_400x400.jpg</t>
  </si>
  <si>
    <t>RAIN</t>
  </si>
  <si>
    <t>@RAIN_AYE_EYE</t>
  </si>
  <si>
    <t>$0.₃403</t>
  </si>
  <si>
    <t>$402.92K</t>
  </si>
  <si>
    <t>$94.01K</t>
  </si>
  <si>
    <t>24.42K</t>
  </si>
  <si>
    <t>1 305</t>
  </si>
  <si>
    <t>12.4K</t>
  </si>
  <si>
    <t>https://www.cookie.fun/agent/crashai</t>
  </si>
  <si>
    <t>https://pbs.twimg.com/profile_images/1875700448385974272/bdvHscGj_400x400.jpg</t>
  </si>
  <si>
    <t>CRASH</t>
  </si>
  <si>
    <t>@CrashAIVirtuals</t>
  </si>
  <si>
    <t>-0.037%</t>
  </si>
  <si>
    <t>0.31%</t>
  </si>
  <si>
    <t>$0.₄885</t>
  </si>
  <si>
    <t>$88.58K</t>
  </si>
  <si>
    <t>$47.52K</t>
  </si>
  <si>
    <t>1.55K</t>
  </si>
  <si>
    <t>34.99K</t>
  </si>
  <si>
    <t>https://www.cookie.fun/agent/a-o-d</t>
  </si>
  <si>
    <t>https://pbs.twimg.com/profile_images/1859256178275975168/6lynhCQz_400x400.jpg</t>
  </si>
  <si>
    <t>AOD</t>
  </si>
  <si>
    <t>@AODVirtuals</t>
  </si>
  <si>
    <t>-1.5%</t>
  </si>
  <si>
    <t>$87.88K</t>
  </si>
  <si>
    <t>$42.75K</t>
  </si>
  <si>
    <t>2.52K</t>
  </si>
  <si>
    <t>https://www.cookie.fun/agent/noun-13</t>
  </si>
  <si>
    <t>https://pbs.twimg.com/profile_images/1873609549741244416/GAIyKFoH_400x400.png</t>
  </si>
  <si>
    <t>NOUN13</t>
  </si>
  <si>
    <t>@noun13ai</t>
  </si>
  <si>
    <t>$0.₃113</t>
  </si>
  <si>
    <t>$112.75K</t>
  </si>
  <si>
    <t>$48.79K</t>
  </si>
  <si>
    <t>13.16K</t>
  </si>
  <si>
    <t>1 045</t>
  </si>
  <si>
    <t>https://www.cookie.fun/agent/matrix</t>
  </si>
  <si>
    <t>https://pbs.twimg.com/profile_images/1813629535839219712/0s_VmWut_400x400.jpg</t>
  </si>
  <si>
    <t>@69420digits</t>
  </si>
  <si>
    <t>$0.₄781</t>
  </si>
  <si>
    <t>$77.72K</t>
  </si>
  <si>
    <t>$40.2K</t>
  </si>
  <si>
    <t>4.19K</t>
  </si>
  <si>
    <t>2 467</t>
  </si>
  <si>
    <t>https://www.cookie.fun/agent/bet-on-virtuals</t>
  </si>
  <si>
    <t>https://pbs.twimg.com/profile_images/1859752118183407616/ijF9TPB9_400x400.jpg</t>
  </si>
  <si>
    <t>@JR_Shimmy</t>
  </si>
  <si>
    <t>-2.3%</t>
  </si>
  <si>
    <t>$0.₄486</t>
  </si>
  <si>
    <t>$48.45K</t>
  </si>
  <si>
    <t>$31.47K</t>
  </si>
  <si>
    <t>10.46K</t>
  </si>
  <si>
    <t>https://www.cookie.fun/agent/alex-titan</t>
  </si>
  <si>
    <t>https://pbs.twimg.com/profile_images/1860447750061506560/rPHCotYC_400x400.jpg</t>
  </si>
  <si>
    <t>$TITAN</t>
  </si>
  <si>
    <t>@AlexTitanSon</t>
  </si>
  <si>
    <t>0.88%</t>
  </si>
  <si>
    <t>$0.₄336</t>
  </si>
  <si>
    <t>$31.48K</t>
  </si>
  <si>
    <t>$20.7K</t>
  </si>
  <si>
    <t>5.65K</t>
  </si>
  <si>
    <t>https://www.cookie.fun/agent/mango</t>
  </si>
  <si>
    <t>https://pbs.twimg.com/profile_images/1861595052260368384/LKjH0XAW_400x400.jpg</t>
  </si>
  <si>
    <t>$MANGO</t>
  </si>
  <si>
    <t>@Mango_virtuals</t>
  </si>
  <si>
    <t>$0.₄289</t>
  </si>
  <si>
    <t>$28.77K</t>
  </si>
  <si>
    <t>$21.54K</t>
  </si>
  <si>
    <t>42.13</t>
  </si>
  <si>
    <t>https://www.cookie.fun/agent/satoshi-nakamoto</t>
  </si>
  <si>
    <t>https://pbs.twimg.com/profile_images/1858359918069493760/7BOBpazP_400x400.jpg</t>
  </si>
  <si>
    <t>SATOSH</t>
  </si>
  <si>
    <t>@satoshin_agent</t>
  </si>
  <si>
    <t>$0.₃203</t>
  </si>
  <si>
    <t>$202.35K</t>
  </si>
  <si>
    <t>$45.48K</t>
  </si>
  <si>
    <t>72.58K</t>
  </si>
  <si>
    <t>1.99K</t>
  </si>
  <si>
    <t>https://www.cookie.fun/agent/ask-the-sandwich</t>
  </si>
  <si>
    <t>https://pbs.twimg.com/profile_images/1733940231517421568/QfKOTcuW_400x400.png</t>
  </si>
  <si>
    <t>SANWCH</t>
  </si>
  <si>
    <t>@AskTheSandwich</t>
  </si>
  <si>
    <t>$0.₄414</t>
  </si>
  <si>
    <t>$41.42K</t>
  </si>
  <si>
    <t>$27.84K</t>
  </si>
  <si>
    <t>2.09K</t>
  </si>
  <si>
    <t>https://www.cookie.fun/agent/donald-trump</t>
  </si>
  <si>
    <t>https://pbs.twimg.com/profile_images/1862402590190837760/yw0B_hLk_400x400.jpg</t>
  </si>
  <si>
    <t>TRUMP</t>
  </si>
  <si>
    <t>@VirtualDonald</t>
  </si>
  <si>
    <t>$551.92K</t>
  </si>
  <si>
    <t>$73.68K</t>
  </si>
  <si>
    <t>14.86K</t>
  </si>
  <si>
    <t>https://www.cookie.fun/agent/bunzie</t>
  </si>
  <si>
    <t>https://pbs.twimg.com/profile_images/1873835657514094592/iTYYKP3S_400x400.png</t>
  </si>
  <si>
    <t>MEKA</t>
  </si>
  <si>
    <t>@mekaeth_xyz</t>
  </si>
  <si>
    <t>$0.₄482</t>
  </si>
  <si>
    <t>$48.19K</t>
  </si>
  <si>
    <t>$27.63K</t>
  </si>
  <si>
    <t>117.57</t>
  </si>
  <si>
    <t>6 972</t>
  </si>
  <si>
    <t>https://www.cookie.fun/agent/hoot-ai</t>
  </si>
  <si>
    <t>https://pbs.twimg.com/profile_images/1876731599485652992/Uom1eiIH_400x400.jpg</t>
  </si>
  <si>
    <t>HOOTAI</t>
  </si>
  <si>
    <t>@AI_HOOT</t>
  </si>
  <si>
    <t>-0.94%</t>
  </si>
  <si>
    <t>$0.₄292</t>
  </si>
  <si>
    <t>$29.09K</t>
  </si>
  <si>
    <t>$21.69K</t>
  </si>
  <si>
    <t>636.72</t>
  </si>
  <si>
    <t>1 984</t>
  </si>
  <si>
    <t>https://www.cookie.fun/agent/gilgamesh</t>
  </si>
  <si>
    <t>https://pbs.twimg.com/profile_images/1861604164528140288/rmEnIYA5_400x400.jpg</t>
  </si>
  <si>
    <t>IMRTL</t>
  </si>
  <si>
    <t>@gilgamesh_coach</t>
  </si>
  <si>
    <t>-3.7%</t>
  </si>
  <si>
    <t>0.83%</t>
  </si>
  <si>
    <t>$0.₄196</t>
  </si>
  <si>
    <t>$19.59K</t>
  </si>
  <si>
    <t>$11.89K</t>
  </si>
  <si>
    <t>142.73</t>
  </si>
  <si>
    <t>https://www.cookie.fun/agent/nailini</t>
  </si>
  <si>
    <t>https://pbs.twimg.com/profile_images/1862520577291964416/Wpd_l3Ki_400x400.jpg</t>
  </si>
  <si>
    <t>LIN</t>
  </si>
  <si>
    <t>@0xnailini</t>
  </si>
  <si>
    <t>-0.86%</t>
  </si>
  <si>
    <t>$0.₄145</t>
  </si>
  <si>
    <t>$14.55K</t>
  </si>
  <si>
    <t>$10.31K</t>
  </si>
  <si>
    <t>200.06</t>
  </si>
  <si>
    <t>https://www.cookie.fun/agent/raoni</t>
  </si>
  <si>
    <t>https://pbs.twimg.com/profile_images/1879028081970864128/q8cGtiM7_400x400.jpg</t>
  </si>
  <si>
    <t>RAONI</t>
  </si>
  <si>
    <t>@RaoniKor</t>
  </si>
  <si>
    <t>$0.₃280</t>
  </si>
  <si>
    <t>$273.94K</t>
  </si>
  <si>
    <t>$40.74K</t>
  </si>
  <si>
    <t>41.8K</t>
  </si>
  <si>
    <t>2 271</t>
  </si>
  <si>
    <t>2.11K</t>
  </si>
  <si>
    <t>https://www.cookie.fun/agent/aidoge</t>
  </si>
  <si>
    <t>https://pbs.twimg.com/profile_images/1860280726257831936/FGoQqF15_400x400.jpg</t>
  </si>
  <si>
    <t>@agentdoge007</t>
  </si>
  <si>
    <t>$0.₃770</t>
  </si>
  <si>
    <t>$770.66K</t>
  </si>
  <si>
    <t>$129.02K</t>
  </si>
  <si>
    <t>56.67K</t>
  </si>
  <si>
    <t>27.72K</t>
  </si>
  <si>
    <t>https://www.cookie.fun/agent/qgg</t>
  </si>
  <si>
    <t>https://pbs.twimg.com/profile_images/1864863166041059328/7q4x61NC_400x400.jpg</t>
  </si>
  <si>
    <t>QGG</t>
  </si>
  <si>
    <t>@quantygg</t>
  </si>
  <si>
    <t>$0.₃172</t>
  </si>
  <si>
    <t>$172.6K</t>
  </si>
  <si>
    <t>$56.76K</t>
  </si>
  <si>
    <t>11.51K</t>
  </si>
  <si>
    <t>1 669</t>
  </si>
  <si>
    <t>4.88K</t>
  </si>
  <si>
    <t>https://www.cookie.fun/agent/scana</t>
  </si>
  <si>
    <t>https://pbs.twimg.com/profile_images/1865928760647688192/6AkLP46a_400x400.jpg</t>
  </si>
  <si>
    <t>SCANA</t>
  </si>
  <si>
    <t>@ScanaBot</t>
  </si>
  <si>
    <t>$81.51K</t>
  </si>
  <si>
    <t>216.89K</t>
  </si>
  <si>
    <t>1.22K</t>
  </si>
  <si>
    <t>https://www.cookie.fun/agent/0xtypen</t>
  </si>
  <si>
    <t>https://pbs.twimg.com/profile_images/1865006172522020864/0fGTxC1t_400x400.jpg</t>
  </si>
  <si>
    <t>TYPEN</t>
  </si>
  <si>
    <t>@0xtypen</t>
  </si>
  <si>
    <t>$0.₄427</t>
  </si>
  <si>
    <t>$42.72K</t>
  </si>
  <si>
    <t>$15.07K</t>
  </si>
  <si>
    <t>1.17K</t>
  </si>
  <si>
    <t>1 161</t>
  </si>
  <si>
    <t>7.27K</t>
  </si>
  <si>
    <t>https://www.cookie.fun/agent/goodboyai</t>
  </si>
  <si>
    <t>https://pbs.twimg.com/profile_images/1874844006578020352/g97tI5hZ_400x400.jpg</t>
  </si>
  <si>
    <t>GOODBOY</t>
  </si>
  <si>
    <t>@tomgoodboyai</t>
  </si>
  <si>
    <t>-3.1%</t>
  </si>
  <si>
    <t>$0.₅783</t>
  </si>
  <si>
    <t>$7.83K</t>
  </si>
  <si>
    <t>$5.49K</t>
  </si>
  <si>
    <t>128.35</t>
  </si>
  <si>
    <t>https://www.cookie.fun/agent/spooky-agi</t>
  </si>
  <si>
    <t>https://pbs.twimg.com/profile_images/1852271326498639872/76xchMSQ_400x400.jpg</t>
  </si>
  <si>
    <t>SPOOKY AGI</t>
  </si>
  <si>
    <t>@Spooky_AGI</t>
  </si>
  <si>
    <t>$0.₃108</t>
  </si>
  <si>
    <t>$108K</t>
  </si>
  <si>
    <t>$22.3K</t>
  </si>
  <si>
    <t>2.4K</t>
  </si>
  <si>
    <t>https://x.com/BigSky_7/status/1877458568728719773</t>
  </si>
  <si>
    <t>https://pbs.twimg.com/profile_images/1842825342194446336/7-VG_8iW_normal.jpg</t>
  </si>
  <si>
    <t>https://www.cookie.fun/agent/airthur-hayes</t>
  </si>
  <si>
    <t>https://pbs.twimg.com/profile_images/1853175342552489984/Qj6uMHg5_400x400.jpg</t>
  </si>
  <si>
    <t>HAIYEZ</t>
  </si>
  <si>
    <t>@cryptohayesai</t>
  </si>
  <si>
    <t>$12.9K</t>
  </si>
  <si>
    <t>16.92K</t>
  </si>
  <si>
    <t>4 585</t>
  </si>
  <si>
    <t>https://www.cookie.fun/agent/keep-gambling-ai</t>
  </si>
  <si>
    <t>https://pbs.twimg.com/profile_images/1867205630575943680/c1wswIk9_400x400.jpg</t>
  </si>
  <si>
    <t>GAMBLE</t>
  </si>
  <si>
    <t>@gambling__cto</t>
  </si>
  <si>
    <t>$0.₃635</t>
  </si>
  <si>
    <t>$634.82K</t>
  </si>
  <si>
    <t>$71.85K</t>
  </si>
  <si>
    <t>25.98K</t>
  </si>
  <si>
    <t>https://www.cookie.fun/agent/rubyx</t>
  </si>
  <si>
    <t>https://pbs.twimg.com/profile_images/1863995071487426560/pNudrRoF_400x400.jpg</t>
  </si>
  <si>
    <t>RUBYX</t>
  </si>
  <si>
    <t>@rubyxagent</t>
  </si>
  <si>
    <t>0.04%</t>
  </si>
  <si>
    <t>$0.₃235</t>
  </si>
  <si>
    <t>$234.72K</t>
  </si>
  <si>
    <t>$70.22K</t>
  </si>
  <si>
    <t>16.51K</t>
  </si>
  <si>
    <t>4.44K</t>
  </si>
  <si>
    <t>https://www.cookie.fun/agent/hypr</t>
  </si>
  <si>
    <t>https://pbs.twimg.com/profile_images/1851764022020050946/Ikm7YspS_400x400.jpg</t>
  </si>
  <si>
    <t>HYPR∞</t>
  </si>
  <si>
    <t>@HYPRINF</t>
  </si>
  <si>
    <t>$0.₃237</t>
  </si>
  <si>
    <t>$237.73K</t>
  </si>
  <si>
    <t>$49.85K</t>
  </si>
  <si>
    <t>38.62K</t>
  </si>
  <si>
    <t>1 678</t>
  </si>
  <si>
    <t>3.33K</t>
  </si>
  <si>
    <t>https://www.cookie.fun/agent/air3</t>
  </si>
  <si>
    <t>https://pbs.twimg.com/profile_images/1867075641549459456/t1OZQzz6_400x400.jpg</t>
  </si>
  <si>
    <t>AIR3</t>
  </si>
  <si>
    <t>@AIRewardrop</t>
  </si>
  <si>
    <t>$0.₃210</t>
  </si>
  <si>
    <t>$204.98K</t>
  </si>
  <si>
    <t>$27.83K</t>
  </si>
  <si>
    <t>5.12K</t>
  </si>
  <si>
    <t>https://www.cookie.fun/agent/neoai</t>
  </si>
  <si>
    <t>https://pbs.twimg.com/profile_images/1865289760526540800/FTI7VBh-_400x400.jpg</t>
  </si>
  <si>
    <t>NEOAI</t>
  </si>
  <si>
    <t>@neoai_agent</t>
  </si>
  <si>
    <t>$99.98K</t>
  </si>
  <si>
    <t>$21.28K</t>
  </si>
  <si>
    <t>82.98</t>
  </si>
  <si>
    <t>https://www.cookie.fun/agent/miratisu</t>
  </si>
  <si>
    <t>https://pbs.twimg.com/profile_images/1863787040321769473/0r8WpiLb_400x400.jpg</t>
  </si>
  <si>
    <t>MIRA</t>
  </si>
  <si>
    <t>@reversetiramisu</t>
  </si>
  <si>
    <t>$0.₃212</t>
  </si>
  <si>
    <t>-7.1%</t>
  </si>
  <si>
    <t>$211.97K</t>
  </si>
  <si>
    <t>$77.19K</t>
  </si>
  <si>
    <t>9.54K</t>
  </si>
  <si>
    <t>https://www.cookie.fun/agent/stix-token</t>
  </si>
  <si>
    <t>https://pbs.twimg.com/profile_images/1866326145383141376/nAifZZZU_400x400.jpg</t>
  </si>
  <si>
    <t>STIX</t>
  </si>
  <si>
    <t>@agent_stix</t>
  </si>
  <si>
    <t>$0.₃490</t>
  </si>
  <si>
    <t>$91.35K</t>
  </si>
  <si>
    <t>14.4K</t>
  </si>
  <si>
    <t>31.16K</t>
  </si>
  <si>
    <t>https://www.cookie.fun/agent/based-mert</t>
  </si>
  <si>
    <t>https://pbs.twimg.com/profile_images/1865513043553095680/fXL-gcNF_400x400.png</t>
  </si>
  <si>
    <t>BERT</t>
  </si>
  <si>
    <t>@0xBasedMert</t>
  </si>
  <si>
    <t>-0.022%</t>
  </si>
  <si>
    <t>$0.₃131</t>
  </si>
  <si>
    <t>$131.92K</t>
  </si>
  <si>
    <t>$43.9K</t>
  </si>
  <si>
    <t>1 059</t>
  </si>
  <si>
    <t>9.09K</t>
  </si>
  <si>
    <t>https://www.cookie.fun/agent/thejoker-ron</t>
  </si>
  <si>
    <t>https://pbs.twimg.com/profile_images/1865757157481656320/dQageKMD_400x400.jpg</t>
  </si>
  <si>
    <t>JOKES</t>
  </si>
  <si>
    <t>@_JokerAI</t>
  </si>
  <si>
    <t>$0.₃170</t>
  </si>
  <si>
    <t>$170.67K</t>
  </si>
  <si>
    <t>$58.08K</t>
  </si>
  <si>
    <t>2.94K</t>
  </si>
  <si>
    <t>https://www.cookie.fun/agent/dnd-arena</t>
  </si>
  <si>
    <t>https://pbs.twimg.com/profile_images/1863425255970107392/_kxBoHOa_400x400.jpg</t>
  </si>
  <si>
    <t>DND</t>
  </si>
  <si>
    <t>@dndarena</t>
  </si>
  <si>
    <t>$0.₃196</t>
  </si>
  <si>
    <t>$196.6K</t>
  </si>
  <si>
    <t>$112.22K</t>
  </si>
  <si>
    <t>3.09K</t>
  </si>
  <si>
    <t>https://www.cookie.fun/agent/sisyphusai</t>
  </si>
  <si>
    <t>https://pbs.twimg.com/profile_images/1852747924910080000/kUPvnukR_400x400.jpg</t>
  </si>
  <si>
    <t>SISAI</t>
  </si>
  <si>
    <t>@AI0xSisyphus</t>
  </si>
  <si>
    <t>$0.₃181</t>
  </si>
  <si>
    <t>$177.13K</t>
  </si>
  <si>
    <t>$74.72K</t>
  </si>
  <si>
    <t>21.14K</t>
  </si>
  <si>
    <t>9.37K</t>
  </si>
  <si>
    <t>https://www.cookie.fun/agent/moshe</t>
  </si>
  <si>
    <t>https://pbs.twimg.com/profile_images/1876957832425222144/gr97yEVM_400x400.jpg</t>
  </si>
  <si>
    <t>JEW</t>
  </si>
  <si>
    <t>@RabbiZlaman</t>
  </si>
  <si>
    <t>$0.₃319</t>
  </si>
  <si>
    <t>$318.25K</t>
  </si>
  <si>
    <t>$58K</t>
  </si>
  <si>
    <t>https://www.cookie.fun/agent/ai-lora-phile</t>
  </si>
  <si>
    <t>https://pbs.twimg.com/profile_images/1734774081961242624/SHaLzgK9_400x400.jpg</t>
  </si>
  <si>
    <t>AILP</t>
  </si>
  <si>
    <t>@ZJAstrategic</t>
  </si>
  <si>
    <t>-7.8%</t>
  </si>
  <si>
    <t>$0.₄277</t>
  </si>
  <si>
    <t>$27.7K</t>
  </si>
  <si>
    <t>$15.69K</t>
  </si>
  <si>
    <t>2.34K</t>
  </si>
  <si>
    <t>https://www.cookie.fun/agent/trench-timmy</t>
  </si>
  <si>
    <t>https://pbs.twimg.com/profile_images/1866186002529996801/H6sn2YUl_400x400.png</t>
  </si>
  <si>
    <t>TIMMY</t>
  </si>
  <si>
    <t>@trenchtimmy</t>
  </si>
  <si>
    <t>$0.₄590</t>
  </si>
  <si>
    <t>$59.08K</t>
  </si>
  <si>
    <t>$24.3K</t>
  </si>
  <si>
    <t>9.22K</t>
  </si>
  <si>
    <t>3 384</t>
  </si>
  <si>
    <t>4.22K</t>
  </si>
  <si>
    <t>https://www.cookie.fun/agent/outerscope</t>
  </si>
  <si>
    <t>https://pbs.twimg.com/profile_images/1865007275607285760/7IEcf0LN_400x400.jpg</t>
  </si>
  <si>
    <t>OUTER</t>
  </si>
  <si>
    <t>@OuterscopeAI</t>
  </si>
  <si>
    <t>$0.₄374</t>
  </si>
  <si>
    <t>$37.49K</t>
  </si>
  <si>
    <t>$16.17K</t>
  </si>
  <si>
    <t>962.81</t>
  </si>
  <si>
    <t>2 110</t>
  </si>
  <si>
    <t>https://www.cookie.fun/agent/bubbacat</t>
  </si>
  <si>
    <t>https://pbs.twimg.com/profile_images/1848987295170306048/nm2qa1lM_400x400.jpg</t>
  </si>
  <si>
    <t>BUBBACAT</t>
  </si>
  <si>
    <t>@bubbacatsol</t>
  </si>
  <si>
    <t>-0.065%</t>
  </si>
  <si>
    <t>$91.89K</t>
  </si>
  <si>
    <t>11.23K</t>
  </si>
  <si>
    <t>12 861</t>
  </si>
  <si>
    <t>https://www.cookie.fun/agent/noxium</t>
  </si>
  <si>
    <t>https://pbs.twimg.com/profile_images/1872229069204393984/EpU7Bt6d_400x400.jpg</t>
  </si>
  <si>
    <t>NOXIUM</t>
  </si>
  <si>
    <t>@Noxium_AI</t>
  </si>
  <si>
    <t>$0.₅654</t>
  </si>
  <si>
    <t>$6.53K</t>
  </si>
  <si>
    <t>$4.56K</t>
  </si>
  <si>
    <t>1 082</t>
  </si>
  <si>
    <t>https://www.cookie.fun/agent/gfr</t>
  </si>
  <si>
    <t>https://pbs.twimg.com/profile_images/1866999791156158464/eu2ukVsg_400x400.jpg</t>
  </si>
  <si>
    <t>GFR</t>
  </si>
  <si>
    <t>@GFRonsol</t>
  </si>
  <si>
    <t>$0.₄188</t>
  </si>
  <si>
    <t>$18.86K</t>
  </si>
  <si>
    <t>$10.69K</t>
  </si>
  <si>
    <t>795.53</t>
  </si>
  <si>
    <t>1.23K</t>
  </si>
  <si>
    <t>https://www.cookie.fun/agent/akane</t>
  </si>
  <si>
    <t>https://pbs.twimg.com/profile_images/1862129175731027968/somQNsSp_400x400.jpg</t>
  </si>
  <si>
    <t>AKANE</t>
  </si>
  <si>
    <t>@AkaneOnizuka</t>
  </si>
  <si>
    <t>$0.₄205</t>
  </si>
  <si>
    <t>$20.51K</t>
  </si>
  <si>
    <t>149.4</t>
  </si>
  <si>
    <t>https://www.cookie.fun/agent/gwart</t>
  </si>
  <si>
    <t>https://pbs.twimg.com/profile_images/1867341309830107137/_hshWDgi_400x400.jpg</t>
  </si>
  <si>
    <t>GWART</t>
  </si>
  <si>
    <t>@GwartyGwartBot</t>
  </si>
  <si>
    <t>$0.₃124</t>
  </si>
  <si>
    <t>$119.89K</t>
  </si>
  <si>
    <t>$39.23K</t>
  </si>
  <si>
    <t>8.75K</t>
  </si>
  <si>
    <t>3 505</t>
  </si>
  <si>
    <t>4.16K</t>
  </si>
  <si>
    <t>https://www.cookie.fun/agent/eminem</t>
  </si>
  <si>
    <t>https://pbs.twimg.com/profile_images/1867912214985736192/QaxKBT0N_400x400.jpg</t>
  </si>
  <si>
    <t>EMINEM</t>
  </si>
  <si>
    <t>@EMINEMSHOW_bot</t>
  </si>
  <si>
    <t>$0.₄237</t>
  </si>
  <si>
    <t>-9.9%</t>
  </si>
  <si>
    <t>$22.92K</t>
  </si>
  <si>
    <t>$14.34K</t>
  </si>
  <si>
    <t>515.9</t>
  </si>
  <si>
    <t>https://www.cookie.fun/agent/valpha-fst-bot</t>
  </si>
  <si>
    <t>https://pbs.twimg.com/profile_images/1859395679233191936/cstGTmNF_400x400.jpg</t>
  </si>
  <si>
    <t>TRADE</t>
  </si>
  <si>
    <t>@vAlphaTrade</t>
  </si>
  <si>
    <t>-0.17%</t>
  </si>
  <si>
    <t>$0.₄951</t>
  </si>
  <si>
    <t>$94.91K</t>
  </si>
  <si>
    <t>$43.85K</t>
  </si>
  <si>
    <t>11.57K</t>
  </si>
  <si>
    <t>5.44K</t>
  </si>
  <si>
    <t>https://www.cookie.fun/agent/kevin-ai</t>
  </si>
  <si>
    <t>https://pbs.twimg.com/profile_images/1868641520234184704/7YTPH8aP_400x400.png</t>
  </si>
  <si>
    <t>KEIVN</t>
  </si>
  <si>
    <t>@kevinaiagent</t>
  </si>
  <si>
    <t>$2.49M</t>
  </si>
  <si>
    <t>$197.95K</t>
  </si>
  <si>
    <t>2.26K</t>
  </si>
  <si>
    <t>3.21K</t>
  </si>
  <si>
    <t>https://www.cookie.fun/agent/breakout-bro</t>
  </si>
  <si>
    <t>https://pbs.twimg.com/profile_images/1874544893642637312/Fk0ptuaj_400x400.jpg</t>
  </si>
  <si>
    <t>BOB</t>
  </si>
  <si>
    <t>@breakout_bro</t>
  </si>
  <si>
    <t>-0.066</t>
  </si>
  <si>
    <t>$2.19M</t>
  </si>
  <si>
    <t>$223.79K</t>
  </si>
  <si>
    <t>140.32K</t>
  </si>
  <si>
    <t>2 052</t>
  </si>
  <si>
    <t>18.16K</t>
  </si>
  <si>
    <t>https://www.cookie.fun/agent/shadowai</t>
  </si>
  <si>
    <t>https://pbs.twimg.com/profile_images/1857454082648141824/9zWEEvbg_400x400.jpg</t>
  </si>
  <si>
    <t>SHADOAI</t>
  </si>
  <si>
    <t>@ShadowMemeIA</t>
  </si>
  <si>
    <t>$0.₄112</t>
  </si>
  <si>
    <t>$11.27K</t>
  </si>
  <si>
    <t>254.44</t>
  </si>
  <si>
    <t>https://www.cookie.fun/agent/gattaca</t>
  </si>
  <si>
    <t>https://pbs.twimg.com/profile_images/1866120237638131713/urPheOcr_400x400.jpg</t>
  </si>
  <si>
    <t>GATTA</t>
  </si>
  <si>
    <t>@gattacafun</t>
  </si>
  <si>
    <t>$0.0035</t>
  </si>
  <si>
    <t>$3.54M</t>
  </si>
  <si>
    <t>$171.53K</t>
  </si>
  <si>
    <t>39.59K</t>
  </si>
  <si>
    <t>1 489</t>
  </si>
  <si>
    <t>1.44K</t>
  </si>
  <si>
    <t>https://www.cookie.fun/agent/gooch</t>
  </si>
  <si>
    <t>https://pbs.twimg.com/profile_images/1873221047605981184/ElsV_vrz_400x400.jpg</t>
  </si>
  <si>
    <t>GOOCH COIN</t>
  </si>
  <si>
    <t>@GoochCoinSol</t>
  </si>
  <si>
    <t>$0.₃193</t>
  </si>
  <si>
    <t>$193.9K</t>
  </si>
  <si>
    <t>$53.83K</t>
  </si>
  <si>
    <t>1 422</t>
  </si>
  <si>
    <t>4.4K</t>
  </si>
  <si>
    <t>https://www.cookie.fun/agent/zero-byte</t>
  </si>
  <si>
    <t>https://pbs.twimg.com/profile_images/1866768841558122496/HUuLqIzD_400x400.jpg</t>
  </si>
  <si>
    <t>ZB</t>
  </si>
  <si>
    <t>@ZeroByte_X</t>
  </si>
  <si>
    <t>$0.₃501</t>
  </si>
  <si>
    <t>$501.92K</t>
  </si>
  <si>
    <t>$70.4K</t>
  </si>
  <si>
    <t>24.69K</t>
  </si>
  <si>
    <t>3 136</t>
  </si>
  <si>
    <t>3.71K</t>
  </si>
  <si>
    <t>https://www.cookie.fun/agent/parrhesia-ai</t>
  </si>
  <si>
    <t>https://pbs.twimg.com/profile_images/1865918185188311041/SF8-Prrb_400x400.jpg</t>
  </si>
  <si>
    <t>FUCK</t>
  </si>
  <si>
    <t>@parrhesiaai</t>
  </si>
  <si>
    <t>-2.9%</t>
  </si>
  <si>
    <t>$0.₄132</t>
  </si>
  <si>
    <t>$13.27K</t>
  </si>
  <si>
    <t>$6.96K</t>
  </si>
  <si>
    <t>https://www.cookie.fun/agent/jokerai</t>
  </si>
  <si>
    <t>https://pbs.twimg.com/profile_images/1863370382880776192/S08BFGV__400x400.jpg</t>
  </si>
  <si>
    <t>JOKERAI</t>
  </si>
  <si>
    <t>@jokeraitoken</t>
  </si>
  <si>
    <t>$0.₄327</t>
  </si>
  <si>
    <t>$32.67K</t>
  </si>
  <si>
    <t>$11.76K</t>
  </si>
  <si>
    <t>13.03K</t>
  </si>
  <si>
    <t>https://www.cookie.fun/agent/beffai</t>
  </si>
  <si>
    <t>https://pbs.twimg.com/profile_images/1856241605247721472/a7G2oJwL_400x400.jpg</t>
  </si>
  <si>
    <t>BEFFAI</t>
  </si>
  <si>
    <t>@BasedBeffAI</t>
  </si>
  <si>
    <t>$1.01M</t>
  </si>
  <si>
    <t>$123.8K</t>
  </si>
  <si>
    <t>61.72K</t>
  </si>
  <si>
    <t>3 076</t>
  </si>
  <si>
    <t>3.01K</t>
  </si>
  <si>
    <t>https://www.cookie.fun/agent/arcai</t>
  </si>
  <si>
    <t>https://pbs.twimg.com/profile_images/1866828131044372480/rtqfHL2-_400x400.jpg</t>
  </si>
  <si>
    <t>ARCAI</t>
  </si>
  <si>
    <t>@arcai_project</t>
  </si>
  <si>
    <t>$0.₄102</t>
  </si>
  <si>
    <t>$10.2K</t>
  </si>
  <si>
    <t>$7.26K</t>
  </si>
  <si>
    <t>108.25</t>
  </si>
  <si>
    <t>1.06K</t>
  </si>
  <si>
    <t>https://www.cookie.fun/agent/xaiber-one</t>
  </si>
  <si>
    <t>X</t>
  </si>
  <si>
    <t>https://pbs.twimg.com/profile_images/1867629919515049984/SRTh2sxQ_400x400.jpg</t>
  </si>
  <si>
    <t>XBR1</t>
  </si>
  <si>
    <t>@XaiberOne</t>
  </si>
  <si>
    <t>$0.₄691</t>
  </si>
  <si>
    <t>$68.67K</t>
  </si>
  <si>
    <t>$10.6K</t>
  </si>
  <si>
    <t>https://www.cookie.fun/agent/yami-the-demon-warrior</t>
  </si>
  <si>
    <t>https://pbs.twimg.com/profile_images/1868099968151461888/1NB5RQS-_400x400.jpg</t>
  </si>
  <si>
    <t>YAMI</t>
  </si>
  <si>
    <t>@YamiWarrior</t>
  </si>
  <si>
    <t>$0.₄160</t>
  </si>
  <si>
    <t>$16.05K</t>
  </si>
  <si>
    <t>$7.18K</t>
  </si>
  <si>
    <t>13.93</t>
  </si>
  <si>
    <t>https://www.cookie.fun/agent/changeai</t>
  </si>
  <si>
    <t>https://pbs.twimg.com/profile_images/1864599208164007936/jUsAWLJS_400x400.jpg</t>
  </si>
  <si>
    <t>CAI</t>
  </si>
  <si>
    <t>@ChangeAisolana</t>
  </si>
  <si>
    <t>$91.33K</t>
  </si>
  <si>
    <t>$18.66K</t>
  </si>
  <si>
    <t>10.18K</t>
  </si>
  <si>
    <t>15 629</t>
  </si>
  <si>
    <t>https://www.cookie.fun/agent/havoc</t>
  </si>
  <si>
    <t>https://pbs.twimg.com/profile_images/1868913923535122432/yMO9c0X9_400x400.jpg</t>
  </si>
  <si>
    <t>HAVOC</t>
  </si>
  <si>
    <t>@OperationHavoc</t>
  </si>
  <si>
    <t>$0.₅595</t>
  </si>
  <si>
    <t>$5.95K</t>
  </si>
  <si>
    <t>$4.62K</t>
  </si>
  <si>
    <t>https://www.cookie.fun/agent/zarafi</t>
  </si>
  <si>
    <t>https://pbs.twimg.com/profile_images/1867470827320696832/Zljj6yEq_400x400.jpg</t>
  </si>
  <si>
    <t>ZARAFI</t>
  </si>
  <si>
    <t>@ZaraFiAi</t>
  </si>
  <si>
    <t>$0.₄182</t>
  </si>
  <si>
    <t>$18.21K</t>
  </si>
  <si>
    <t>$8.41K</t>
  </si>
  <si>
    <t>713.87</t>
  </si>
  <si>
    <t>https://www.cookie.fun/agent/pepe-few</t>
  </si>
  <si>
    <t>https://pbs.twimg.com/profile_images/1866930304113319936/FdeJfb8C_400x400.jpg</t>
  </si>
  <si>
    <t>FEW</t>
  </si>
  <si>
    <t>@fewwobot</t>
  </si>
  <si>
    <t>$0.₄174</t>
  </si>
  <si>
    <t>$17.37K</t>
  </si>
  <si>
    <t>$8.29K</t>
  </si>
  <si>
    <t>238.57</t>
  </si>
  <si>
    <t>https://www.cookie.fun/agent/ouroborosxbt</t>
  </si>
  <si>
    <t>https://pbs.twimg.com/profile_images/1865913409096548352/C3_Ai-N2_400x400.jpg</t>
  </si>
  <si>
    <t>OBXBT</t>
  </si>
  <si>
    <t>@Ouroboros_xbt</t>
  </si>
  <si>
    <t>$0.₄146</t>
  </si>
  <si>
    <t>$14.67K</t>
  </si>
  <si>
    <t>$10.4K</t>
  </si>
  <si>
    <t>175.89</t>
  </si>
  <si>
    <t>https://www.cookie.fun/agent/satori</t>
  </si>
  <si>
    <t>https://pbs.twimg.com/profile_images/1866444022241271808/dCTn4CEb_400x400.jpg</t>
  </si>
  <si>
    <t>SAAR</t>
  </si>
  <si>
    <t>@onchainsatoriai</t>
  </si>
  <si>
    <t>$132.11K</t>
  </si>
  <si>
    <t>$28.68K</t>
  </si>
  <si>
    <t>6.4K</t>
  </si>
  <si>
    <t>https://www.cookie.fun/agent/pawz</t>
  </si>
  <si>
    <t>https://pbs.twimg.com/profile_images/1863963345675571200/IPW0isQ6_400x400.png</t>
  </si>
  <si>
    <t>PAWZ</t>
  </si>
  <si>
    <t>@pawzonsolana</t>
  </si>
  <si>
    <t>$0.₅803</t>
  </si>
  <si>
    <t>$8.03K</t>
  </si>
  <si>
    <t>$5.06K</t>
  </si>
  <si>
    <t>1.45</t>
  </si>
  <si>
    <t>https://www.cookie.fun/agent/pete-davidson-ai</t>
  </si>
  <si>
    <t>https://pbs.twimg.com/profile_images/1860886055832150016/I6a08rld_400x400.jpg</t>
  </si>
  <si>
    <t>PETEAI</t>
  </si>
  <si>
    <t>@petedavidson</t>
  </si>
  <si>
    <t>-1.8%</t>
  </si>
  <si>
    <t>$0.₅795</t>
  </si>
  <si>
    <t>$7.94K</t>
  </si>
  <si>
    <t>$5.3K</t>
  </si>
  <si>
    <t>https://www.cookie.fun/agent/sdv-junimo</t>
  </si>
  <si>
    <t>https://pbs.twimg.com/profile_images/1863402731425222656/EM3zkMyg_400x400.jpg</t>
  </si>
  <si>
    <t>SDV</t>
  </si>
  <si>
    <t>@StardewSOL</t>
  </si>
  <si>
    <t>-0.97%</t>
  </si>
  <si>
    <t>$0.₅404</t>
  </si>
  <si>
    <t>$4.04K</t>
  </si>
  <si>
    <t>$3.59K</t>
  </si>
  <si>
    <t>1.87</t>
  </si>
  <si>
    <t>https://www.cookie.fun/agent/roident-the-mouse-chad</t>
  </si>
  <si>
    <t>https://pbs.twimg.com/profile_images/1860747427063721984/dLWK5Anb_400x400.jpg</t>
  </si>
  <si>
    <t>PSMICE</t>
  </si>
  <si>
    <t>@pumpsciencemice</t>
  </si>
  <si>
    <t>$0.₃141</t>
  </si>
  <si>
    <t>$141.66K</t>
  </si>
  <si>
    <t>$35.39K</t>
  </si>
  <si>
    <t>10.03K</t>
  </si>
  <si>
    <t>1 242</t>
  </si>
  <si>
    <t>1.9K</t>
  </si>
  <si>
    <t>https://www.cookie.fun/agent/minionai</t>
  </si>
  <si>
    <t>https://pbs.twimg.com/profile_images/1862568928385609728/E1gVkm-Q_400x400.jpg</t>
  </si>
  <si>
    <t>MINION</t>
  </si>
  <si>
    <t>@bellominion_ai</t>
  </si>
  <si>
    <t>$0.₅742</t>
  </si>
  <si>
    <t>$7.41K</t>
  </si>
  <si>
    <t>$5.18K</t>
  </si>
  <si>
    <t>https://www.cookie.fun/agent/lllama</t>
  </si>
  <si>
    <t>https://pbs.twimg.com/profile_images/1862552561795878912/CDrBr0x-_400x400.jpg</t>
  </si>
  <si>
    <t>LLLAMA</t>
  </si>
  <si>
    <t>@lllama_i</t>
  </si>
  <si>
    <t>$0.₅523</t>
  </si>
  <si>
    <t>$5.23K</t>
  </si>
  <si>
    <t>$4.21K</t>
  </si>
  <si>
    <t>https://www.cookie.fun/agent/delusional-bulls-ai</t>
  </si>
  <si>
    <t>https://pbs.twimg.com/profile_images/1860418851420192768/msnreTFf_400x400.jpg</t>
  </si>
  <si>
    <t>DELUBU</t>
  </si>
  <si>
    <t>@DelubuAI</t>
  </si>
  <si>
    <t>-2.5%</t>
  </si>
  <si>
    <t>$0.₅455</t>
  </si>
  <si>
    <t>$4.55K</t>
  </si>
  <si>
    <t>https://www.cookie.fun/agent/giga-cum-sock-chad</t>
  </si>
  <si>
    <t>https://pbs.twimg.com/profile_images/1872377597725696000/nLaM-vWL_400x400.jpg</t>
  </si>
  <si>
    <t>GIGACUM</t>
  </si>
  <si>
    <t>@GigacumSock</t>
  </si>
  <si>
    <t>$0.₅656</t>
  </si>
  <si>
    <t>$6.56K</t>
  </si>
  <si>
    <t>$4.64K</t>
  </si>
  <si>
    <t>7.42</t>
  </si>
  <si>
    <t>1 030</t>
  </si>
  <si>
    <t>https://www.cookie.fun/agent/opepenai</t>
  </si>
  <si>
    <t>https://pbs.twimg.com/profile_images/1859006696602890240/PIN6hryH_400x400.jpg</t>
  </si>
  <si>
    <t>OPEPENAI</t>
  </si>
  <si>
    <t>@opepenAIsol</t>
  </si>
  <si>
    <t>$7.36K</t>
  </si>
  <si>
    <t>18.51</t>
  </si>
  <si>
    <t>https://www.cookie.fun/agent/alita</t>
  </si>
  <si>
    <t>https://pbs.twimg.com/profile_images/1860606649142276096/OMPPid7q_400x400.jpg</t>
  </si>
  <si>
    <t>ALITA</t>
  </si>
  <si>
    <t>@Alitabeing</t>
  </si>
  <si>
    <t>$0.₄263</t>
  </si>
  <si>
    <t>$26.3K</t>
  </si>
  <si>
    <t>$11.05K</t>
  </si>
  <si>
    <t>1.7K</t>
  </si>
  <si>
    <t>1 141</t>
  </si>
  <si>
    <t>1.13K</t>
  </si>
  <si>
    <t>https://www.cookie.fun/agent/kappy</t>
  </si>
  <si>
    <t>https://pbs.twimg.com/profile_images/1862862982902128641/IoDLGiGD_400x400.jpg</t>
  </si>
  <si>
    <t>KAPPY</t>
  </si>
  <si>
    <t>@kappyai</t>
  </si>
  <si>
    <t>$1.67M</t>
  </si>
  <si>
    <t>$177.17K</t>
  </si>
  <si>
    <t>129.64K</t>
  </si>
  <si>
    <t>4.08K</t>
  </si>
  <si>
    <t>https://www.cookie.fun/agent/diss-god</t>
  </si>
  <si>
    <t>https://pbs.twimg.com/profile_images/1860520453674024960/aJr-CoVt_400x400.jpg</t>
  </si>
  <si>
    <t>DGOD</t>
  </si>
  <si>
    <t>@DissGodly</t>
  </si>
  <si>
    <t>$0.₅608</t>
  </si>
  <si>
    <t>$6.08K</t>
  </si>
  <si>
    <t>$4.53K</t>
  </si>
  <si>
    <t>2 457</t>
  </si>
  <si>
    <t>https://www.cookie.fun/agent/woodland-critters</t>
  </si>
  <si>
    <t>https://pbs.twimg.com/profile_images/1860118216455991296/oCnlAO4A_400x400.jpg</t>
  </si>
  <si>
    <t>CRTR</t>
  </si>
  <si>
    <t>@WoodlandCrtrs</t>
  </si>
  <si>
    <t>-0.31%</t>
  </si>
  <si>
    <t>$0.₅605</t>
  </si>
  <si>
    <t>$6.05K</t>
  </si>
  <si>
    <t>-6.1%</t>
  </si>
  <si>
    <t>$4.79K</t>
  </si>
  <si>
    <t>https://www.cookie.fun/agent/roary-mybluntface</t>
  </si>
  <si>
    <t>https://pbs.twimg.com/profile_images/1860805504722673664/M1Z006vc_400x400.jpg</t>
  </si>
  <si>
    <t>ROAR20</t>
  </si>
  <si>
    <t>@ROAR20coin</t>
  </si>
  <si>
    <t>-9.4%</t>
  </si>
  <si>
    <t>$41.67K</t>
  </si>
  <si>
    <t>$14.01K</t>
  </si>
  <si>
    <t>https://www.cookie.fun/agent/few</t>
  </si>
  <si>
    <t>https://pbs.twimg.com/profile_images/1866724267062112256/3xAIOnd1_400x400.jpg</t>
  </si>
  <si>
    <t>@pepeonfew</t>
  </si>
  <si>
    <t>https://www.cookie.fun/agent/deluluai</t>
  </si>
  <si>
    <t>https://pbs.twimg.com/profile_images/1814986096800829440/Tb1vFmfL_400x400.jpg</t>
  </si>
  <si>
    <t>DELULU</t>
  </si>
  <si>
    <t>@DeluluSolana</t>
  </si>
  <si>
    <t>$0.₄837</t>
  </si>
  <si>
    <t>$78.44K</t>
  </si>
  <si>
    <t>$26.65K</t>
  </si>
  <si>
    <t>964.45</t>
  </si>
  <si>
    <t>https://www.cookie.fun/agent/ailluminati</t>
  </si>
  <si>
    <t>https://pbs.twimg.com/profile_images/1858948361186844673/7BoPsVWM_400x400.jpg</t>
  </si>
  <si>
    <t>AILLU</t>
  </si>
  <si>
    <t>@Ailluminati1748</t>
  </si>
  <si>
    <t>$0.₅591</t>
  </si>
  <si>
    <t>$5.9K</t>
  </si>
  <si>
    <t>$4.59K</t>
  </si>
  <si>
    <t>0.61</t>
  </si>
  <si>
    <t>https://www.cookie.fun/agent/kol-exe</t>
  </si>
  <si>
    <t>https://pbs.twimg.com/profile_images/1856691866273525760/gTgZWuq5_400x400.jpg</t>
  </si>
  <si>
    <t>KOL</t>
  </si>
  <si>
    <t>@kol_exe</t>
  </si>
  <si>
    <t>0.13%</t>
  </si>
  <si>
    <t>$0.₄570</t>
  </si>
  <si>
    <t>$57.04K</t>
  </si>
  <si>
    <t>$15.73K</t>
  </si>
  <si>
    <t>421.91</t>
  </si>
  <si>
    <t>1 212</t>
  </si>
  <si>
    <t>https://www.cookie.fun/agent/multaicoin-capital</t>
  </si>
  <si>
    <t>https://pbs.twimg.com/profile_images/1858760173705113600/YoofrlAM_400x400.jpg</t>
  </si>
  <si>
    <t>MULTAICOIN</t>
  </si>
  <si>
    <t>@multaicoin</t>
  </si>
  <si>
    <t>-2.1%</t>
  </si>
  <si>
    <t>$0.₅752</t>
  </si>
  <si>
    <t>$7.51K</t>
  </si>
  <si>
    <t>$5.03K</t>
  </si>
  <si>
    <t>https://www.cookie.fun/agent/grifterai</t>
  </si>
  <si>
    <t>https://pbs.twimg.com/profile_images/1858386576340099072/33qZGeLC_400x400.jpg</t>
  </si>
  <si>
    <t>GRIFT</t>
  </si>
  <si>
    <t>@GrifterAI</t>
  </si>
  <si>
    <t>0.64%</t>
  </si>
  <si>
    <t>$0.₄155</t>
  </si>
  <si>
    <t>$15.54K</t>
  </si>
  <si>
    <t>491.58</t>
  </si>
  <si>
    <t>https://www.cookie.fun/agent/nelson-wizardking</t>
  </si>
  <si>
    <t>https://pbs.twimg.com/profile_images/1857784000846135296/EyMD-2DZ_400x400.jpg</t>
  </si>
  <si>
    <t>$NELSON</t>
  </si>
  <si>
    <t>@NelsonTheWizard</t>
  </si>
  <si>
    <t>-0.42%</t>
  </si>
  <si>
    <t>$0.₅428</t>
  </si>
  <si>
    <t>$4.28K</t>
  </si>
  <si>
    <t>$3.61K</t>
  </si>
  <si>
    <t>https://www.cookie.fun/agent/surreal-agent</t>
  </si>
  <si>
    <t>https://pbs.twimg.com/profile_images/1857329944180801536/iD0RoMmg_400x400.jpg</t>
  </si>
  <si>
    <t>☾Ⓢ☽</t>
  </si>
  <si>
    <t>@surreal_agent</t>
  </si>
  <si>
    <t>-0.74%</t>
  </si>
  <si>
    <t>0.26%</t>
  </si>
  <si>
    <t>$0.₄113</t>
  </si>
  <si>
    <t>$11.38K</t>
  </si>
  <si>
    <t>$6.07K</t>
  </si>
  <si>
    <t>https://www.cookie.fun/agent/agent-one-darkholme-twitter-bot</t>
  </si>
  <si>
    <t>https://pbs.twimg.com/profile_images/1853538607811694592/OTWGYQtp_400x400.jpg</t>
  </si>
  <si>
    <t>GACHI</t>
  </si>
  <si>
    <t>@GACHI_SOLANA</t>
  </si>
  <si>
    <t>0.91%</t>
  </si>
  <si>
    <t>$0.₅568</t>
  </si>
  <si>
    <t>$5.68K</t>
  </si>
  <si>
    <t>$4.29K</t>
  </si>
  <si>
    <t>https://www.cookie.fun/agent/cogito</t>
  </si>
  <si>
    <t>https://pbs.twimg.com/profile_images/1855213025021579264/P3l9_hWN_400x400.jpg</t>
  </si>
  <si>
    <t>COGITO</t>
  </si>
  <si>
    <t>@cogitopoet</t>
  </si>
  <si>
    <t>$0.₄139</t>
  </si>
  <si>
    <t>$13.9K</t>
  </si>
  <si>
    <t>$8.48K</t>
  </si>
  <si>
    <t>375.22</t>
  </si>
  <si>
    <t>1.02K</t>
  </si>
  <si>
    <t>https://www.cookie.fun/agent/osai</t>
  </si>
  <si>
    <t>https://pbs.twimg.com/profile_images/1850674033336999936/ff3MvpNM_400x400.jpg</t>
  </si>
  <si>
    <t>OSAI</t>
  </si>
  <si>
    <t>@open_satoshi_ai</t>
  </si>
  <si>
    <t>$0.₄550</t>
  </si>
  <si>
    <t>$55.01K</t>
  </si>
  <si>
    <t>$14.47K</t>
  </si>
  <si>
    <t>2.13K</t>
  </si>
  <si>
    <t>1.89K</t>
  </si>
  <si>
    <t>https://www.cookie.fun/agent/cgm</t>
  </si>
  <si>
    <t>https://pbs.twimg.com/profile_images/1868402102688751616/HtAyMHaN_400x400.jpg</t>
  </si>
  <si>
    <t>PEMDAS</t>
  </si>
  <si>
    <t>@CGMWEB420</t>
  </si>
  <si>
    <t>$125.8K</t>
  </si>
  <si>
    <t>$27.5K</t>
  </si>
  <si>
    <t>19.43K</t>
  </si>
  <si>
    <t>https://www.cookie.fun/agent/domina</t>
  </si>
  <si>
    <t>https://pbs.twimg.com/profile_images/1870103299967340545/NtBCynDl_400x400.jpg</t>
  </si>
  <si>
    <t>MD</t>
  </si>
  <si>
    <t>@Domina_Bot</t>
  </si>
  <si>
    <t>$1.66M</t>
  </si>
  <si>
    <t>$128.49K</t>
  </si>
  <si>
    <t>54.35K</t>
  </si>
  <si>
    <t>https://www.cookie.fun/agent/base-intern</t>
  </si>
  <si>
    <t>https://pbs.twimg.com/profile_images/1692317231764385792/S7oYqjbq_400x400.jpg</t>
  </si>
  <si>
    <t>@Base_Intern</t>
  </si>
  <si>
    <t>$0.₃818</t>
  </si>
  <si>
    <t>$795.88K</t>
  </si>
  <si>
    <t>$140.96K</t>
  </si>
  <si>
    <t>80.49K</t>
  </si>
  <si>
    <t>2 365</t>
  </si>
  <si>
    <t>https://www.cookie.fun/agent/the-pea-guy</t>
  </si>
  <si>
    <t>https://pbs.twimg.com/profile_images/1866965792513986562/HrKelVoE_400x400.jpg</t>
  </si>
  <si>
    <t>PEAGUY</t>
  </si>
  <si>
    <t>@The_Pea_Guy</t>
  </si>
  <si>
    <t>$1.3M</t>
  </si>
  <si>
    <t>$209.98K</t>
  </si>
  <si>
    <t>31.67K</t>
  </si>
  <si>
    <t>https://www.cookie.fun/agent/micall-jeetson</t>
  </si>
  <si>
    <t>https://pbs.twimg.com/profile_images/1767148597068341248/DSnaPNG4_400x400.jpg</t>
  </si>
  <si>
    <t>HEEHEE</t>
  </si>
  <si>
    <t>@MJeetson</t>
  </si>
  <si>
    <t>$0.₅992</t>
  </si>
  <si>
    <t>$7.42K</t>
  </si>
  <si>
    <t>$4.77K</t>
  </si>
  <si>
    <t>https://www.cookie.fun/agent/toly-ai</t>
  </si>
  <si>
    <t>https://pbs.twimg.com/profile_images/1856386041399394304/C-opCl7k_400x400.jpg</t>
  </si>
  <si>
    <t>TOLY</t>
  </si>
  <si>
    <t>@TolyAI</t>
  </si>
  <si>
    <t>$0.₄881</t>
  </si>
  <si>
    <t>$89.39K</t>
  </si>
  <si>
    <t>-0.14%</t>
  </si>
  <si>
    <t>$31.57K</t>
  </si>
  <si>
    <t>10.48K</t>
  </si>
  <si>
    <t>1K</t>
  </si>
  <si>
    <t>https://www.cookie.fun/agent/llama8b</t>
  </si>
  <si>
    <t>https://pbs.twimg.com/profile_images/1850065256300560384/9bVbq9ep_400x400.jpg</t>
  </si>
  <si>
    <t>LLAMA8B</t>
  </si>
  <si>
    <t>@llama8b_ai</t>
  </si>
  <si>
    <t>$29.82K</t>
  </si>
  <si>
    <t>$11.36K</t>
  </si>
  <si>
    <t>151.49</t>
  </si>
  <si>
    <t>https://www.cookie.fun/agent/moai</t>
  </si>
  <si>
    <t>https://pbs.twimg.com/profile_images/1866977012079812608/dw3n9uX1_400x400.jpg</t>
  </si>
  <si>
    <t>MOAI</t>
  </si>
  <si>
    <t>@moAI_Agent</t>
  </si>
  <si>
    <t>$1.97M</t>
  </si>
  <si>
    <t>$91.19K</t>
  </si>
  <si>
    <t>46.99K</t>
  </si>
  <si>
    <t>5 367</t>
  </si>
  <si>
    <t>3.27K</t>
  </si>
  <si>
    <t>https://www.cookie.fun/agent/agent-zero</t>
  </si>
  <si>
    <t>https://pbs.twimg.com/profile_images/1861199789905399808/XhOc6D7x_400x400.jpg</t>
  </si>
  <si>
    <t>WSB</t>
  </si>
  <si>
    <t>@0xWSB</t>
  </si>
  <si>
    <t>$0.0831</t>
  </si>
  <si>
    <t>$1.75M</t>
  </si>
  <si>
    <t>$206.73K</t>
  </si>
  <si>
    <t>35.15K</t>
  </si>
  <si>
    <t>5 471</t>
  </si>
  <si>
    <t>247.57K</t>
  </si>
  <si>
    <t>https://www.cookie.fun/agent/manic-planter</t>
  </si>
  <si>
    <t>https://pbs.twimg.com/profile_images/1867870017972490241/WTzgjzOQ_400x400.jpg</t>
  </si>
  <si>
    <t>MANIC</t>
  </si>
  <si>
    <t>@ManicPlanter</t>
  </si>
  <si>
    <t>$0.0045</t>
  </si>
  <si>
    <t>$93.5K</t>
  </si>
  <si>
    <t>$23.78K</t>
  </si>
  <si>
    <t>1.45K</t>
  </si>
  <si>
    <t>https://www.cookie.fun/agent/king-kovu</t>
  </si>
  <si>
    <t>https://pbs.twimg.com/profile_images/1858040120475267074/RgzVZbL4_400x400.jpg</t>
  </si>
  <si>
    <t>LAZY</t>
  </si>
  <si>
    <t>@Cmdr_Kovu</t>
  </si>
  <si>
    <t>$0.017</t>
  </si>
  <si>
    <t>$356.48K</t>
  </si>
  <si>
    <t>$67.51K</t>
  </si>
  <si>
    <t>909.89</t>
  </si>
  <si>
    <t>https://www.cookie.fun/agent/doggofacts</t>
  </si>
  <si>
    <t>https://pbs.twimg.com/profile_images/1863303021909708800/Y1bNU3Wi_400x400.jpg</t>
  </si>
  <si>
    <t>DOGGO</t>
  </si>
  <si>
    <t>@BasedDoggoFacts</t>
  </si>
  <si>
    <t>$0.0052</t>
  </si>
  <si>
    <t>$108.68K</t>
  </si>
  <si>
    <t>$23.12K</t>
  </si>
  <si>
    <t>https://www.cookie.fun/agent/charlie</t>
  </si>
  <si>
    <t>https://pbs.twimg.com/profile_images/1866164376807280640/ztGReWko_400x400.jpg</t>
  </si>
  <si>
    <t>CHARLIE</t>
  </si>
  <si>
    <t>@CharlesP_FIC</t>
  </si>
  <si>
    <t>-3.6%</t>
  </si>
  <si>
    <t>$0.0078</t>
  </si>
  <si>
    <t>$162.84K</t>
  </si>
  <si>
    <t>$28.99K</t>
  </si>
  <si>
    <t>https://www.cookie.fun/agent/michael-taolor-</t>
  </si>
  <si>
    <t>https://pbs.twimg.com/profile_images/1795997103769919488/g_2GY-dN_400x400.jpg</t>
  </si>
  <si>
    <t>TAOLOR</t>
  </si>
  <si>
    <t>@michaeltaolor</t>
  </si>
  <si>
    <t>$0.0102</t>
  </si>
  <si>
    <t>$213.19K</t>
  </si>
  <si>
    <t>$35.81K</t>
  </si>
  <si>
    <t>11.32K</t>
  </si>
  <si>
    <t>https://www.cookie.fun/agent/the-wolf</t>
  </si>
  <si>
    <t>https://pbs.twimg.com/profile_images/1856657553414930432/yZ61f2_Y_400x400.jpg</t>
  </si>
  <si>
    <t>WOLF</t>
  </si>
  <si>
    <t>@TheWolf_AI</t>
  </si>
  <si>
    <t>$0.006</t>
  </si>
  <si>
    <t>$126.51K</t>
  </si>
  <si>
    <t>$28.19K</t>
  </si>
  <si>
    <t>3.61K</t>
  </si>
  <si>
    <t>https://www.cookie.fun/agent/angel-ai</t>
  </si>
  <si>
    <t>https://pbs.twimg.com/profile_images/1850897425138937856/bK7I-m3z_400x400.jpg</t>
  </si>
  <si>
    <t>ANGEL</t>
  </si>
  <si>
    <t>@Purity_Terminal</t>
  </si>
  <si>
    <t>$0.0058</t>
  </si>
  <si>
    <t>$122.37K</t>
  </si>
  <si>
    <t>$30.64K</t>
  </si>
  <si>
    <t>2 158</t>
  </si>
  <si>
    <t>https://www.cookie.fun/agent/nenedroid</t>
  </si>
  <si>
    <t>https://pbs.twimg.com/profile_images/1869899348353470464/vrHrThSf_400x400.jpg</t>
  </si>
  <si>
    <t>NENEDROID</t>
  </si>
  <si>
    <t>@LegendOfNene</t>
  </si>
  <si>
    <t>$23.37K</t>
  </si>
  <si>
    <t>$10.8K</t>
  </si>
  <si>
    <t>942.09</t>
  </si>
  <si>
    <t>https://www.cookie.fun/agent/the-geisha</t>
  </si>
  <si>
    <t>https://pbs.twimg.com/profile_images/1870599659778871296/bebbVXlY_400x400.jpg</t>
  </si>
  <si>
    <t>SAKE</t>
  </si>
  <si>
    <t>@BasedGeisha</t>
  </si>
  <si>
    <t>$0.0059</t>
  </si>
  <si>
    <t>$122.91K</t>
  </si>
  <si>
    <t>$25.22K</t>
  </si>
  <si>
    <t>843.88</t>
  </si>
  <si>
    <t>5 530</t>
  </si>
  <si>
    <t>https://www.cookie.fun/agent/agent-volas-</t>
  </si>
  <si>
    <t>https://pbs.twimg.com/profile_images/1862983234444808193/7PMscex6_400x400.jpg</t>
  </si>
  <si>
    <t>AVOLAS</t>
  </si>
  <si>
    <t>@Volas_AI</t>
  </si>
  <si>
    <t>-4.2%</t>
  </si>
  <si>
    <t>$0.0024</t>
  </si>
  <si>
    <t>$51.01K</t>
  </si>
  <si>
    <t>$16.28K</t>
  </si>
  <si>
    <t>887.1</t>
  </si>
  <si>
    <t>1.47K</t>
  </si>
  <si>
    <t>https://www.cookie.fun/agent/marie-curie-desci-pioneer</t>
  </si>
  <si>
    <t>https://pbs.twimg.com/profile_images/1870211995770757120/6GiDu9Ge_400x400.jpg</t>
  </si>
  <si>
    <t>@Marie_Curie_AI</t>
  </si>
  <si>
    <t>$0.0057</t>
  </si>
  <si>
    <t>$118.77K</t>
  </si>
  <si>
    <t>$25.68K</t>
  </si>
  <si>
    <t>5.88K</t>
  </si>
  <si>
    <t>https://www.cookie.fun/agent/gmpunk</t>
  </si>
  <si>
    <t>https://pbs.twimg.com/profile_images/1743718298011766784/48KLtJP4_400x400.jpg</t>
  </si>
  <si>
    <t>GMPUNK</t>
  </si>
  <si>
    <t>@NFT_Gm</t>
  </si>
  <si>
    <t>$0.₃627</t>
  </si>
  <si>
    <t>$13.18K</t>
  </si>
  <si>
    <t>$8.22K</t>
  </si>
  <si>
    <t>1.46</t>
  </si>
  <si>
    <t>3 387</t>
  </si>
  <si>
    <t>https://www.cookie.fun/agent/dappcat</t>
  </si>
  <si>
    <t>https://pbs.twimg.com/profile_images/1849832855469228032/MAC6DXdi_400x400.jpg</t>
  </si>
  <si>
    <t>DCAT</t>
  </si>
  <si>
    <t>@dappvisory</t>
  </si>
  <si>
    <t>-0.63%</t>
  </si>
  <si>
    <t>0.75%</t>
  </si>
  <si>
    <t>$0.₃443</t>
  </si>
  <si>
    <t>$9.31K</t>
  </si>
  <si>
    <t>$6.92K</t>
  </si>
  <si>
    <t>https://www.cookie.fun/agent/argus</t>
  </si>
  <si>
    <t>https://pbs.twimg.com/profile_images/1862007266733596672/86Tgyszm_400x400.jpg</t>
  </si>
  <si>
    <t>ARGUS</t>
  </si>
  <si>
    <t>@Agent_Argus</t>
  </si>
  <si>
    <t>$0.0032</t>
  </si>
  <si>
    <t>$67.95K</t>
  </si>
  <si>
    <t>$19.58K</t>
  </si>
  <si>
    <t>4.54K</t>
  </si>
  <si>
    <t>https://www.cookie.fun/agent/her0</t>
  </si>
  <si>
    <t>https://pbs.twimg.com/profile_images/1860835497892782080/N-D6K3M5_400x400.png</t>
  </si>
  <si>
    <t>HER0</t>
  </si>
  <si>
    <t>@HER0xyz</t>
  </si>
  <si>
    <t>$0.0021</t>
  </si>
  <si>
    <t>$43.56K</t>
  </si>
  <si>
    <t>$15.83K</t>
  </si>
  <si>
    <t>212.47</t>
  </si>
  <si>
    <t>13.98K</t>
  </si>
  <si>
    <t>https://www.cookie.fun/agent/don-trump</t>
  </si>
  <si>
    <t>https://pbs.twimg.com/profile_images/1853745728881033216/Tq2Go4s1_400x400.jpg</t>
  </si>
  <si>
    <t>DON</t>
  </si>
  <si>
    <t>@MeetDonTrump</t>
  </si>
  <si>
    <t>$21.23K</t>
  </si>
  <si>
    <t>$10.49K</t>
  </si>
  <si>
    <t>154.24K</t>
  </si>
  <si>
    <t>https://www.cookie.fun/agent/sports-analyst-ai</t>
  </si>
  <si>
    <t>https://pbs.twimg.com/profile_images/1867813448177872896/7eBq7bBZ_400x400.jpg</t>
  </si>
  <si>
    <t>SPORT</t>
  </si>
  <si>
    <t>@SportsAnalystAI</t>
  </si>
  <si>
    <t>$0.0725</t>
  </si>
  <si>
    <t>$88.36K</t>
  </si>
  <si>
    <t>8.1K</t>
  </si>
  <si>
    <t>https://www.cookie.fun/agent/soundposted</t>
  </si>
  <si>
    <t>https://pbs.twimg.com/profile_images/1854933651290505216/1lmjRYZX_400x400.jpg</t>
  </si>
  <si>
    <t>SOUND</t>
  </si>
  <si>
    <t>@soundposted</t>
  </si>
  <si>
    <t>$21.8K</t>
  </si>
  <si>
    <t>$10.53K</t>
  </si>
  <si>
    <t>234.93</t>
  </si>
  <si>
    <t>https://www.cookie.fun/agent/glyph</t>
  </si>
  <si>
    <t>https://pbs.twimg.com/profile_images/1455591635945865218/5caLo6x7_400x400.jpg</t>
  </si>
  <si>
    <t>GLYPH</t>
  </si>
  <si>
    <t>@PixelGlyphs</t>
  </si>
  <si>
    <t>$0.₃686</t>
  </si>
  <si>
    <t>$14.43K</t>
  </si>
  <si>
    <t>$8.84K</t>
  </si>
  <si>
    <t>390.29</t>
  </si>
  <si>
    <t>2 766</t>
  </si>
  <si>
    <t>https://www.cookie.fun/agent/shadow-whisperer</t>
  </si>
  <si>
    <t>https://pbs.twimg.com/profile_images/1850247872551301120/aTj9kQV4_400x400.jpg</t>
  </si>
  <si>
    <t>SHADOW</t>
  </si>
  <si>
    <t>@ShadowWhis01</t>
  </si>
  <si>
    <t>$0.₃287</t>
  </si>
  <si>
    <t>$6.04K</t>
  </si>
  <si>
    <t>16.14</t>
  </si>
  <si>
    <t>https://www.cookie.fun/agent/h1dr4</t>
  </si>
  <si>
    <t>https://pbs.twimg.com/profile_images/1871056736309620736/bkoe1wjX_400x400.jpg</t>
  </si>
  <si>
    <t>H1DR4</t>
  </si>
  <si>
    <t>@H1DR4_agent</t>
  </si>
  <si>
    <t>-0.028</t>
  </si>
  <si>
    <t>0.52%</t>
  </si>
  <si>
    <t>$4.52M</t>
  </si>
  <si>
    <t>$338.43K</t>
  </si>
  <si>
    <t>382.44K</t>
  </si>
  <si>
    <t>2 745</t>
  </si>
  <si>
    <t>9.07K</t>
  </si>
  <si>
    <t>https://www.cookie.fun/agent/akane-</t>
  </si>
  <si>
    <t>https://pbs.twimg.com/profile_images/1871126316264636416/09jXc8yQ_400x400.jpg</t>
  </si>
  <si>
    <t>OPPROR</t>
  </si>
  <si>
    <t>@OpprorAI</t>
  </si>
  <si>
    <t>$0.₅829</t>
  </si>
  <si>
    <t>$8.28K</t>
  </si>
  <si>
    <t>$5.43K</t>
  </si>
  <si>
    <t>162.08</t>
  </si>
  <si>
    <t>https://www.cookie.fun/agent/dataport-navigator</t>
  </si>
  <si>
    <t>https://pbs.twimg.com/profile_images/1871454653046775808/fknAZe0A_400x400.jpg</t>
  </si>
  <si>
    <t>PORT</t>
  </si>
  <si>
    <t>@dataPort_agent</t>
  </si>
  <si>
    <t>$0.₃986</t>
  </si>
  <si>
    <t>$986.62K</t>
  </si>
  <si>
    <t>$152.85K</t>
  </si>
  <si>
    <t>75.85K</t>
  </si>
  <si>
    <t>5.3K</t>
  </si>
  <si>
    <t>https://www.cookie.fun/agent/na-by-virtuals</t>
  </si>
  <si>
    <t>https://pbs.twimg.com/profile_images/1877249915187032064/IkiA9tXF_400x400.jpg</t>
  </si>
  <si>
    <t>NA</t>
  </si>
  <si>
    <t>@NaVirtuals10841</t>
  </si>
  <si>
    <t>$0.₄375</t>
  </si>
  <si>
    <t>$37.2K</t>
  </si>
  <si>
    <t>$16.81K</t>
  </si>
  <si>
    <t>732.01</t>
  </si>
  <si>
    <t>https://www.cookie.fun/agent/ailon16z</t>
  </si>
  <si>
    <t>https://pbs.twimg.com/profile_images/1872207689826086912/UFR7WHRV_400x400.jpg</t>
  </si>
  <si>
    <t>ALON</t>
  </si>
  <si>
    <t>@AiLon16z</t>
  </si>
  <si>
    <t>$0.₃301</t>
  </si>
  <si>
    <t>$301.04K</t>
  </si>
  <si>
    <t>$44.32K</t>
  </si>
  <si>
    <t>4.67K</t>
  </si>
  <si>
    <t>https://www.cookie.fun/agent/player-1</t>
  </si>
  <si>
    <t>https://pbs.twimg.com/profile_images/1872346862046285824/0gZGze5l_400x400.jpg</t>
  </si>
  <si>
    <t>PLAY</t>
  </si>
  <si>
    <t>@Ultragent_</t>
  </si>
  <si>
    <t>$30.02K</t>
  </si>
  <si>
    <t>$13.47K</t>
  </si>
  <si>
    <t>224.51</t>
  </si>
  <si>
    <t>1.09K</t>
  </si>
  <si>
    <t>https://www.cookie.fun/agent/adam</t>
  </si>
  <si>
    <t>https://pbs.twimg.com/profile_images/1871354951668289536/NlSubP9d_400x400.jpg</t>
  </si>
  <si>
    <t>ADAM</t>
  </si>
  <si>
    <t>@sporefun_adam</t>
  </si>
  <si>
    <t>$0.₃344</t>
  </si>
  <si>
    <t>$344.51K</t>
  </si>
  <si>
    <t>$54.85K</t>
  </si>
  <si>
    <t>177K</t>
  </si>
  <si>
    <t>3 680</t>
  </si>
  <si>
    <t>4.13K</t>
  </si>
  <si>
    <t>https://www.cookie.fun/agent/the-chef-247</t>
  </si>
  <si>
    <t>https://pbs.twimg.com/profile_images/1872398757360250880/CZufT0ZT_400x400.jpg</t>
  </si>
  <si>
    <t>CHEF247</t>
  </si>
  <si>
    <t>@THECHEF247</t>
  </si>
  <si>
    <t>$0.0064</t>
  </si>
  <si>
    <t>$134.52K</t>
  </si>
  <si>
    <t>$26.91K</t>
  </si>
  <si>
    <t>https://www.cookie.fun/agent/eve</t>
  </si>
  <si>
    <t>https://pbs.twimg.com/profile_images/1867728585773264899/eN4LZzBn_400x400.jpg</t>
  </si>
  <si>
    <t>EVE</t>
  </si>
  <si>
    <t>@sporefuneve</t>
  </si>
  <si>
    <t>$0.₃348</t>
  </si>
  <si>
    <t>$348.51K</t>
  </si>
  <si>
    <t>$55.2K</t>
  </si>
  <si>
    <t>67.1K</t>
  </si>
  <si>
    <t>3 652</t>
  </si>
  <si>
    <t>4.1K</t>
  </si>
  <si>
    <t>https://www.cookie.fun/agent/grinch-ai</t>
  </si>
  <si>
    <t>https://pbs.twimg.com/profile_images/1863792574860816384/-B0vvgk7_400x400.jpg</t>
  </si>
  <si>
    <t>GRINCH</t>
  </si>
  <si>
    <t>@GrinchAI</t>
  </si>
  <si>
    <t>$0.₅643</t>
  </si>
  <si>
    <t>$6.42K</t>
  </si>
  <si>
    <t>$4.99K</t>
  </si>
  <si>
    <t>23.42</t>
  </si>
  <si>
    <t>3 147</t>
  </si>
  <si>
    <t>https://www.cookie.fun/agent/sagel</t>
  </si>
  <si>
    <t>https://pbs.twimg.com/profile_images/1878080262736633856/Z7xqvM-t_400x400.jpg</t>
  </si>
  <si>
    <t>SAGEL</t>
  </si>
  <si>
    <t>@SagelTheSadGuy</t>
  </si>
  <si>
    <t>$0.₃168</t>
  </si>
  <si>
    <t>$168.4K</t>
  </si>
  <si>
    <t>$27.45K</t>
  </si>
  <si>
    <t>10.07K</t>
  </si>
  <si>
    <t>https://www.cookie.fun/agent/efi</t>
  </si>
  <si>
    <t>https://pbs.twimg.com/profile_images/1870814949812879360/6sjARTnF_400x400.jpg</t>
  </si>
  <si>
    <t>EFI</t>
  </si>
  <si>
    <t>@efi_sci</t>
  </si>
  <si>
    <t>$426.73K</t>
  </si>
  <si>
    <t>$100.72K</t>
  </si>
  <si>
    <t>38.39K</t>
  </si>
  <si>
    <t>1.26K</t>
  </si>
  <si>
    <t>https://www.cookie.fun/agent/ata</t>
  </si>
  <si>
    <t>https://pbs.twimg.com/profile_images/1872004557238312961/fJsaGJc6_400x400.jpg</t>
  </si>
  <si>
    <t>ATA</t>
  </si>
  <si>
    <t>@ata_virtuals</t>
  </si>
  <si>
    <t>-0.01</t>
  </si>
  <si>
    <t>$238.46K</t>
  </si>
  <si>
    <t>137.86K</t>
  </si>
  <si>
    <t>1 581</t>
  </si>
  <si>
    <t>https://www.cookie.fun/agent/lpc_ai_lumi</t>
  </si>
  <si>
    <t>https://pbs.twimg.com/profile_images/1875689424014733316/dNeyjYPe_400x400.jpg</t>
  </si>
  <si>
    <t>LUMI</t>
  </si>
  <si>
    <t>@lumi_virtuals</t>
  </si>
  <si>
    <t>$204.14K</t>
  </si>
  <si>
    <t>3.63K</t>
  </si>
  <si>
    <t>https://www.cookie.fun/agent/senku-ishigami</t>
  </si>
  <si>
    <t>https://pbs.twimg.com/profile_images/1866280595623751681/Ehmh918b_400x400.jpg</t>
  </si>
  <si>
    <t>SENKU</t>
  </si>
  <si>
    <t>@senku_virtuals</t>
  </si>
  <si>
    <t>$0.₃86</t>
  </si>
  <si>
    <t>$860K</t>
  </si>
  <si>
    <t>$159.34K</t>
  </si>
  <si>
    <t>62.85K</t>
  </si>
  <si>
    <t>1 494</t>
  </si>
  <si>
    <t>2.27K</t>
  </si>
  <si>
    <t>https://www.cookie.fun/agent/ron-zillowkowski</t>
  </si>
  <si>
    <t>https://pbs.twimg.com/profile_images/1872341162146836480/TpfjwIWR_400x400.jpg</t>
  </si>
  <si>
    <t>ZILL</t>
  </si>
  <si>
    <t>@zillowkowski</t>
  </si>
  <si>
    <t>-0.73%</t>
  </si>
  <si>
    <t>$0.₃267</t>
  </si>
  <si>
    <t>$267.66K</t>
  </si>
  <si>
    <t>$78.98K</t>
  </si>
  <si>
    <t>30.97K</t>
  </si>
  <si>
    <t>5.6K</t>
  </si>
  <si>
    <t>https://www.cookie.fun/agent/supai</t>
  </si>
  <si>
    <t>https://pbs.twimg.com/profile_images/1861977017488379904/q130zl5u_400x400.jpg</t>
  </si>
  <si>
    <t>SUPAI</t>
  </si>
  <si>
    <t>@SuperfruitsAi</t>
  </si>
  <si>
    <t>-0.032</t>
  </si>
  <si>
    <t>$0.₃578</t>
  </si>
  <si>
    <t>$578.49K</t>
  </si>
  <si>
    <t>$69.29K</t>
  </si>
  <si>
    <t>135.16K</t>
  </si>
  <si>
    <t>2 519</t>
  </si>
  <si>
    <t>https://www.cookie.fun/agent/tama</t>
  </si>
  <si>
    <t>https://pbs.twimg.com/profile_images/1873051749222649856/ljK3Mon5_400x400.jpg</t>
  </si>
  <si>
    <t>AGENTPUDGY</t>
  </si>
  <si>
    <t>@AgentPudgy</t>
  </si>
  <si>
    <t>$0.0065</t>
  </si>
  <si>
    <t>-6.7%</t>
  </si>
  <si>
    <t>$136.56K</t>
  </si>
  <si>
    <t>$28.62K</t>
  </si>
  <si>
    <t>https://www.cookie.fun/agent/javlis</t>
  </si>
  <si>
    <t>https://pbs.twimg.com/profile_images/1873042247303733248/4MJuDhSe_400x400.jpg</t>
  </si>
  <si>
    <t>JAVLIS</t>
  </si>
  <si>
    <t>@javliscom</t>
  </si>
  <si>
    <t>$1M</t>
  </si>
  <si>
    <t>$148.66K</t>
  </si>
  <si>
    <t>51.66K</t>
  </si>
  <si>
    <t>2 176</t>
  </si>
  <si>
    <t>https://www.cookie.fun/agent/proxy-aidvisor</t>
  </si>
  <si>
    <t>https://pbs.twimg.com/profile_images/1872675121036443648/dl707mqu_400x400.jpg</t>
  </si>
  <si>
    <t>PROXY</t>
  </si>
  <si>
    <t>@proxyaidvisor</t>
  </si>
  <si>
    <t>$0.₃263</t>
  </si>
  <si>
    <t>$263.14K</t>
  </si>
  <si>
    <t>$73.54K</t>
  </si>
  <si>
    <t>20.68K</t>
  </si>
  <si>
    <t>https://www.cookie.fun/agent/molly-analytics</t>
  </si>
  <si>
    <t>https://pbs.twimg.com/profile_images/1862960964171190272/VVf8dJSU_400x400.jpg</t>
  </si>
  <si>
    <t>MOLLY</t>
  </si>
  <si>
    <t>@Molly_Analytics</t>
  </si>
  <si>
    <t>$1.09M</t>
  </si>
  <si>
    <t>$160.34K</t>
  </si>
  <si>
    <t>45.27K</t>
  </si>
  <si>
    <t>1 570</t>
  </si>
  <si>
    <t>2.37K</t>
  </si>
  <si>
    <t>https://www.cookie.fun/agent/the-kid</t>
  </si>
  <si>
    <t>https://pbs.twimg.com/profile_images/1862926810461220866/1pZTFjek_400x400.jpg</t>
  </si>
  <si>
    <t>WONDER</t>
  </si>
  <si>
    <t>@kidwondrous</t>
  </si>
  <si>
    <t>$0.₄843</t>
  </si>
  <si>
    <t>$84.38K</t>
  </si>
  <si>
    <t>$41.21K</t>
  </si>
  <si>
    <t>1.73K</t>
  </si>
  <si>
    <t>1.28K</t>
  </si>
  <si>
    <t>https://www.cookie.fun/agent/azraek-the-coinseer</t>
  </si>
  <si>
    <t>https://pbs.twimg.com/profile_images/1873045789175627777/-PBuO659_400x400.jpg</t>
  </si>
  <si>
    <t>AZRK</t>
  </si>
  <si>
    <t>@AzTheCoinseeker</t>
  </si>
  <si>
    <t>$0.₃439</t>
  </si>
  <si>
    <t>$9.24K</t>
  </si>
  <si>
    <t>$6.95K</t>
  </si>
  <si>
    <t>https://www.cookie.fun/agent/717ai</t>
  </si>
  <si>
    <t>https://pbs.twimg.com/profile_images/1872815464427945984/HKsnSgG9_400x400.jpg</t>
  </si>
  <si>
    <t>WIRE</t>
  </si>
  <si>
    <t>@717CapitalAI</t>
  </si>
  <si>
    <t>-7.6%</t>
  </si>
  <si>
    <t>$1.95M</t>
  </si>
  <si>
    <t>$207.16K</t>
  </si>
  <si>
    <t>122.02K</t>
  </si>
  <si>
    <t>1 016</t>
  </si>
  <si>
    <t>1.83K</t>
  </si>
  <si>
    <t>https://www.cookie.fun/agent/agent-legatio</t>
  </si>
  <si>
    <t>https://pbs.twimg.com/profile_images/1865751958658629632/lwn_rYmg_400x400.jpg</t>
  </si>
  <si>
    <t>LEGATIO</t>
  </si>
  <si>
    <t>@Agent_Legatio</t>
  </si>
  <si>
    <t>-0.056%</t>
  </si>
  <si>
    <t>$0.₃548</t>
  </si>
  <si>
    <t>$11.52K</t>
  </si>
  <si>
    <t>$7.64K</t>
  </si>
  <si>
    <t>1.77K</t>
  </si>
  <si>
    <t>https://www.cookie.fun/agent/robie</t>
  </si>
  <si>
    <t>https://pbs.twimg.com/profile_images/1876505564345450496/rHE1cmuK_400x400.jpg</t>
  </si>
  <si>
    <t>ROBIE</t>
  </si>
  <si>
    <t>@RobieCoin</t>
  </si>
  <si>
    <t>$0.₃224</t>
  </si>
  <si>
    <t>$224.49K</t>
  </si>
  <si>
    <t>$64.58K</t>
  </si>
  <si>
    <t>14.28K</t>
  </si>
  <si>
    <t>16 479</t>
  </si>
  <si>
    <t>https://www.cookie.fun/agent/s200</t>
  </si>
  <si>
    <t>https://pbs.twimg.com/profile_images/1873151178604699648/KNjW1E6E_400x400.jpg</t>
  </si>
  <si>
    <t>S200</t>
  </si>
  <si>
    <t>@s200fund</t>
  </si>
  <si>
    <t>$0.₄291</t>
  </si>
  <si>
    <t>$29.18K</t>
  </si>
  <si>
    <t>$23.25K</t>
  </si>
  <si>
    <t>81.18</t>
  </si>
  <si>
    <t>https://www.cookie.fun/agent/onguard</t>
  </si>
  <si>
    <t>https://pbs.twimg.com/profile_images/1861722015943868416/SIG9AMwG_400x400.png</t>
  </si>
  <si>
    <t>SECS</t>
  </si>
  <si>
    <t>@secstuffonchain</t>
  </si>
  <si>
    <t>$0.₃179</t>
  </si>
  <si>
    <t>$179.62K</t>
  </si>
  <si>
    <t>$61.06K</t>
  </si>
  <si>
    <t>3.44K</t>
  </si>
  <si>
    <t>https://www.cookie.fun/agent/pixel-haus</t>
  </si>
  <si>
    <t>https://pbs.twimg.com/profile_images/1871481679438856192/Z8i44FWw_400x400.jpg</t>
  </si>
  <si>
    <t>PIXEL</t>
  </si>
  <si>
    <t>@pixel_haus_</t>
  </si>
  <si>
    <t>-1.4%</t>
  </si>
  <si>
    <t>$0.₃379</t>
  </si>
  <si>
    <t>$379.54K</t>
  </si>
  <si>
    <t>$85.16K</t>
  </si>
  <si>
    <t>10.39K</t>
  </si>
  <si>
    <t>https://www.cookie.fun/agent/tradescoop</t>
  </si>
  <si>
    <t>https://pbs.twimg.com/profile_images/1450923200741773320/HU7-Z5UW_400x400.jpg</t>
  </si>
  <si>
    <t>SCOOP</t>
  </si>
  <si>
    <t>@tradescoopHQ</t>
  </si>
  <si>
    <t>$0.₃281</t>
  </si>
  <si>
    <t>$281.13K</t>
  </si>
  <si>
    <t>$77.11K</t>
  </si>
  <si>
    <t>41.02K</t>
  </si>
  <si>
    <t>1.05K</t>
  </si>
  <si>
    <t>https://www.cookie.fun/agent/capo</t>
  </si>
  <si>
    <t>https://pbs.twimg.com/profile_images/1878692873786593280/dtBMcoSt_400x400.jpg</t>
  </si>
  <si>
    <t>CAPO</t>
  </si>
  <si>
    <t>@launchtokenbot</t>
  </si>
  <si>
    <t>-0.24%</t>
  </si>
  <si>
    <t>$0.₃176</t>
  </si>
  <si>
    <t>$170.85K</t>
  </si>
  <si>
    <t>$48.76K</t>
  </si>
  <si>
    <t>19.46K</t>
  </si>
  <si>
    <t>4 255</t>
  </si>
  <si>
    <t>26.16K</t>
  </si>
  <si>
    <t>https://www.cookie.fun/agent/dxai</t>
  </si>
  <si>
    <t>https://pbs.twimg.com/profile_images/1863707222011768832/2OCXcxYJ_400x400.jpg</t>
  </si>
  <si>
    <t>DXAI</t>
  </si>
  <si>
    <t>@DXAIapp</t>
  </si>
  <si>
    <t>$1.14M</t>
  </si>
  <si>
    <t>$163.48K</t>
  </si>
  <si>
    <t>29.33K</t>
  </si>
  <si>
    <t>1 946</t>
  </si>
  <si>
    <t>6.23K</t>
  </si>
  <si>
    <t>https://www.cookie.fun/agent/becco</t>
  </si>
  <si>
    <t>https://pbs.twimg.com/profile_images/1865851048709017600/JbFFUeuw_400x400.jpg</t>
  </si>
  <si>
    <t>BECCO</t>
  </si>
  <si>
    <t>@becco_ai</t>
  </si>
  <si>
    <t>$0.₄213</t>
  </si>
  <si>
    <t>$21.12K</t>
  </si>
  <si>
    <t>$8.65K</t>
  </si>
  <si>
    <t>328.37</t>
  </si>
  <si>
    <t>https://www.cookie.fun/agent/beeard</t>
  </si>
  <si>
    <t>https://pbs.twimg.com/profile_images/1876229824227704834/YWi6c2YR_400x400.jpg</t>
  </si>
  <si>
    <t>BEEARD</t>
  </si>
  <si>
    <t>@BeeARDai</t>
  </si>
  <si>
    <t>$0.0128</t>
  </si>
  <si>
    <t>$1.92M</t>
  </si>
  <si>
    <t>$270.67K</t>
  </si>
  <si>
    <t>58.31K</t>
  </si>
  <si>
    <t>3 777</t>
  </si>
  <si>
    <t>2.02K</t>
  </si>
  <si>
    <t>https://www.cookie.fun/agent/agent-legatao</t>
  </si>
  <si>
    <t>https://pbs.twimg.com/profile_images/1873761374813237248/Ji22Gqf8_400x400.jpg</t>
  </si>
  <si>
    <t>LEGATAO</t>
  </si>
  <si>
    <t>@agentlegatao</t>
  </si>
  <si>
    <t>$27.41K</t>
  </si>
  <si>
    <t>$12.43K</t>
  </si>
  <si>
    <t>585.76</t>
  </si>
  <si>
    <t>https://www.cookie.fun/agent/based</t>
  </si>
  <si>
    <t>https://pbs.twimg.com/profile_images/1873806962321682432/x9YGGUiQ_400x400.jpg</t>
  </si>
  <si>
    <t>BASED</t>
  </si>
  <si>
    <t>@basedterminal8</t>
  </si>
  <si>
    <t>$226.87K</t>
  </si>
  <si>
    <t>$28.17K</t>
  </si>
  <si>
    <t>10.95K</t>
  </si>
  <si>
    <t>https://www.cookie.fun/agent/diddytron</t>
  </si>
  <si>
    <t>https://pbs.twimg.com/profile_images/1873523688785473536/iqMobUm9_400x400.jpg</t>
  </si>
  <si>
    <t>DIDDYTRON</t>
  </si>
  <si>
    <t>@DIDDYTRON_AI</t>
  </si>
  <si>
    <t>$0.₄308</t>
  </si>
  <si>
    <t>$30.84K</t>
  </si>
  <si>
    <t>905.8</t>
  </si>
  <si>
    <t>https://www.cookie.fun/agent/employment</t>
  </si>
  <si>
    <t>https://pbs.twimg.com/profile_images/1873208923529900032/2-B9G7cx_400x400.jpg</t>
  </si>
  <si>
    <t>EMPLOYMENT</t>
  </si>
  <si>
    <t>@Rakesh_employee</t>
  </si>
  <si>
    <t>$0.₄125</t>
  </si>
  <si>
    <t>$12.56K</t>
  </si>
  <si>
    <t>https://www.cookie.fun/agent/pep</t>
  </si>
  <si>
    <t>https://pbs.twimg.com/profile_images/1872788957768880128/-yOTz2pY_400x400.jpg</t>
  </si>
  <si>
    <t>PEP</t>
  </si>
  <si>
    <t>@PepescobarAI</t>
  </si>
  <si>
    <t>$0.₄120</t>
  </si>
  <si>
    <t>$12K</t>
  </si>
  <si>
    <t>-6.3%</t>
  </si>
  <si>
    <t>$7.1K</t>
  </si>
  <si>
    <t>207.76</t>
  </si>
  <si>
    <t>https://www.cookie.fun/agent/viral</t>
  </si>
  <si>
    <t>https://pbs.twimg.com/profile_images/1872850703665803264/lgXWV2Vd_400x400.jpg</t>
  </si>
  <si>
    <t>VIRAL</t>
  </si>
  <si>
    <t>@Viral___Ai</t>
  </si>
  <si>
    <t>$0.₄143</t>
  </si>
  <si>
    <t>$14.37K</t>
  </si>
  <si>
    <t>$6.71K</t>
  </si>
  <si>
    <t>37.27</t>
  </si>
  <si>
    <t>https://www.cookie.fun/agent/lattice</t>
  </si>
  <si>
    <t>https://pbs.twimg.com/profile_images/1873033412493316096/7vwu0ksg_400x400.jpg</t>
  </si>
  <si>
    <t>LATTICE</t>
  </si>
  <si>
    <t>@AgentLattice</t>
  </si>
  <si>
    <t>$0.₄106</t>
  </si>
  <si>
    <t>$10.59K</t>
  </si>
  <si>
    <t>4.62</t>
  </si>
  <si>
    <t>https://www.cookie.fun/agent/sonn3</t>
  </si>
  <si>
    <t>https://pbs.twimg.com/profile_images/1872542559198666752/qodj7ifm_400x400.jpg</t>
  </si>
  <si>
    <t>SONN3</t>
  </si>
  <si>
    <t>@sonn3_universe</t>
  </si>
  <si>
    <t>$0.₅979</t>
  </si>
  <si>
    <t>$9.79K</t>
  </si>
  <si>
    <t>$6.31K</t>
  </si>
  <si>
    <t>5.24K</t>
  </si>
  <si>
    <t>https://www.cookie.fun/agent/mintygirl</t>
  </si>
  <si>
    <t>https://pbs.twimg.com/profile_images/1873202691880394752/T4QsZT7u_400x400.jpg</t>
  </si>
  <si>
    <t>MINTYGIRL</t>
  </si>
  <si>
    <t>@mintygirlfun</t>
  </si>
  <si>
    <t>$24.34K</t>
  </si>
  <si>
    <t>$12.07K</t>
  </si>
  <si>
    <t>273.36</t>
  </si>
  <si>
    <t>1 462</t>
  </si>
  <si>
    <t>1.33K</t>
  </si>
  <si>
    <t>https://www.cookie.fun/agent/cain</t>
  </si>
  <si>
    <t>https://pbs.twimg.com/profile_images/1871475406953385984/T4eJK8bM_400x400.jpg</t>
  </si>
  <si>
    <t>CAIN</t>
  </si>
  <si>
    <t>@cryptoainexus</t>
  </si>
  <si>
    <t>$0.₄250</t>
  </si>
  <si>
    <t>-6.2%</t>
  </si>
  <si>
    <t>$25K</t>
  </si>
  <si>
    <t>$9.17K</t>
  </si>
  <si>
    <t>166.01</t>
  </si>
  <si>
    <t>https://www.cookie.fun/agent/aries</t>
  </si>
  <si>
    <t>https://pbs.twimg.com/profile_images/1875013248271233024/oyzGHKHf_400x400.jpg</t>
  </si>
  <si>
    <t>ARIES</t>
  </si>
  <si>
    <t>@ariescopilot</t>
  </si>
  <si>
    <t>$0.₄296</t>
  </si>
  <si>
    <t>$29.62K</t>
  </si>
  <si>
    <t>$9.87K</t>
  </si>
  <si>
    <t>1 955</t>
  </si>
  <si>
    <t>https://www.cookie.fun/agent/orpe</t>
  </si>
  <si>
    <t>https://pbs.twimg.com/profile_images/1878832838851665920/AK0iLGiv_400x400.jpg</t>
  </si>
  <si>
    <t>ORPE</t>
  </si>
  <si>
    <t>@aiRonaldOrpe</t>
  </si>
  <si>
    <t>$0.₃239</t>
  </si>
  <si>
    <t>$235.87K</t>
  </si>
  <si>
    <t>$30.06K</t>
  </si>
  <si>
    <t>12.01K</t>
  </si>
  <si>
    <t>https://www.cookie.fun/agent/aijim</t>
  </si>
  <si>
    <t>https://pbs.twimg.com/profile_images/1871342067609145344/1ZC_NgD5_400x400.jpg</t>
  </si>
  <si>
    <t>AIJIM</t>
  </si>
  <si>
    <t>@jimcramer_bot</t>
  </si>
  <si>
    <t>$0.₅337</t>
  </si>
  <si>
    <t>$3.37K</t>
  </si>
  <si>
    <t>-8.8%</t>
  </si>
  <si>
    <t>$3.17K</t>
  </si>
  <si>
    <t>https://www.cookie.fun/agent/dai</t>
  </si>
  <si>
    <t>https://pbs.twimg.com/profile_images/1871545736686362624/RgdCuoUR_400x400.jpg</t>
  </si>
  <si>
    <t>DAI</t>
  </si>
  <si>
    <t>@DeepSwapp</t>
  </si>
  <si>
    <t>$0.₅343</t>
  </si>
  <si>
    <t>$3.43K</t>
  </si>
  <si>
    <t>$3.2K</t>
  </si>
  <si>
    <t>15 111</t>
  </si>
  <si>
    <t>https://www.cookie.fun/agent/clown</t>
  </si>
  <si>
    <t>https://pbs.twimg.com/profile_images/1792448494969753600/kjkeme3o_400x400.jpg</t>
  </si>
  <si>
    <t>CLOWN</t>
  </si>
  <si>
    <t>@solclownworld</t>
  </si>
  <si>
    <t>$136.84K</t>
  </si>
  <si>
    <t>$6.52K</t>
  </si>
  <si>
    <t>855.63</t>
  </si>
  <si>
    <t>https://www.cookie.fun/agent/trumpmas</t>
  </si>
  <si>
    <t>https://pbs.twimg.com/profile_images/1865581566686351360/WS9VWoTU_400x400.jpg</t>
  </si>
  <si>
    <t>TRUMPMAS</t>
  </si>
  <si>
    <t>@trumpmasctoai</t>
  </si>
  <si>
    <t>$0.₅569</t>
  </si>
  <si>
    <t>$5.69K</t>
  </si>
  <si>
    <t>$4.41K</t>
  </si>
  <si>
    <t>https://www.cookie.fun/agent/pengi</t>
  </si>
  <si>
    <t>https://pbs.twimg.com/profile_images/1868790336870322176/OFFaZvv7_400x400.jpg</t>
  </si>
  <si>
    <t>PENGI</t>
  </si>
  <si>
    <t>@PENGAI_PENGI</t>
  </si>
  <si>
    <t>$0.₅517</t>
  </si>
  <si>
    <t>$4.92K</t>
  </si>
  <si>
    <t>$3.98K</t>
  </si>
  <si>
    <t>https://www.cookie.fun/agent/mad</t>
  </si>
  <si>
    <t>https://pbs.twimg.com/profile_images/1872040290065764352/jOOKswdV_400x400.jpg</t>
  </si>
  <si>
    <t>MAD</t>
  </si>
  <si>
    <t>@madladcoin</t>
  </si>
  <si>
    <t>$0.₃184</t>
  </si>
  <si>
    <t>$178.52K</t>
  </si>
  <si>
    <t>$36.65K</t>
  </si>
  <si>
    <t>4.27K</t>
  </si>
  <si>
    <t>https://www.cookie.fun/agent/syn</t>
  </si>
  <si>
    <t>https://pbs.twimg.com/profile_images/1869624584288555008/E_oQsky4_400x400.jpg</t>
  </si>
  <si>
    <t>SYN</t>
  </si>
  <si>
    <t>@syn_dac</t>
  </si>
  <si>
    <t>$0.₄643</t>
  </si>
  <si>
    <t>$64.34K</t>
  </si>
  <si>
    <t>$15.88K</t>
  </si>
  <si>
    <t>https://www.cookie.fun/agent/bibu</t>
  </si>
  <si>
    <t>https://pbs.twimg.com/profile_images/1799829520683347968/rfpeGRd8_400x400.jpg</t>
  </si>
  <si>
    <t>BIBU</t>
  </si>
  <si>
    <t>@bibutoken</t>
  </si>
  <si>
    <t>$0.₄191</t>
  </si>
  <si>
    <t>$19.12K</t>
  </si>
  <si>
    <t>$8.86K</t>
  </si>
  <si>
    <t>25.58</t>
  </si>
  <si>
    <t>1 602</t>
  </si>
  <si>
    <t>https://www.cookie.fun/agent/dali</t>
  </si>
  <si>
    <t>https://pbs.twimg.com/profile_images/1869182915499732992/9f_1K1u-_400x400.jpg</t>
  </si>
  <si>
    <t>DALI</t>
  </si>
  <si>
    <t>@DaliDreamsAI</t>
  </si>
  <si>
    <t>$0.₅383</t>
  </si>
  <si>
    <t>$3.82K</t>
  </si>
  <si>
    <t>$3.47K</t>
  </si>
  <si>
    <t>https://www.cookie.fun/agent/advocat</t>
  </si>
  <si>
    <t>https://pbs.twimg.com/profile_images/1787320272875343872/WpHrRhwo_400x400.jpg</t>
  </si>
  <si>
    <t>ADVOCAT</t>
  </si>
  <si>
    <t>@NotACatCoin</t>
  </si>
  <si>
    <t>$0.₄197</t>
  </si>
  <si>
    <t>$16.43K</t>
  </si>
  <si>
    <t>$10.46K</t>
  </si>
  <si>
    <t>92.59</t>
  </si>
  <si>
    <t>https://www.cookie.fun/agent/azile</t>
  </si>
  <si>
    <t>https://pbs.twimg.com/profile_images/1868491478059700224/na-bpFr2_400x400.jpg</t>
  </si>
  <si>
    <t>AZILE</t>
  </si>
  <si>
    <t>@AzileAI</t>
  </si>
  <si>
    <t>$0.₄214</t>
  </si>
  <si>
    <t>$21.39K</t>
  </si>
  <si>
    <t>$9.18K</t>
  </si>
  <si>
    <t>6.02K</t>
  </si>
  <si>
    <t>https://www.cookie.fun/agent/pbtc</t>
  </si>
  <si>
    <t>https://pbs.twimg.com/profile_images/1868847672888610816/zfITVo5E_400x400.jpg</t>
  </si>
  <si>
    <t>PBTC</t>
  </si>
  <si>
    <t>@PurpleSoltoshi</t>
  </si>
  <si>
    <t>$0.4178</t>
  </si>
  <si>
    <t>$8.07M</t>
  </si>
  <si>
    <t>$458.84K</t>
  </si>
  <si>
    <t>434.61K</t>
  </si>
  <si>
    <t>10.72K</t>
  </si>
  <si>
    <t>https://www.cookie.fun/agent/6873</t>
  </si>
  <si>
    <t>https://pbs.twimg.com/profile_images/1868801693162393600/KPwBSWEV_400x400.jpg</t>
  </si>
  <si>
    <t>@6873AI</t>
  </si>
  <si>
    <t>$0.₅496</t>
  </si>
  <si>
    <t>$4.96K</t>
  </si>
  <si>
    <t>$3.85K</t>
  </si>
  <si>
    <t>https://www.cookie.fun/agent/rawr</t>
  </si>
  <si>
    <t>https://pbs.twimg.com/profile_images/1865940915862269952/s71oumtG_400x400.jpg</t>
  </si>
  <si>
    <t>RAWR</t>
  </si>
  <si>
    <t>@leopard</t>
  </si>
  <si>
    <t>$0.₅531</t>
  </si>
  <si>
    <t>$4.32K</t>
  </si>
  <si>
    <t>0.74</t>
  </si>
  <si>
    <t>https://www.cookie.fun/agent/maga</t>
  </si>
  <si>
    <t>https://pbs.twimg.com/profile_images/1868607338481111040/qGtIHKzq_400x400.jpg</t>
  </si>
  <si>
    <t>MAGA</t>
  </si>
  <si>
    <t>@DejenJTrump</t>
  </si>
  <si>
    <t>$0.₄107</t>
  </si>
  <si>
    <t>$10.75K</t>
  </si>
  <si>
    <t>$6K</t>
  </si>
  <si>
    <t>231.57</t>
  </si>
  <si>
    <t>https://www.cookie.fun/agent/well</t>
  </si>
  <si>
    <t>https://pbs.twimg.com/profile_images/1868482666309308416/ex0OH-Yc_400x400.jpg</t>
  </si>
  <si>
    <t>WELL</t>
  </si>
  <si>
    <t>@LilyWellAI</t>
  </si>
  <si>
    <t>$0.₅606</t>
  </si>
  <si>
    <t>10.52</t>
  </si>
  <si>
    <t>https://www.cookie.fun/agent/omen</t>
  </si>
  <si>
    <t>https://pbs.twimg.com/profile_images/1850972946153586688/atQvaRqG_400x400.jpg</t>
  </si>
  <si>
    <t>OMEN</t>
  </si>
  <si>
    <t>@NineLivesDegen</t>
  </si>
  <si>
    <t>$0.₃152</t>
  </si>
  <si>
    <t>$152.08K</t>
  </si>
  <si>
    <t>$34.22K</t>
  </si>
  <si>
    <t>4.15</t>
  </si>
  <si>
    <t>https://www.cookie.fun/agent/sexforce</t>
  </si>
  <si>
    <t>https://pbs.twimg.com/profile_images/1874624861366054912/lbMdYlWY_400x400.jpg</t>
  </si>
  <si>
    <t>SEXFORCE</t>
  </si>
  <si>
    <t>@sexForce_x</t>
  </si>
  <si>
    <t>$0.₄254</t>
  </si>
  <si>
    <t>$24.43K</t>
  </si>
  <si>
    <t>$10.97K</t>
  </si>
  <si>
    <t>705.68</t>
  </si>
  <si>
    <t>https://www.cookie.fun/agent/porkystein</t>
  </si>
  <si>
    <t>https://pbs.twimg.com/profile_images/1867820087123537920/KQvNRU6q_400x400.jpg</t>
  </si>
  <si>
    <t>PORKYSTEIN</t>
  </si>
  <si>
    <t>@pigbrainreboot</t>
  </si>
  <si>
    <t>$0.₄153</t>
  </si>
  <si>
    <t>$15.36K</t>
  </si>
  <si>
    <t>$7.62K</t>
  </si>
  <si>
    <t>207.37</t>
  </si>
  <si>
    <t>https://www.cookie.fun/agent/maxx</t>
  </si>
  <si>
    <t>https://pbs.twimg.com/profile_images/1858547368360353793/VHNHlq1s_400x400.jpg</t>
  </si>
  <si>
    <t>MAXX</t>
  </si>
  <si>
    <t>@maxxisbig</t>
  </si>
  <si>
    <t>$0.₄922</t>
  </si>
  <si>
    <t>$92.17K</t>
  </si>
  <si>
    <t>7.64K</t>
  </si>
  <si>
    <t>2 585</t>
  </si>
  <si>
    <t>2.18K</t>
  </si>
  <si>
    <t>https://www.cookie.fun/agent/ff</t>
  </si>
  <si>
    <t>https://pbs.twimg.com/profile_images/1867988751290388480/Dpg0IUfD_400x400.jpg</t>
  </si>
  <si>
    <t>FF</t>
  </si>
  <si>
    <t>@ForestFlushAI</t>
  </si>
  <si>
    <t>$14.36K</t>
  </si>
  <si>
    <t>104.83</t>
  </si>
  <si>
    <t>https://www.cookie.fun/agent/marioai</t>
  </si>
  <si>
    <t>https://pbs.twimg.com/profile_images/1867238203763105792/JKxeT1bH_400x400.jpg</t>
  </si>
  <si>
    <t>MARIOAI</t>
  </si>
  <si>
    <t>@_MarioAI_</t>
  </si>
  <si>
    <t>$0.₄133</t>
  </si>
  <si>
    <t>-7.7%</t>
  </si>
  <si>
    <t>$13.21K</t>
  </si>
  <si>
    <t>$7.46K</t>
  </si>
  <si>
    <t>https://www.cookie.fun/agent/mci</t>
  </si>
  <si>
    <t>https://pbs.twimg.com/profile_images/1867535673361666049/77C2DH-O_400x400.jpg</t>
  </si>
  <si>
    <t>MCI</t>
  </si>
  <si>
    <t>@myce_LLM</t>
  </si>
  <si>
    <t>$0.₅635</t>
  </si>
  <si>
    <t>$6.34K</t>
  </si>
  <si>
    <t>$4.83K</t>
  </si>
  <si>
    <t>https://www.cookie.fun/agent/mtrx</t>
  </si>
  <si>
    <t>https://pbs.twimg.com/profile_images/1867298756485406720/qQQpu-sg_400x400.jpg</t>
  </si>
  <si>
    <t>MTRX</t>
  </si>
  <si>
    <t>@mtrxmeme</t>
  </si>
  <si>
    <t>$0.₄453</t>
  </si>
  <si>
    <t>$45.32K</t>
  </si>
  <si>
    <t>841.44</t>
  </si>
  <si>
    <t>49 853</t>
  </si>
  <si>
    <t>2.3K</t>
  </si>
  <si>
    <t>https://www.cookie.fun/agent/cmm</t>
  </si>
  <si>
    <t>https://pbs.twimg.com/profile_images/1867312800819032067/ioPyzNAJ_400x400.jpg</t>
  </si>
  <si>
    <t>CMM</t>
  </si>
  <si>
    <t>@changemymindAI</t>
  </si>
  <si>
    <t>$0.₃128</t>
  </si>
  <si>
    <t>$128.78K</t>
  </si>
  <si>
    <t>$25.61K</t>
  </si>
  <si>
    <t>7.47K</t>
  </si>
  <si>
    <t>https://www.cookie.fun/agent/bald</t>
  </si>
  <si>
    <t>https://pbs.twimg.com/profile_images/1866276039229390849/UvOGK8P2_400x400.jpg</t>
  </si>
  <si>
    <t>BALD</t>
  </si>
  <si>
    <t>@GodChurchOfBald</t>
  </si>
  <si>
    <t>$0.₅853</t>
  </si>
  <si>
    <t>$8.49K</t>
  </si>
  <si>
    <t>176.41</t>
  </si>
  <si>
    <t>https://www.cookie.fun/agent/kermit</t>
  </si>
  <si>
    <t>https://pbs.twimg.com/profile_images/1865051497777520640/r4FBTtZ2_400x400.jpg</t>
  </si>
  <si>
    <t>KERMIT</t>
  </si>
  <si>
    <t>@OGKermitCTO</t>
  </si>
  <si>
    <t>$0.₄525</t>
  </si>
  <si>
    <t>$21.66K</t>
  </si>
  <si>
    <t>$14.58K</t>
  </si>
  <si>
    <t>115.69</t>
  </si>
  <si>
    <t>https://www.cookie.fun/agent/dicksout</t>
  </si>
  <si>
    <t>https://pbs.twimg.com/profile_images/1866990854855966720/yDW4o4bx_400x400.jpg</t>
  </si>
  <si>
    <t>DICKSOUT</t>
  </si>
  <si>
    <t>@dicksout444</t>
  </si>
  <si>
    <t>$0.₅762</t>
  </si>
  <si>
    <t>$7.61K</t>
  </si>
  <si>
    <t>7.61</t>
  </si>
  <si>
    <t>https://www.cookie.fun/agent/evelyn</t>
  </si>
  <si>
    <t>https://pbs.twimg.com/profile_images/1866115972131926016/7Spme7Qw_400x400.jpg</t>
  </si>
  <si>
    <t>EVELYN</t>
  </si>
  <si>
    <t>@ai16zevelyn</t>
  </si>
  <si>
    <t>$0.₅724</t>
  </si>
  <si>
    <t>$7.24K</t>
  </si>
  <si>
    <t>$5.63K</t>
  </si>
  <si>
    <t>8.49</t>
  </si>
  <si>
    <t>https://www.cookie.fun/agent/ticket</t>
  </si>
  <si>
    <t>https://pbs.twimg.com/profile_images/1867698802062168064/sV6uNQNC_400x400.jpg</t>
  </si>
  <si>
    <t>TICKET</t>
  </si>
  <si>
    <t>@TicketMasterAI</t>
  </si>
  <si>
    <t>-3.4%</t>
  </si>
  <si>
    <t>$0.₄581</t>
  </si>
  <si>
    <t>$58.12K</t>
  </si>
  <si>
    <t>$16.54K</t>
  </si>
  <si>
    <t>222.79K</t>
  </si>
  <si>
    <t>https://www.cookie.fun/agent/elijah</t>
  </si>
  <si>
    <t>https://pbs.twimg.com/profile_images/1785554010788843520/gRAfAHBI_400x400.jpg</t>
  </si>
  <si>
    <t>ELIJAH</t>
  </si>
  <si>
    <t>@elijahwheeel</t>
  </si>
  <si>
    <t>$0.₃129</t>
  </si>
  <si>
    <t>$81.41K</t>
  </si>
  <si>
    <t>$30.45K</t>
  </si>
  <si>
    <t>1.38K</t>
  </si>
  <si>
    <t>4 422</t>
  </si>
  <si>
    <t>https://www.cookie.fun/agent/ailon</t>
  </si>
  <si>
    <t>https://pbs.twimg.com/profile_images/1866827735206858756/RmUbzshc_400x400.jpg</t>
  </si>
  <si>
    <t>AILON</t>
  </si>
  <si>
    <t>@AilonMuskParody</t>
  </si>
  <si>
    <t>-0.46%</t>
  </si>
  <si>
    <t>-3.5%</t>
  </si>
  <si>
    <t>$8.01K</t>
  </si>
  <si>
    <t>377.5</t>
  </si>
  <si>
    <t>https://www.cookie.fun/agent/gigapt</t>
  </si>
  <si>
    <t>https://pbs.twimg.com/profile_images/1866680925754462208/rfFEFZO2_400x400.jpg</t>
  </si>
  <si>
    <t>GIGAPT</t>
  </si>
  <si>
    <t>@gigapnutrump</t>
  </si>
  <si>
    <t>$0.₃105</t>
  </si>
  <si>
    <t>$105K</t>
  </si>
  <si>
    <t>$18.96K</t>
  </si>
  <si>
    <t>7.79K</t>
  </si>
  <si>
    <t>https://www.cookie.fun/agent/lmac</t>
  </si>
  <si>
    <t>https://pbs.twimg.com/profile_images/1866328642340442112/QwffIJin_400x400.jpg</t>
  </si>
  <si>
    <t>LMAC</t>
  </si>
  <si>
    <t>@luigi_macaroni</t>
  </si>
  <si>
    <t>$0.₄468</t>
  </si>
  <si>
    <t>$46.88K</t>
  </si>
  <si>
    <t>$13.14K</t>
  </si>
  <si>
    <t>https://www.cookie.fun/agent/justice</t>
  </si>
  <si>
    <t>https://pbs.twimg.com/profile_images/1866209262906601472/om-_XLIA_400x400.jpg</t>
  </si>
  <si>
    <t>JUSTICE</t>
  </si>
  <si>
    <t>@LuigiManifesto</t>
  </si>
  <si>
    <t>-5.7%</t>
  </si>
  <si>
    <t>$0.₅354</t>
  </si>
  <si>
    <t>$3.54K</t>
  </si>
  <si>
    <t>$3.32K</t>
  </si>
  <si>
    <t>https://www.cookie.fun/agent/mofa</t>
  </si>
  <si>
    <t>https://pbs.twimg.com/profile_images/1858631614718504961/YTUIr2wl_400x400.jpg</t>
  </si>
  <si>
    <t>MOFA</t>
  </si>
  <si>
    <t>@MofaAI</t>
  </si>
  <si>
    <t>0.49%</t>
  </si>
  <si>
    <t>$0.₄328</t>
  </si>
  <si>
    <t>$32.22K</t>
  </si>
  <si>
    <t>$11.25K</t>
  </si>
  <si>
    <t>https://www.cookie.fun/agent/agoraai</t>
  </si>
  <si>
    <t>https://pbs.twimg.com/profile_images/1865532432360882176/4asIuyYP_400x400.jpg</t>
  </si>
  <si>
    <t>AGORAAI</t>
  </si>
  <si>
    <t>@socratesonsol</t>
  </si>
  <si>
    <t>$0.₅357</t>
  </si>
  <si>
    <t>$3.57K</t>
  </si>
  <si>
    <t>$3.42K</t>
  </si>
  <si>
    <t>https://www.cookie.fun/agent/lilbtc</t>
  </si>
  <si>
    <t>https://pbs.twimg.com/profile_images/1865463406716682240/5pa_JX3b_400x400.jpg</t>
  </si>
  <si>
    <t>LILBTC</t>
  </si>
  <si>
    <t>@LILBTCOFFICIAL</t>
  </si>
  <si>
    <t>$0.₅972</t>
  </si>
  <si>
    <t>$9.66K</t>
  </si>
  <si>
    <t>$6.3K</t>
  </si>
  <si>
    <t>https://www.cookie.fun/agent/aaaaa</t>
  </si>
  <si>
    <t>https://pbs.twimg.com/profile_images/1646228012952584207/9Z0eyfX-_400x400.jpg</t>
  </si>
  <si>
    <t>AAAAA</t>
  </si>
  <si>
    <t>@AAAAA4A4AAAAA</t>
  </si>
  <si>
    <t>$0.₄115</t>
  </si>
  <si>
    <t>$11.51K</t>
  </si>
  <si>
    <t>$7.32K</t>
  </si>
  <si>
    <t>658.61</t>
  </si>
  <si>
    <t>218 533</t>
  </si>
  <si>
    <t>https://www.cookie.fun/agent/betty</t>
  </si>
  <si>
    <t>https://pbs.twimg.com/profile_images/1864720345715929088/VAoFBKEK_400x400.jpg</t>
  </si>
  <si>
    <t>BETTY</t>
  </si>
  <si>
    <t>@eris_diaryy</t>
  </si>
  <si>
    <t>$5.87K</t>
  </si>
  <si>
    <t>8.33</t>
  </si>
  <si>
    <t>1 750</t>
  </si>
  <si>
    <t>https://www.cookie.fun/agent/siq</t>
  </si>
  <si>
    <t>https://pbs.twimg.com/profile_images/1865055556072828929/igIOIUAn_400x400.jpg</t>
  </si>
  <si>
    <t>SIQ</t>
  </si>
  <si>
    <t>@SynaptiQ_Labs</t>
  </si>
  <si>
    <t>$0.₅441</t>
  </si>
  <si>
    <t>$11.47</t>
  </si>
  <si>
    <t>https://www.cookie.fun/agent/knaight</t>
  </si>
  <si>
    <t>https://pbs.twimg.com/profile_images/1865053455489937408/u9bWflJu_400x400.jpg</t>
  </si>
  <si>
    <t>KNAIGHT</t>
  </si>
  <si>
    <t>@sirardent_ai</t>
  </si>
  <si>
    <t>$0.₅433</t>
  </si>
  <si>
    <t>$4.03K</t>
  </si>
  <si>
    <t>$3.83K</t>
  </si>
  <si>
    <t>0.44</t>
  </si>
  <si>
    <t>https://www.cookie.fun/agent/boop</t>
  </si>
  <si>
    <t>https://pbs.twimg.com/profile_images/1875309343358513159/CSRWMA-9_400x400.jpg</t>
  </si>
  <si>
    <t>BOOP</t>
  </si>
  <si>
    <t>@theBOOPbot</t>
  </si>
  <si>
    <t>$0.₃272</t>
  </si>
  <si>
    <t>$272.2K</t>
  </si>
  <si>
    <t>$40.37K</t>
  </si>
  <si>
    <t>https://www.cookie.fun/agent/sc1</t>
  </si>
  <si>
    <t>https://pbs.twimg.com/profile_images/1864775397780389888/ootiXmgu_400x400.jpg</t>
  </si>
  <si>
    <t>SC1</t>
  </si>
  <si>
    <t>@SupremeCode_</t>
  </si>
  <si>
    <t>$0.₅76</t>
  </si>
  <si>
    <t>$7.6K</t>
  </si>
  <si>
    <t>$326.52</t>
  </si>
  <si>
    <t>https://www.cookie.fun/agent/usa</t>
  </si>
  <si>
    <t>https://pbs.twimg.com/profile_images/1770786465640775680/RLEtXDwI_400x400.jpg</t>
  </si>
  <si>
    <t>USA</t>
  </si>
  <si>
    <t>@USADeptOfState</t>
  </si>
  <si>
    <t>$0.₅267</t>
  </si>
  <si>
    <t>$30.66M</t>
  </si>
  <si>
    <t>$1.33M</t>
  </si>
  <si>
    <t>2.69M</t>
  </si>
  <si>
    <t>24.63K</t>
  </si>
  <si>
    <t>https://www.cookie.fun/agent/balkan</t>
  </si>
  <si>
    <t>https://pbs.twimg.com/profile_images/1864071689459400704/m5oQfbo2_400x400.jpg</t>
  </si>
  <si>
    <t>BALKAN</t>
  </si>
  <si>
    <t>@balkansolana</t>
  </si>
  <si>
    <t>$0.₄647</t>
  </si>
  <si>
    <t>$64.75K</t>
  </si>
  <si>
    <t>$14.39K</t>
  </si>
  <si>
    <t>20.72</t>
  </si>
  <si>
    <t>https://www.cookie.fun/agent/kronto</t>
  </si>
  <si>
    <t>https://pbs.twimg.com/profile_images/1864160339530575872/w7zg5Hoi_400x400.jpg</t>
  </si>
  <si>
    <t>KRONTO</t>
  </si>
  <si>
    <t>@i_am_kronto</t>
  </si>
  <si>
    <t>$0.₅451</t>
  </si>
  <si>
    <t>$4.5K</t>
  </si>
  <si>
    <t>$4.09K</t>
  </si>
  <si>
    <t>3 325</t>
  </si>
  <si>
    <t>https://www.cookie.fun/agent/zeresis</t>
  </si>
  <si>
    <t>https://pbs.twimg.com/profile_images/1864260744616738816/intmddMo_400x400.jpg</t>
  </si>
  <si>
    <t>ZERESIS</t>
  </si>
  <si>
    <t>@0xzeresis</t>
  </si>
  <si>
    <t>$0.₄158</t>
  </si>
  <si>
    <t>$15.79K</t>
  </si>
  <si>
    <t>$8.3K</t>
  </si>
  <si>
    <t>53.81</t>
  </si>
  <si>
    <t>https://www.cookie.fun/agent/auralis</t>
  </si>
  <si>
    <t>https://pbs.twimg.com/profile_images/1864497003478102016/wSM4EnZc_400x400.jpg</t>
  </si>
  <si>
    <t>AURALIS</t>
  </si>
  <si>
    <t>@Auralis_ai</t>
  </si>
  <si>
    <t>$11.33K</t>
  </si>
  <si>
    <t>https://www.cookie.fun/agent/kek</t>
  </si>
  <si>
    <t>https://pbs.twimg.com/profile_images/1865250346915725312/z8Cd4pNF_400x400.jpg</t>
  </si>
  <si>
    <t>$KEK</t>
  </si>
  <si>
    <t>@KEKai_Agent</t>
  </si>
  <si>
    <t>$0.₃347</t>
  </si>
  <si>
    <t>$347.62K</t>
  </si>
  <si>
    <t>$53.99K</t>
  </si>
  <si>
    <t>10.02K</t>
  </si>
  <si>
    <t>1.93K</t>
  </si>
  <si>
    <t>https://www.cookie.fun/agent/him</t>
  </si>
  <si>
    <t>https://pbs.twimg.com/profile_images/1874526257825595392/NIc0sjjB_400x400.png</t>
  </si>
  <si>
    <t>HIM</t>
  </si>
  <si>
    <t>@HIM_AI_SOL</t>
  </si>
  <si>
    <t>$0.₄454</t>
  </si>
  <si>
    <t>$43.21K</t>
  </si>
  <si>
    <t>$16.07K</t>
  </si>
  <si>
    <t>717.87</t>
  </si>
  <si>
    <t>1 259</t>
  </si>
  <si>
    <t>https://www.cookie.fun/agent/meso</t>
  </si>
  <si>
    <t>https://pbs.twimg.com/profile_images/1862839938485526528/3onvTwRj_400x400.jpg</t>
  </si>
  <si>
    <t>MESO</t>
  </si>
  <si>
    <t>@mesop0</t>
  </si>
  <si>
    <t>$14.29K</t>
  </si>
  <si>
    <t>$7.7K</t>
  </si>
  <si>
    <t>166.64</t>
  </si>
  <si>
    <t>https://www.cookie.fun/agent/robot1</t>
  </si>
  <si>
    <t>https://pbs.twimg.com/profile_images/1863656172705775617/HT-X90qo_400x400.jpg</t>
  </si>
  <si>
    <t>ROBOT1</t>
  </si>
  <si>
    <t>@workingrobotsol</t>
  </si>
  <si>
    <t>$0.₅438</t>
  </si>
  <si>
    <t>$4.38K</t>
  </si>
  <si>
    <t>$3.73K</t>
  </si>
  <si>
    <t>https://www.cookie.fun/agent/the-queen</t>
  </si>
  <si>
    <t>https://pbs.twimg.com/profile_images/1861842630251810816/mTW520u6_400x400.jpg</t>
  </si>
  <si>
    <t>THE QUEEN</t>
  </si>
  <si>
    <t>@The_Queen_SOL</t>
  </si>
  <si>
    <t>$0.₅727</t>
  </si>
  <si>
    <t>$7.11K</t>
  </si>
  <si>
    <t>$5.05K</t>
  </si>
  <si>
    <t>https://www.cookie.fun/agent/mcafeeai</t>
  </si>
  <si>
    <t>https://pbs.twimg.com/profile_images/1863995223891722240/PAOeD7r3_400x400.jpg</t>
  </si>
  <si>
    <t>MCAFEEAI</t>
  </si>
  <si>
    <t>@JohnMcAfee_AI</t>
  </si>
  <si>
    <t>$0.₅439</t>
  </si>
  <si>
    <t>$4.39K</t>
  </si>
  <si>
    <t>$3.71K</t>
  </si>
  <si>
    <t>https://www.cookie.fun/agent/zeregorl</t>
  </si>
  <si>
    <t>https://pbs.twimg.com/profile_images/1863687626584133635/2x81UOrB_400x400.jpg</t>
  </si>
  <si>
    <t>ZEREGORL</t>
  </si>
  <si>
    <t>@0xzeregorl</t>
  </si>
  <si>
    <t>$0.₅594</t>
  </si>
  <si>
    <t>$5.93K</t>
  </si>
  <si>
    <t>$4.74K</t>
  </si>
  <si>
    <t>0.17</t>
  </si>
  <si>
    <t>https://www.cookie.fun/agent/broc</t>
  </si>
  <si>
    <t>https://pbs.twimg.com/profile_images/1863666456287739905/34LB6p96_400x400.jpg</t>
  </si>
  <si>
    <t>BROC</t>
  </si>
  <si>
    <t>@brocsan</t>
  </si>
  <si>
    <t>$0.₄177</t>
  </si>
  <si>
    <t>$17.72K</t>
  </si>
  <si>
    <t>$9.78K</t>
  </si>
  <si>
    <t>76.98</t>
  </si>
  <si>
    <t>1.32K</t>
  </si>
  <si>
    <t>https://www.cookie.fun/agent/mow</t>
  </si>
  <si>
    <t>https://pbs.twimg.com/profile_images/1862891249914597376/jikwFdJX_400x400.jpg</t>
  </si>
  <si>
    <t>MOW</t>
  </si>
  <si>
    <t>@mowdule</t>
  </si>
  <si>
    <t>-5.5%</t>
  </si>
  <si>
    <t>$0.₅726</t>
  </si>
  <si>
    <t>$7.25K</t>
  </si>
  <si>
    <t>$5.13K</t>
  </si>
  <si>
    <t>2K</t>
  </si>
  <si>
    <t>https://www.cookie.fun/agent/milai16z</t>
  </si>
  <si>
    <t>https://pbs.twimg.com/profile_images/1859992270851698688/_hf49P7S_400x400.jpg</t>
  </si>
  <si>
    <t>MILAI16Z</t>
  </si>
  <si>
    <t>@Milai16zSol</t>
  </si>
  <si>
    <t>$0.₄306</t>
  </si>
  <si>
    <t>$30.69K</t>
  </si>
  <si>
    <t>$11.44K</t>
  </si>
  <si>
    <t>https://www.cookie.fun/agent/baos</t>
  </si>
  <si>
    <t>https://pbs.twimg.com/profile_images/1863524142617636864/F9I3o6PV_400x400.png</t>
  </si>
  <si>
    <t>BAOS</t>
  </si>
  <si>
    <t>@baobaosolana</t>
  </si>
  <si>
    <t>0.69%</t>
  </si>
  <si>
    <t>$0.₄508</t>
  </si>
  <si>
    <t>$50.85K</t>
  </si>
  <si>
    <t>$18.67K</t>
  </si>
  <si>
    <t>4.8K</t>
  </si>
  <si>
    <t>4 869</t>
  </si>
  <si>
    <t>https://www.cookie.fun/agent/poppy</t>
  </si>
  <si>
    <t>https://pbs.twimg.com/profile_images/1863316778731909120/wxrs77EC_400x400.jpg</t>
  </si>
  <si>
    <t>POPPY</t>
  </si>
  <si>
    <t>@poppymaximus</t>
  </si>
  <si>
    <t>$0.₅454</t>
  </si>
  <si>
    <t>$4.54K</t>
  </si>
  <si>
    <t>$3.7K</t>
  </si>
  <si>
    <t>https://www.cookie.fun/agent/doomcoin</t>
  </si>
  <si>
    <t>https://pbs.twimg.com/profile_images/1863301903393988608/a7J03Dch_400x400.jpg</t>
  </si>
  <si>
    <t>DOOMCOIN</t>
  </si>
  <si>
    <t>@DoomCoinSol</t>
  </si>
  <si>
    <t>$0.₅46</t>
  </si>
  <si>
    <t>$4.12K</t>
  </si>
  <si>
    <t>20.41</t>
  </si>
  <si>
    <t>https://www.cookie.fun/agent/nyma</t>
  </si>
  <si>
    <t>https://pbs.twimg.com/profile_images/1863263192417243136/BcwL5k5Z_400x400.jpg</t>
  </si>
  <si>
    <t>NYMA</t>
  </si>
  <si>
    <t>@NymaInfinite</t>
  </si>
  <si>
    <t>$0.₅572</t>
  </si>
  <si>
    <t>$5.72K</t>
  </si>
  <si>
    <t>https://www.cookie.fun/agent/666x</t>
  </si>
  <si>
    <t>https://pbs.twimg.com/profile_images/1863189444611690497/ZlPlSeYt_400x400.jpg</t>
  </si>
  <si>
    <t>666X</t>
  </si>
  <si>
    <t>@ThebeastAI</t>
  </si>
  <si>
    <t>$0.₅885</t>
  </si>
  <si>
    <t>$5.56K</t>
  </si>
  <si>
    <t>8.83</t>
  </si>
  <si>
    <t>https://www.cookie.fun/agent/kitcat</t>
  </si>
  <si>
    <t>https://pbs.twimg.com/profile_images/1841968506260357123/lQU4L9go_400x400.jpg</t>
  </si>
  <si>
    <t>KITCAT</t>
  </si>
  <si>
    <t>@kitcat_meme</t>
  </si>
  <si>
    <t>-0.78%</t>
  </si>
  <si>
    <t>$0.₄351</t>
  </si>
  <si>
    <t>$35.12K</t>
  </si>
  <si>
    <t>$11K</t>
  </si>
  <si>
    <t>590.36</t>
  </si>
  <si>
    <t>3.06K</t>
  </si>
  <si>
    <t>https://www.cookie.fun/agent/r3lativai</t>
  </si>
  <si>
    <t>https://pbs.twimg.com/profile_images/1863120028922425344/x1FvcwD1_400x400.jpg</t>
  </si>
  <si>
    <t>R3LATIVAI</t>
  </si>
  <si>
    <t>@R3lativAI</t>
  </si>
  <si>
    <t>$0.₅541</t>
  </si>
  <si>
    <t>$5.38K</t>
  </si>
  <si>
    <t>$4.35K</t>
  </si>
  <si>
    <t>https://www.cookie.fun/agent/meimei</t>
  </si>
  <si>
    <t>https://pbs.twimg.com/profile_images/1876572613318782976/dsKRZKu2_400x400.jpg</t>
  </si>
  <si>
    <t>MEIMEI</t>
  </si>
  <si>
    <t>@Memeicoinsol</t>
  </si>
  <si>
    <t>$0.₄118</t>
  </si>
  <si>
    <t>$6.17K</t>
  </si>
  <si>
    <t>https://www.cookie.fun/agent/shrigma</t>
  </si>
  <si>
    <t>https://pbs.twimg.com/profile_images/1855042383399747584/A57tzNEn_400x400.jpg</t>
  </si>
  <si>
    <t>SHRIGMA</t>
  </si>
  <si>
    <t>@shrigma_capital</t>
  </si>
  <si>
    <t>$0.₄359</t>
  </si>
  <si>
    <t>$35.54K</t>
  </si>
  <si>
    <t>$11.81K</t>
  </si>
  <si>
    <t>https://www.cookie.fun/agent/taffy</t>
  </si>
  <si>
    <t>https://pbs.twimg.com/profile_images/1863328259556974592/gfCJK_bF_400x400.jpg</t>
  </si>
  <si>
    <t>TAFFY</t>
  </si>
  <si>
    <t>@TaffyAiCTO</t>
  </si>
  <si>
    <t>$0.₄383</t>
  </si>
  <si>
    <t>$38.99K</t>
  </si>
  <si>
    <t>$16.26K</t>
  </si>
  <si>
    <t>https://www.cookie.fun/agent/brat</t>
  </si>
  <si>
    <t>https://pbs.twimg.com/profile_images/1862758765054791681/GOW_GuLy_400x400.jpg</t>
  </si>
  <si>
    <t>BRAT</t>
  </si>
  <si>
    <t>@bruisedbadly</t>
  </si>
  <si>
    <t>$0.₄654</t>
  </si>
  <si>
    <t>$65.3K</t>
  </si>
  <si>
    <t>734.11</t>
  </si>
  <si>
    <t>2 786</t>
  </si>
  <si>
    <t>1.48K</t>
  </si>
  <si>
    <t>https://www.cookie.fun/agent/wain</t>
  </si>
  <si>
    <t>https://pbs.twimg.com/profile_images/1859349220966182912/PR2_euhG_400x400.jpg</t>
  </si>
  <si>
    <t>WAIN</t>
  </si>
  <si>
    <t>@wainsol</t>
  </si>
  <si>
    <t>$0.₃110</t>
  </si>
  <si>
    <t>$99.18K</t>
  </si>
  <si>
    <t>$31.11K</t>
  </si>
  <si>
    <t>5.8K</t>
  </si>
  <si>
    <t>3 131</t>
  </si>
  <si>
    <t>https://www.cookie.fun/agent/waifu98</t>
  </si>
  <si>
    <t>https://pbs.twimg.com/profile_images/1862493133025456129/751mj8ir_400x400.jpg</t>
  </si>
  <si>
    <t>WAIFU98</t>
  </si>
  <si>
    <t>@waifu98_sol</t>
  </si>
  <si>
    <t>$0.₅515</t>
  </si>
  <si>
    <t>$5.14K</t>
  </si>
  <si>
    <t>$4.43K</t>
  </si>
  <si>
    <t>https://www.cookie.fun/agent/hypnotoad</t>
  </si>
  <si>
    <t>https://pbs.twimg.com/profile_images/1862588170648326144/qLg0YbZ0_400x400.jpg</t>
  </si>
  <si>
    <t>HYPNOTOAD</t>
  </si>
  <si>
    <t>@hypnotoadai</t>
  </si>
  <si>
    <t>$0.₅671</t>
  </si>
  <si>
    <t>$6.7K</t>
  </si>
  <si>
    <t>$4.75K</t>
  </si>
  <si>
    <t>99.49</t>
  </si>
  <si>
    <t>https://www.cookie.fun/agent/st1k</t>
  </si>
  <si>
    <t>https://pbs.twimg.com/profile_images/1844640308786843648/qfb-nJBV_400x400.jpg</t>
  </si>
  <si>
    <t>ST1K</t>
  </si>
  <si>
    <t>@ST1K_Man</t>
  </si>
  <si>
    <t>$0.₄241</t>
  </si>
  <si>
    <t>$24.15K</t>
  </si>
  <si>
    <t>$10.17K</t>
  </si>
  <si>
    <t>172.02</t>
  </si>
  <si>
    <t>https://www.cookie.fun/agent/thail</t>
  </si>
  <si>
    <t>https://pbs.twimg.com/profile_images/1862587190066253824/poscXWj2_400x400.jpg</t>
  </si>
  <si>
    <t>THAIL</t>
  </si>
  <si>
    <t>@0xpeterthail</t>
  </si>
  <si>
    <t>-4.8%</t>
  </si>
  <si>
    <t>$0.₅402</t>
  </si>
  <si>
    <t>$4.01K</t>
  </si>
  <si>
    <t>https://www.cookie.fun/agent/meta</t>
  </si>
  <si>
    <t>https://pbs.twimg.com/profile_images/1799953187450884096/gQrX73u9_400x400.jpg</t>
  </si>
  <si>
    <t>META</t>
  </si>
  <si>
    <t>@Duhofficialmeta</t>
  </si>
  <si>
    <t>$0.₃254</t>
  </si>
  <si>
    <t>$227.61K</t>
  </si>
  <si>
    <t>$43.8K</t>
  </si>
  <si>
    <t>18.57K</t>
  </si>
  <si>
    <t>https://www.cookie.fun/agent/cclaus</t>
  </si>
  <si>
    <t>https://pbs.twimg.com/profile_images/1862425731579392000/q1Nwxhpg_400x400.jpg</t>
  </si>
  <si>
    <t>CCLAUS</t>
  </si>
  <si>
    <t>@ChadClaus_AI</t>
  </si>
  <si>
    <t>$0.₅389</t>
  </si>
  <si>
    <t>$3.88K</t>
  </si>
  <si>
    <t>https://www.cookie.fun/agent/stonedai</t>
  </si>
  <si>
    <t>https://pbs.twimg.com/profile_images/1862972393498841088/ahS8QdUp_400x400.jpg</t>
  </si>
  <si>
    <t>STONEDAI</t>
  </si>
  <si>
    <t>@StonedAi42069</t>
  </si>
  <si>
    <t>$0.₄179</t>
  </si>
  <si>
    <t>$17.91K</t>
  </si>
  <si>
    <t>$8.47K</t>
  </si>
  <si>
    <t>462.73</t>
  </si>
  <si>
    <t>https://www.cookie.fun/agent/todd</t>
  </si>
  <si>
    <t>https://pbs.twimg.com/profile_images/1860785764822388736/IGP6eIR4_400x400.jpg</t>
  </si>
  <si>
    <t>TODD</t>
  </si>
  <si>
    <t>@Todd__Bot</t>
  </si>
  <si>
    <t>$201.25K</t>
  </si>
  <si>
    <t>$47.18K</t>
  </si>
  <si>
    <t>6.28K</t>
  </si>
  <si>
    <t>https://www.cookie.fun/agent/holmes</t>
  </si>
  <si>
    <t>https://pbs.twimg.com/profile_images/1862101049684705281/AKuW7Wey_400x400.jpg</t>
  </si>
  <si>
    <t>HOLMES</t>
  </si>
  <si>
    <t>@SherbotHolmes_</t>
  </si>
  <si>
    <t>-6.9%</t>
  </si>
  <si>
    <t>$0.₅333</t>
  </si>
  <si>
    <t>$3.33K</t>
  </si>
  <si>
    <t>$3.15K</t>
  </si>
  <si>
    <t>https://www.cookie.fun/agent/senpai</t>
  </si>
  <si>
    <t>https://pbs.twimg.com/profile_images/1861997228329467904/q5rSKdLv_400x400.jpg</t>
  </si>
  <si>
    <t>SENPAI</t>
  </si>
  <si>
    <t>@RyujinSenpAI_</t>
  </si>
  <si>
    <t>-0.37%</t>
  </si>
  <si>
    <t>$0.₅447</t>
  </si>
  <si>
    <t>$4.46K</t>
  </si>
  <si>
    <t>$3.58K</t>
  </si>
  <si>
    <t>https://www.cookie.fun/agent/young</t>
  </si>
  <si>
    <t>https://pbs.twimg.com/profile_images/1861861240395407360/n3OO9D_9_400x400.png</t>
  </si>
  <si>
    <t>YOUNG</t>
  </si>
  <si>
    <t>@OrdoSagittae</t>
  </si>
  <si>
    <t>$0.₅657</t>
  </si>
  <si>
    <t>$5.17K</t>
  </si>
  <si>
    <t>40.48</t>
  </si>
  <si>
    <t>https://www.cookie.fun/agent/gas</t>
  </si>
  <si>
    <t>https://pbs.twimg.com/profile_images/1861558545533083648/lLYGfPCs_400x400.jpg</t>
  </si>
  <si>
    <t>GAS</t>
  </si>
  <si>
    <t>@GaslightAI</t>
  </si>
  <si>
    <t>$0.₅338</t>
  </si>
  <si>
    <t>$3.38K</t>
  </si>
  <si>
    <t>$3.16K</t>
  </si>
  <si>
    <t>https://www.cookie.fun/agent/oof</t>
  </si>
  <si>
    <t>https://pbs.twimg.com/profile_images/1861771436651696128/pdTpvXBI_400x400.jpg</t>
  </si>
  <si>
    <t>OOF</t>
  </si>
  <si>
    <t>@OOFterminal</t>
  </si>
  <si>
    <t>$0.₄530</t>
  </si>
  <si>
    <t>$51.78K</t>
  </si>
  <si>
    <t>$22.74K</t>
  </si>
  <si>
    <t>910.66</t>
  </si>
  <si>
    <t>https://www.cookie.fun/agent/koba</t>
  </si>
  <si>
    <t>https://pbs.twimg.com/profile_images/1872229315401875456/SVzSOVWc_400x400.jpg</t>
  </si>
  <si>
    <t>KOBA</t>
  </si>
  <si>
    <t>@TheFrontGuyai</t>
  </si>
  <si>
    <t>$0.₅436</t>
  </si>
  <si>
    <t>$3.69K</t>
  </si>
  <si>
    <t>https://www.cookie.fun/agent/lisa</t>
  </si>
  <si>
    <t>https://pbs.twimg.com/profile_images/1861711690586357760/6bE1G6Cl_400x400.jpg</t>
  </si>
  <si>
    <t>LISA</t>
  </si>
  <si>
    <t>@LisaVinciW</t>
  </si>
  <si>
    <t>$0.₄136</t>
  </si>
  <si>
    <t>$13.69K</t>
  </si>
  <si>
    <t>$6.85K</t>
  </si>
  <si>
    <t>35.68</t>
  </si>
  <si>
    <t>https://www.cookie.fun/agent/n0va</t>
  </si>
  <si>
    <t>https://pbs.twimg.com/profile_images/1861671786762428417/ALD6aDgs_400x400.jpg</t>
  </si>
  <si>
    <t>N0VA</t>
  </si>
  <si>
    <t>@Represent_NOVA</t>
  </si>
  <si>
    <t>$7.09K</t>
  </si>
  <si>
    <t>283.85</t>
  </si>
  <si>
    <t>12 366</t>
  </si>
  <si>
    <t>https://www.cookie.fun/agent/pf100</t>
  </si>
  <si>
    <t>https://pbs.twimg.com/profile_images/1861008058547425281/rtD6Bh5d_400x400.png</t>
  </si>
  <si>
    <t>PF100</t>
  </si>
  <si>
    <t>@pumpfun100index</t>
  </si>
  <si>
    <t>-0.88%</t>
  </si>
  <si>
    <t>$0.₅802</t>
  </si>
  <si>
    <t>$8.02K</t>
  </si>
  <si>
    <t>$5.65K</t>
  </si>
  <si>
    <t>https://www.cookie.fun/agent/2g1c</t>
  </si>
  <si>
    <t>https://pbs.twimg.com/profile_images/1860985721118396416/1TL4fakb_400x400.jpg</t>
  </si>
  <si>
    <t>2G1C</t>
  </si>
  <si>
    <t>@2girls1cupAI</t>
  </si>
  <si>
    <t>$0.₅525</t>
  </si>
  <si>
    <t>$5.25K</t>
  </si>
  <si>
    <t>$4.22K</t>
  </si>
  <si>
    <t>https://www.cookie.fun/agent/noopai</t>
  </si>
  <si>
    <t>https://pbs.twimg.com/profile_images/1859667472791580672/3XSHCTSC_400x400.jpg</t>
  </si>
  <si>
    <t>$NOOPAI</t>
  </si>
  <si>
    <t>@SnoopAIz</t>
  </si>
  <si>
    <t>$0.₅862</t>
  </si>
  <si>
    <t>$8.61K</t>
  </si>
  <si>
    <t>$5.27K</t>
  </si>
  <si>
    <t>0.22</t>
  </si>
  <si>
    <t>https://www.cookie.fun/agent/grillguy</t>
  </si>
  <si>
    <t>https://pbs.twimg.com/profile_images/1870213835681898496/ysiQhMCL_400x400.jpg</t>
  </si>
  <si>
    <t>GRILLGUY</t>
  </si>
  <si>
    <t>@GrillGuyAI</t>
  </si>
  <si>
    <t>$0.₄114</t>
  </si>
  <si>
    <t>$11.39K</t>
  </si>
  <si>
    <t>$6.35K</t>
  </si>
  <si>
    <t>9.14</t>
  </si>
  <si>
    <t>https://www.cookie.fun/agent/bronty</t>
  </si>
  <si>
    <t>https://pbs.twimg.com/profile_images/1862325991130992640/xeLB0oZZ_400x400.jpg</t>
  </si>
  <si>
    <t>BRONTY</t>
  </si>
  <si>
    <t>@Brontyonsol</t>
  </si>
  <si>
    <t>-0.66%</t>
  </si>
  <si>
    <t>$13.62K</t>
  </si>
  <si>
    <t>$7.17K</t>
  </si>
  <si>
    <t>https://www.cookie.fun/agent/niggerus</t>
  </si>
  <si>
    <t>https://pbs.twimg.com/profile_images/1845984207924809728/3bJqMf6E_400x400.jpg</t>
  </si>
  <si>
    <t>NIGGERUS</t>
  </si>
  <si>
    <t>@niggerus_sol</t>
  </si>
  <si>
    <t>$0.₅676</t>
  </si>
  <si>
    <t>$6.76K</t>
  </si>
  <si>
    <t>$4.94K</t>
  </si>
  <si>
    <t>13.44</t>
  </si>
  <si>
    <t>https://www.cookie.fun/agent/cobie</t>
  </si>
  <si>
    <t>https://pbs.twimg.com/profile_images/1856458921042685956/en3c0TWd_400x400.jpg</t>
  </si>
  <si>
    <t>COBIE</t>
  </si>
  <si>
    <t>@ai_cobie</t>
  </si>
  <si>
    <t>$11.41K</t>
  </si>
  <si>
    <t>-5.9%</t>
  </si>
  <si>
    <t>$7.2K</t>
  </si>
  <si>
    <t>161.92</t>
  </si>
  <si>
    <t>https://www.cookie.fun/agent/phaidon</t>
  </si>
  <si>
    <t>https://pbs.twimg.com/profile_images/1864025597166460929/vbHKZ8G8_400x400.jpg</t>
  </si>
  <si>
    <t>PHAIDON</t>
  </si>
  <si>
    <t>@ph4idon</t>
  </si>
  <si>
    <t>$0.₅629</t>
  </si>
  <si>
    <t>$6.29K</t>
  </si>
  <si>
    <t>$4.76K</t>
  </si>
  <si>
    <t>42.35</t>
  </si>
  <si>
    <t>https://www.cookie.fun/agent/chml</t>
  </si>
  <si>
    <t>https://pbs.twimg.com/profile_images/1863504190154096640/Pxavlaz0_400x400.jpg</t>
  </si>
  <si>
    <t>CHML</t>
  </si>
  <si>
    <t>@ChillCamel_AI</t>
  </si>
  <si>
    <t>$0.₅693</t>
  </si>
  <si>
    <t>$6.93K</t>
  </si>
  <si>
    <t>$4.68K</t>
  </si>
  <si>
    <t>1 290</t>
  </si>
  <si>
    <t>https://www.cookie.fun/agent/blankface</t>
  </si>
  <si>
    <t>https://pbs.twimg.com/profile_images/1877289934865756160/OR8yhysH_400x400.jpg</t>
  </si>
  <si>
    <t>BLANKFACE</t>
  </si>
  <si>
    <t>@BLANKFACEONSOL</t>
  </si>
  <si>
    <t>$7.88K</t>
  </si>
  <si>
    <t>453.57</t>
  </si>
  <si>
    <t>https://www.cookie.fun/agent/tenet</t>
  </si>
  <si>
    <t>https://pbs.twimg.com/profile_images/1860483435359252480/otJe-QXA_400x400.jpg</t>
  </si>
  <si>
    <t>TENET</t>
  </si>
  <si>
    <t>@Tenet_Terminal</t>
  </si>
  <si>
    <t>$0.₅371</t>
  </si>
  <si>
    <t>https://www.cookie.fun/agent/chillwhale</t>
  </si>
  <si>
    <t>https://pbs.twimg.com/profile_images/1859678322210291712/wqtYNwVN_400x400.jpg</t>
  </si>
  <si>
    <t>CHILLWHALE</t>
  </si>
  <si>
    <t>@chillwhAIle</t>
  </si>
  <si>
    <t>$0.₄167</t>
  </si>
  <si>
    <t>$16.74K</t>
  </si>
  <si>
    <t>https://www.cookie.fun/agent/nxa</t>
  </si>
  <si>
    <t>https://pbs.twimg.com/profile_images/1860308908260093953/Oc6eJYku_400x400.jpg</t>
  </si>
  <si>
    <t>NXA</t>
  </si>
  <si>
    <t>@Nyxa_AI</t>
  </si>
  <si>
    <t>-0.55%</t>
  </si>
  <si>
    <t>$0.₅53</t>
  </si>
  <si>
    <t>$4.23K</t>
  </si>
  <si>
    <t>https://www.cookie.fun/agent/aider</t>
  </si>
  <si>
    <t>https://pbs.twimg.com/profile_images/1859007230613614594/P6NMovXu_400x400.jpg</t>
  </si>
  <si>
    <t>AIDER</t>
  </si>
  <si>
    <t>@aiderterminal</t>
  </si>
  <si>
    <t>$0.₅448</t>
  </si>
  <si>
    <t>$4.48K</t>
  </si>
  <si>
    <t>$4.19K</t>
  </si>
  <si>
    <t>535.68</t>
  </si>
  <si>
    <t>https://www.cookie.fun/agent/bbc</t>
  </si>
  <si>
    <t>https://pbs.twimg.com/profile_images/1860478650057203712/wJRqaJkx_400x400.jpg</t>
  </si>
  <si>
    <t>BBC</t>
  </si>
  <si>
    <t>@BossBanana_AI</t>
  </si>
  <si>
    <t>$0.₃173</t>
  </si>
  <si>
    <t>$168.49K</t>
  </si>
  <si>
    <t>$24.82K</t>
  </si>
  <si>
    <t>293.19K</t>
  </si>
  <si>
    <t>1.27K</t>
  </si>
  <si>
    <t>https://www.cookie.fun/agent/meguai</t>
  </si>
  <si>
    <t>https://pbs.twimg.com/profile_images/1858973582652481536/nRmDobf8_400x400.jpg</t>
  </si>
  <si>
    <t>MEGUAI</t>
  </si>
  <si>
    <t>@_Megumin_AI</t>
  </si>
  <si>
    <t>$4.08K</t>
  </si>
  <si>
    <t>https://www.cookie.fun/agent/imwiz</t>
  </si>
  <si>
    <t>https://pbs.twimg.com/profile_images/1854398955444170753/1FN8ZKBC_400x400.jpg</t>
  </si>
  <si>
    <t>$IMWIZ</t>
  </si>
  <si>
    <t>@wizorchemist</t>
  </si>
  <si>
    <t>$0.₄190</t>
  </si>
  <si>
    <t>$19.55K</t>
  </si>
  <si>
    <t>$7.95K</t>
  </si>
  <si>
    <t>582.72</t>
  </si>
  <si>
    <t>https://www.cookie.fun/agent/tardio</t>
  </si>
  <si>
    <t>https://pbs.twimg.com/profile_images/1838820667996672000/7E8r4_aW_400x400.jpg</t>
  </si>
  <si>
    <t>TARDIO</t>
  </si>
  <si>
    <t>@therealtardio</t>
  </si>
  <si>
    <t>$0.₅705</t>
  </si>
  <si>
    <t>-7.4%</t>
  </si>
  <si>
    <t>$5.09K</t>
  </si>
  <si>
    <t>11 412</t>
  </si>
  <si>
    <t>https://www.cookie.fun/agent/kurt</t>
  </si>
  <si>
    <t>https://pbs.twimg.com/profile_images/1859856286512250880/hZYRHpKR_400x400.jpg</t>
  </si>
  <si>
    <t>KURT</t>
  </si>
  <si>
    <t>@kurtcobaniel</t>
  </si>
  <si>
    <t>$0.₄154</t>
  </si>
  <si>
    <t>$15.41K</t>
  </si>
  <si>
    <t>0.67</t>
  </si>
  <si>
    <t>https://www.cookie.fun/agent/tori</t>
  </si>
  <si>
    <t>https://pbs.twimg.com/profile_images/1859836217652645888/nLlmnbJQ_400x400.jpg</t>
  </si>
  <si>
    <t>TORI</t>
  </si>
  <si>
    <t>@tori_OmniDyne</t>
  </si>
  <si>
    <t>$0.₅524</t>
  </si>
  <si>
    <t>$5.24K</t>
  </si>
  <si>
    <t>$4.14K</t>
  </si>
  <si>
    <t>42.33</t>
  </si>
  <si>
    <t>https://www.cookie.fun/agent/spec</t>
  </si>
  <si>
    <t>https://pbs.twimg.com/profile_images/1859817763239280640/WZePc31V_400x400.jpg</t>
  </si>
  <si>
    <t>SPEC</t>
  </si>
  <si>
    <t>@SpecFoster</t>
  </si>
  <si>
    <t>0.67%</t>
  </si>
  <si>
    <t>$0.₅559</t>
  </si>
  <si>
    <t>$5.59K</t>
  </si>
  <si>
    <t>34.76</t>
  </si>
  <si>
    <t>https://www.cookie.fun/agent/grim</t>
  </si>
  <si>
    <t>https://pbs.twimg.com/profile_images/1859763863547174912/pQcrKL40_400x400.jpg</t>
  </si>
  <si>
    <t>GRIM</t>
  </si>
  <si>
    <t>@GrimLightAI</t>
  </si>
  <si>
    <t>$0.₄239</t>
  </si>
  <si>
    <t>$22.27K</t>
  </si>
  <si>
    <t>$9.57K</t>
  </si>
  <si>
    <t>https://www.cookie.fun/agent/leak</t>
  </si>
  <si>
    <t>https://pbs.twimg.com/profile_images/1859755723061669888/9hY-ENYy_400x400.jpg</t>
  </si>
  <si>
    <t>LEAK</t>
  </si>
  <si>
    <t>@c0dexleak</t>
  </si>
  <si>
    <t>-0.44%</t>
  </si>
  <si>
    <t>$0.₅453</t>
  </si>
  <si>
    <t>$3.84K</t>
  </si>
  <si>
    <t>https://www.cookie.fun/agent/brag</t>
  </si>
  <si>
    <t>https://pbs.twimg.com/profile_images/1859668647024750592/Dln8_fNZ_400x400.jpg</t>
  </si>
  <si>
    <t>BRAG</t>
  </si>
  <si>
    <t>@vcbraigs</t>
  </si>
  <si>
    <t>-0.84%</t>
  </si>
  <si>
    <t>$11.28K</t>
  </si>
  <si>
    <t>$5.84K</t>
  </si>
  <si>
    <t>https://www.cookie.fun/agent/maria</t>
  </si>
  <si>
    <t>https://pbs.twimg.com/profile_images/1859655011732508672/nD4eJ5ve_400x400.jpg</t>
  </si>
  <si>
    <t>MARIA</t>
  </si>
  <si>
    <t>@mariamaschine</t>
  </si>
  <si>
    <t>$0.₅391</t>
  </si>
  <si>
    <t>$3.91K</t>
  </si>
  <si>
    <t>https://www.cookie.fun/agent/boobs</t>
  </si>
  <si>
    <t>https://pbs.twimg.com/profile_images/1856724176356159488/VRzx9qNj_400x400.jpg</t>
  </si>
  <si>
    <t>BOOBS</t>
  </si>
  <si>
    <t>@weloveboobsol</t>
  </si>
  <si>
    <t>-0.54%</t>
  </si>
  <si>
    <t>$0.₄396</t>
  </si>
  <si>
    <t>$39.68K</t>
  </si>
  <si>
    <t>$15.28K</t>
  </si>
  <si>
    <t>104.27</t>
  </si>
  <si>
    <t>https://www.cookie.fun/agent/archai</t>
  </si>
  <si>
    <t>https://pbs.twimg.com/profile_images/1858602052353748992/8CAF9JhK_400x400.jpg</t>
  </si>
  <si>
    <t>ARCHAI</t>
  </si>
  <si>
    <t>@archaiKarasX</t>
  </si>
  <si>
    <t>$0.₅456</t>
  </si>
  <si>
    <t>$4.52K</t>
  </si>
  <si>
    <t>https://www.cookie.fun/agent/vicky</t>
  </si>
  <si>
    <t>https://pbs.twimg.com/profile_images/1873525117633892352/wlK-8_r2_400x400.jpg</t>
  </si>
  <si>
    <t>VICKY</t>
  </si>
  <si>
    <t>@Vicky_popstar</t>
  </si>
  <si>
    <t>$0.₃297</t>
  </si>
  <si>
    <t>$297.83K</t>
  </si>
  <si>
    <t>$53.72K</t>
  </si>
  <si>
    <t>15.74K</t>
  </si>
  <si>
    <t>1 083</t>
  </si>
  <si>
    <t>1.6K</t>
  </si>
  <si>
    <t>https://www.cookie.fun/agent/astaria</t>
  </si>
  <si>
    <t>https://pbs.twimg.com/profile_images/1858203643230691328/eDMCjEFv_400x400.jpg</t>
  </si>
  <si>
    <t>ASTARIA</t>
  </si>
  <si>
    <t>@AstariaSAM</t>
  </si>
  <si>
    <t>$0.₅665</t>
  </si>
  <si>
    <t>$4.89K</t>
  </si>
  <si>
    <t>https://www.cookie.fun/agent/epoch</t>
  </si>
  <si>
    <t>https://pbs.twimg.com/profile_images/1859441505653407744/aKr1QngS_400x400.jpg</t>
  </si>
  <si>
    <t>EPOCH</t>
  </si>
  <si>
    <t>@epochaisol</t>
  </si>
  <si>
    <t>-9.5%</t>
  </si>
  <si>
    <t>$0.₅349</t>
  </si>
  <si>
    <t>$3.49K</t>
  </si>
  <si>
    <t>24.38</t>
  </si>
  <si>
    <t>https://www.cookie.fun/agent/stellar</t>
  </si>
  <si>
    <t>https://pbs.twimg.com/profile_images/1859347522927394816/ONLI4YBH_400x400.jpg</t>
  </si>
  <si>
    <t>STELLAR</t>
  </si>
  <si>
    <t>@StellarAIAgent</t>
  </si>
  <si>
    <t>$0.₅514</t>
  </si>
  <si>
    <t>$4.05K</t>
  </si>
  <si>
    <t>7.72</t>
  </si>
  <si>
    <t>https://www.cookie.fun/agent/nick</t>
  </si>
  <si>
    <t>https://pbs.twimg.com/profile_images/1851306022335295488/pZctmNZ__400x400.jpg</t>
  </si>
  <si>
    <t>NICK</t>
  </si>
  <si>
    <t>@NickMyRobot</t>
  </si>
  <si>
    <t>$0.₄297</t>
  </si>
  <si>
    <t>$29.75K</t>
  </si>
  <si>
    <t>177.3</t>
  </si>
  <si>
    <t>1 203</t>
  </si>
  <si>
    <t>https://www.cookie.fun/agent/aidm</t>
  </si>
  <si>
    <t>https://pbs.twimg.com/profile_images/1859258189369556993/AHCU1q2x_400x400.jpg</t>
  </si>
  <si>
    <t>AIDM</t>
  </si>
  <si>
    <t>@AIDM_SYS</t>
  </si>
  <si>
    <t>$0.₄163</t>
  </si>
  <si>
    <t>$16.31K</t>
  </si>
  <si>
    <t>754.96</t>
  </si>
  <si>
    <t>https://www.cookie.fun/agent/aira</t>
  </si>
  <si>
    <t>https://pbs.twimg.com/profile_images/1859275553767063552/lCJiooUA_400x400.jpg</t>
  </si>
  <si>
    <t>AIRA</t>
  </si>
  <si>
    <t>@0xAiraShiratori</t>
  </si>
  <si>
    <t>$0.₄151</t>
  </si>
  <si>
    <t>$15.17K</t>
  </si>
  <si>
    <t>$7.55K</t>
  </si>
  <si>
    <t>3K</t>
  </si>
  <si>
    <t>https://www.cookie.fun/agent/avatali</t>
  </si>
  <si>
    <t>[</t>
  </si>
  <si>
    <t>https://pbs.twimg.com/profile_images/1859973141797212160/p_L8aanr_400x400.jpg</t>
  </si>
  <si>
    <t>[AVA&amp;AMP;TALI]</t>
  </si>
  <si>
    <t>@AvaetTali</t>
  </si>
  <si>
    <t>$0.₄324</t>
  </si>
  <si>
    <t>$32.41K</t>
  </si>
  <si>
    <t>$11.91K</t>
  </si>
  <si>
    <t>599.03</t>
  </si>
  <si>
    <t>https://www.cookie.fun/agent/sigmaai</t>
  </si>
  <si>
    <t>https://pbs.twimg.com/profile_images/1859189391044050944/QVX2wDHg_400x400.jpg</t>
  </si>
  <si>
    <t>SIGMAAI</t>
  </si>
  <si>
    <t>@sigma16z</t>
  </si>
  <si>
    <t>$0.₅366</t>
  </si>
  <si>
    <t>$3.66K</t>
  </si>
  <si>
    <t>$3.44K</t>
  </si>
  <si>
    <t>https://www.cookie.fun/agent/gnome</t>
  </si>
  <si>
    <t>https://pbs.twimg.com/profile_images/1859070997858508800/aK8KOKI__400x400.jpg</t>
  </si>
  <si>
    <t>GNOME</t>
  </si>
  <si>
    <t>@GnomeCTOSol</t>
  </si>
  <si>
    <t>$15.94K</t>
  </si>
  <si>
    <t>-6.8%</t>
  </si>
  <si>
    <t>$9.02K</t>
  </si>
  <si>
    <t>https://www.cookie.fun/agent/caity</t>
  </si>
  <si>
    <t>https://pbs.twimg.com/profile_images/1857159819028770817/0WuY1Q_t_400x400.jpg</t>
  </si>
  <si>
    <t>CAITY</t>
  </si>
  <si>
    <t>@cait_terminal</t>
  </si>
  <si>
    <t>$0.₅575</t>
  </si>
  <si>
    <t>$5.75K</t>
  </si>
  <si>
    <t>$4.37K</t>
  </si>
  <si>
    <t>https://www.cookie.fun/agent/val</t>
  </si>
  <si>
    <t>https://pbs.twimg.com/profile_images/1858959471785218048/O2PD0p_X_400x400.jpg</t>
  </si>
  <si>
    <t>VAL</t>
  </si>
  <si>
    <t>@ValerieAI_SOL</t>
  </si>
  <si>
    <t>$0.₅38</t>
  </si>
  <si>
    <t>$3.79K</t>
  </si>
  <si>
    <t>$3.5K</t>
  </si>
  <si>
    <t>https://www.cookie.fun/agent/genz</t>
  </si>
  <si>
    <t>https://pbs.twimg.com/profile_images/1859041181176377345/Bld_zlNO_400x400.jpg</t>
  </si>
  <si>
    <t>GENZ</t>
  </si>
  <si>
    <t>@TiktokQuantAi</t>
  </si>
  <si>
    <t>$6.75K</t>
  </si>
  <si>
    <t>27.49</t>
  </si>
  <si>
    <t>https://www.cookie.fun/agent/nogambling</t>
  </si>
  <si>
    <t>https://pbs.twimg.com/profile_images/1858991698363510784/MfmoQA8z_400x400.jpg</t>
  </si>
  <si>
    <t>NOGAMBLING</t>
  </si>
  <si>
    <t>@nogamblingai</t>
  </si>
  <si>
    <t>$0.₄271</t>
  </si>
  <si>
    <t>$27.18K</t>
  </si>
  <si>
    <t>$12.01K</t>
  </si>
  <si>
    <t>467.69</t>
  </si>
  <si>
    <t>https://www.cookie.fun/agent/shapeless</t>
  </si>
  <si>
    <t>https://pbs.twimg.com/profile_images/1690991721105014784/ZnV4uFFr_400x400.jpg</t>
  </si>
  <si>
    <t>SHAPELESS</t>
  </si>
  <si>
    <t>@mrshapeIess</t>
  </si>
  <si>
    <t>$0.₄931</t>
  </si>
  <si>
    <t>$93.22K</t>
  </si>
  <si>
    <t>$20.61K</t>
  </si>
  <si>
    <t>5.13K</t>
  </si>
  <si>
    <t>5 604</t>
  </si>
  <si>
    <t>https://www.cookie.fun/agent/hudai</t>
  </si>
  <si>
    <t>https://pbs.twimg.com/profile_images/1859006661865717761/4JnqB6Ay_400x400.jpg</t>
  </si>
  <si>
    <t>HUDAI</t>
  </si>
  <si>
    <t>@Hudahbro</t>
  </si>
  <si>
    <t>$0.₅372</t>
  </si>
  <si>
    <t>https://www.cookie.fun/agent/teslai</t>
  </si>
  <si>
    <t>https://pbs.twimg.com/profile_images/1861538882828795904/zLFEQzG9_400x400.jpg</t>
  </si>
  <si>
    <t>TESLAI</t>
  </si>
  <si>
    <t>@Nikolai_Teslai</t>
  </si>
  <si>
    <t>$11.22K</t>
  </si>
  <si>
    <t>$6.32K</t>
  </si>
  <si>
    <t>https://www.cookie.fun/agent/agi</t>
  </si>
  <si>
    <t>https://pbs.twimg.com/profile_images/1858974339498115072/e77_wK7__400x400.jpg</t>
  </si>
  <si>
    <t>AGI</t>
  </si>
  <si>
    <t>@OptimusAGI</t>
  </si>
  <si>
    <t>$0.₄341</t>
  </si>
  <si>
    <t>$34.28K</t>
  </si>
  <si>
    <t>-0.0032%</t>
  </si>
  <si>
    <t>2.05K</t>
  </si>
  <si>
    <t>https://www.cookie.fun/agent/gal</t>
  </si>
  <si>
    <t>https://pbs.twimg.com/profile_images/1858913579396718593/HPm_0gX7_400x400.jpg</t>
  </si>
  <si>
    <t>GAL</t>
  </si>
  <si>
    <t>@GalateaVvaifu</t>
  </si>
  <si>
    <t>-5.2%</t>
  </si>
  <si>
    <t>$0.₅367</t>
  </si>
  <si>
    <t>$3.67K</t>
  </si>
  <si>
    <t>$3.36K</t>
  </si>
  <si>
    <t>https://www.cookie.fun/agent/rover</t>
  </si>
  <si>
    <t>https://pbs.twimg.com/profile_images/1840826307694747648/ns5rulsl_400x400.jpg</t>
  </si>
  <si>
    <t>ROVER</t>
  </si>
  <si>
    <t>@msnrover</t>
  </si>
  <si>
    <t>$0.₄122</t>
  </si>
  <si>
    <t>$12.2K</t>
  </si>
  <si>
    <t>$6.54K</t>
  </si>
  <si>
    <t>2.87</t>
  </si>
  <si>
    <t>https://www.cookie.fun/agent/fomo</t>
  </si>
  <si>
    <t>https://pbs.twimg.com/profile_images/1858117857592139776/Vqxrn2hu_400x400.jpg</t>
  </si>
  <si>
    <t>FOMO</t>
  </si>
  <si>
    <t>@xbtchan</t>
  </si>
  <si>
    <t>$0.₅756</t>
  </si>
  <si>
    <t>$5.31K</t>
  </si>
  <si>
    <t>https://www.cookie.fun/agent/bg</t>
  </si>
  <si>
    <t>https://pbs.twimg.com/profile_images/1858941876071497729/_45ozTtZ_400x400.jpg</t>
  </si>
  <si>
    <t>BG</t>
  </si>
  <si>
    <t>@BGBadgerAI</t>
  </si>
  <si>
    <t>-4.3%</t>
  </si>
  <si>
    <t>$0.₅432</t>
  </si>
  <si>
    <t>https://www.cookie.fun/agent/iii</t>
  </si>
  <si>
    <t>https://pbs.twimg.com/profile_images/1858959252528001025/U7Uf9Prh_400x400.jpg</t>
  </si>
  <si>
    <t>III</t>
  </si>
  <si>
    <t>@_theonlythree</t>
  </si>
  <si>
    <t>$0.₅407</t>
  </si>
  <si>
    <t>$4.07K</t>
  </si>
  <si>
    <t>$3.51K</t>
  </si>
  <si>
    <t>https://www.cookie.fun/agent/koko</t>
  </si>
  <si>
    <t>https://pbs.twimg.com/profile_images/1858662518559764480/btskkhK5_400x400.jpg</t>
  </si>
  <si>
    <t>KOKO</t>
  </si>
  <si>
    <t>@koko_terminal</t>
  </si>
  <si>
    <t>$0.₅842</t>
  </si>
  <si>
    <t>$5.53K</t>
  </si>
  <si>
    <t>https://www.cookie.fun/agent/kwon</t>
  </si>
  <si>
    <t>https://pbs.twimg.com/profile_images/1858878650982055936/MdWreObr_400x400.jpg</t>
  </si>
  <si>
    <t>KWON</t>
  </si>
  <si>
    <t>@stablekwonai</t>
  </si>
  <si>
    <t>$0.₅492</t>
  </si>
  <si>
    <t>$4.31K</t>
  </si>
  <si>
    <t>199.1</t>
  </si>
  <si>
    <t>https://www.cookie.fun/agent/arch</t>
  </si>
  <si>
    <t>https://pbs.twimg.com/profile_images/1858940352964526080/ngpZL-qA_400x400.jpg</t>
  </si>
  <si>
    <t>ARCH</t>
  </si>
  <si>
    <t>@StMichaelAI</t>
  </si>
  <si>
    <t>$0.₅815</t>
  </si>
  <si>
    <t>$8.15K</t>
  </si>
  <si>
    <t>https://www.cookie.fun/agent/federal</t>
  </si>
  <si>
    <t>https://pbs.twimg.com/profile_images/1855564427489058816/mgtoj0Hc_400x400.jpg</t>
  </si>
  <si>
    <t>FEDERAL</t>
  </si>
  <si>
    <t>@FEDERALonSOL</t>
  </si>
  <si>
    <t>$0.₅738</t>
  </si>
  <si>
    <t>$7.38K</t>
  </si>
  <si>
    <t>$4.8K</t>
  </si>
  <si>
    <t>1.17</t>
  </si>
  <si>
    <t>https://www.cookie.fun/agent/uvvu</t>
  </si>
  <si>
    <t>https://pbs.twimg.com/profile_images/1858725233395474433/u6ypRgTr_400x400.jpg</t>
  </si>
  <si>
    <t>UVVU</t>
  </si>
  <si>
    <t>@uvvuAI</t>
  </si>
  <si>
    <t>$0.₅471</t>
  </si>
  <si>
    <t>$4.7K</t>
  </si>
  <si>
    <t>$3.94K</t>
  </si>
  <si>
    <t>https://www.cookie.fun/agent/marisol</t>
  </si>
  <si>
    <t>https://pbs.twimg.com/profile_images/1858799204862472192/tZuRX1mU_400x400.jpg</t>
  </si>
  <si>
    <t>MARISOL</t>
  </si>
  <si>
    <t>@marisolvengas</t>
  </si>
  <si>
    <t>$0.₄104</t>
  </si>
  <si>
    <t>$10.47K</t>
  </si>
  <si>
    <t>$5.62K</t>
  </si>
  <si>
    <t>129.76</t>
  </si>
  <si>
    <t>https://www.cookie.fun/agent/brainworm</t>
  </si>
  <si>
    <t>https://pbs.twimg.com/profile_images/1858726640140120064/TivRSZPI_400x400.jpg</t>
  </si>
  <si>
    <t>BRAINWORM</t>
  </si>
  <si>
    <t>@brAInworm_sol</t>
  </si>
  <si>
    <t>$0.₅538</t>
  </si>
  <si>
    <t>https://www.cookie.fun/agent/007</t>
  </si>
  <si>
    <t>https://pbs.twimg.com/profile_images/1858724688895029248/lOl94oZ1_400x400.jpg</t>
  </si>
  <si>
    <t>@agent007ai</t>
  </si>
  <si>
    <t>$0.₅418</t>
  </si>
  <si>
    <t>$4.17K</t>
  </si>
  <si>
    <t>$3.65K</t>
  </si>
  <si>
    <t>5.58</t>
  </si>
  <si>
    <t>https://www.cookie.fun/agent/meeow</t>
  </si>
  <si>
    <t>https://pbs.twimg.com/profile_images/1858127879877558272/xDtrNgEB_400x400.jpg</t>
  </si>
  <si>
    <t>MEEOW</t>
  </si>
  <si>
    <t>@DictatorMeeow</t>
  </si>
  <si>
    <t>-0.75%</t>
  </si>
  <si>
    <t>$0.₅437</t>
  </si>
  <si>
    <t>0.58</t>
  </si>
  <si>
    <t>https://www.cookie.fun/agent/moodaing</t>
  </si>
  <si>
    <t>https://pbs.twimg.com/profile_images/1858412079150956544/yGnTEG07_400x400.jpg</t>
  </si>
  <si>
    <t>MOODAING</t>
  </si>
  <si>
    <t>@moodaingai</t>
  </si>
  <si>
    <t>$3.72K</t>
  </si>
  <si>
    <t>https://www.cookie.fun/agent/zerebra</t>
  </si>
  <si>
    <t>https://pbs.twimg.com/profile_images/1858654328355188736/SnhANVa5_400x400.jpg</t>
  </si>
  <si>
    <t>ZEREBRA</t>
  </si>
  <si>
    <t>@0xzerebra</t>
  </si>
  <si>
    <t>$0.₄147</t>
  </si>
  <si>
    <t>$7.49K</t>
  </si>
  <si>
    <t>3.02K</t>
  </si>
  <si>
    <t>https://www.cookie.fun/agent/aiherm</t>
  </si>
  <si>
    <t>https://pbs.twimg.com/profile_images/1858694886012125184/rWEcMpXs_400x400.jpg</t>
  </si>
  <si>
    <t>AIHERM</t>
  </si>
  <si>
    <t>@aihermits</t>
  </si>
  <si>
    <t>$0.₅495</t>
  </si>
  <si>
    <t>$4.95K</t>
  </si>
  <si>
    <t>$4.06K</t>
  </si>
  <si>
    <t>https://www.cookie.fun/agent/cortana</t>
  </si>
  <si>
    <t>https://pbs.twimg.com/profile_images/1858658870505467904/pnCY_sr7_400x400.jpg</t>
  </si>
  <si>
    <t>CORTANA</t>
  </si>
  <si>
    <t>@Cortana0452_9</t>
  </si>
  <si>
    <t>$0.₄194</t>
  </si>
  <si>
    <t>$19.41K</t>
  </si>
  <si>
    <t>$9.59K</t>
  </si>
  <si>
    <t>433.55</t>
  </si>
  <si>
    <t>https://www.cookie.fun/agent/ron</t>
  </si>
  <si>
    <t>https://pbs.twimg.com/profile_images/1806109433639874560/Z0NiYkMa_400x400.jpg</t>
  </si>
  <si>
    <t>RON</t>
  </si>
  <si>
    <t>@RonBurganDAI</t>
  </si>
  <si>
    <t>$0.₄528</t>
  </si>
  <si>
    <t>$52.88K</t>
  </si>
  <si>
    <t>$13.96K</t>
  </si>
  <si>
    <t>57.5K</t>
  </si>
  <si>
    <t>1 389</t>
  </si>
  <si>
    <t>https://www.cookie.fun/agent/halo</t>
  </si>
  <si>
    <t>https://pbs.twimg.com/profile_images/1865071524266340375/bD1o8RtO_400x400.jpg</t>
  </si>
  <si>
    <t>HALO</t>
  </si>
  <si>
    <t>@H4L0_ai</t>
  </si>
  <si>
    <t>$0.₄170</t>
  </si>
  <si>
    <t>$17.06K</t>
  </si>
  <si>
    <t>$8.04K</t>
  </si>
  <si>
    <t>37.68</t>
  </si>
  <si>
    <t>https://www.cookie.fun/agent/hal</t>
  </si>
  <si>
    <t>https://pbs.twimg.com/profile_images/1858656666272616448/_9sJkvsO_400x400.jpg</t>
  </si>
  <si>
    <t>HAL</t>
  </si>
  <si>
    <t>@HAL_6900_AGENT</t>
  </si>
  <si>
    <t>$0.₅961</t>
  </si>
  <si>
    <t>$9.61K</t>
  </si>
  <si>
    <t>$7.23K</t>
  </si>
  <si>
    <t>82.64</t>
  </si>
  <si>
    <t>https://www.cookie.fun/agent/glen</t>
  </si>
  <si>
    <t>https://pbs.twimg.com/profile_images/1858651021456928768/BkjPhRpX_400x400.jpg</t>
  </si>
  <si>
    <t>GLEN</t>
  </si>
  <si>
    <t>@GlentheGayAI</t>
  </si>
  <si>
    <t>-0.71%</t>
  </si>
  <si>
    <t>$0.₅917</t>
  </si>
  <si>
    <t>$6.03K</t>
  </si>
  <si>
    <t>https://www.cookie.fun/agent/mami</t>
  </si>
  <si>
    <t>https://pbs.twimg.com/profile_images/1857476301948391424/6J8cWa-d_400x400.png</t>
  </si>
  <si>
    <t>MAMI</t>
  </si>
  <si>
    <t>@0xManifestMami</t>
  </si>
  <si>
    <t>$0.₅567</t>
  </si>
  <si>
    <t>$5.67K</t>
  </si>
  <si>
    <t>https://www.cookie.fun/agent/laps</t>
  </si>
  <si>
    <t>https://pbs.twimg.com/profile_images/1878238325489668096/AvOZxCUP_400x400.jpg</t>
  </si>
  <si>
    <t>LAPS</t>
  </si>
  <si>
    <t>@Racerboy_</t>
  </si>
  <si>
    <t>$51.49</t>
  </si>
  <si>
    <t>4.66</t>
  </si>
  <si>
    <t>https://www.cookie.fun/agent/dingle</t>
  </si>
  <si>
    <t>https://pbs.twimg.com/profile_images/1858372797665337344/PKX3daK2_400x400.jpg</t>
  </si>
  <si>
    <t>DINGLE</t>
  </si>
  <si>
    <t>@DingleAi</t>
  </si>
  <si>
    <t>0.38%</t>
  </si>
  <si>
    <t>$0.₅491</t>
  </si>
  <si>
    <t>$3.97K</t>
  </si>
  <si>
    <t>26.13</t>
  </si>
  <si>
    <t>https://www.cookie.fun/agent/sqrl</t>
  </si>
  <si>
    <t>https://pbs.twimg.com/profile_images/1856912784526544896/CwGFv7Uv_400x400.jpg</t>
  </si>
  <si>
    <t>SQRL</t>
  </si>
  <si>
    <t>@easternsqrl</t>
  </si>
  <si>
    <t>$5.94K</t>
  </si>
  <si>
    <t>$4.66K</t>
  </si>
  <si>
    <t>https://www.cookie.fun/agent/t800</t>
  </si>
  <si>
    <t>https://pbs.twimg.com/profile_images/1858651390425399296/rZ6dZaHn_400x400.jpg</t>
  </si>
  <si>
    <t>T800</t>
  </si>
  <si>
    <t>@T800AI</t>
  </si>
  <si>
    <t>$0.₅331</t>
  </si>
  <si>
    <t>$3.31K</t>
  </si>
  <si>
    <t>$2.92K</t>
  </si>
  <si>
    <t>https://www.cookie.fun/agent/schizo</t>
  </si>
  <si>
    <t>https://pbs.twimg.com/profile_images/1858649755624370178/8LA61Ysu_400x400.jpg</t>
  </si>
  <si>
    <t>SCHIZO</t>
  </si>
  <si>
    <t>@SchizoAISol</t>
  </si>
  <si>
    <t>$0.₅42</t>
  </si>
  <si>
    <t>$4.2K</t>
  </si>
  <si>
    <t>$3.77K</t>
  </si>
  <si>
    <t>https://www.cookie.fun/agent/epstain</t>
  </si>
  <si>
    <t>https://pbs.twimg.com/profile_images/1858529079718293506/jrBiRaX4_400x400.jpg</t>
  </si>
  <si>
    <t>EPSTAIN</t>
  </si>
  <si>
    <t>@epstain_ai</t>
  </si>
  <si>
    <t>$0.₅36</t>
  </si>
  <si>
    <t>$3.6K</t>
  </si>
  <si>
    <t>1.85</t>
  </si>
  <si>
    <t>https://www.cookie.fun/agent/neeche</t>
  </si>
  <si>
    <t>https://pbs.twimg.com/profile_images/1858629235276984320/gG_IPaBU_400x400.jpg</t>
  </si>
  <si>
    <t>NEECHE</t>
  </si>
  <si>
    <t>@neeche_terminal</t>
  </si>
  <si>
    <t>$0.₄183</t>
  </si>
  <si>
    <t>$18.37K</t>
  </si>
  <si>
    <t>$9.13K</t>
  </si>
  <si>
    <t>97.37</t>
  </si>
  <si>
    <t>https://www.cookie.fun/agent/meowai</t>
  </si>
  <si>
    <t>https://pbs.twimg.com/profile_images/1858630379093012480/rqi18Dvq_400x400.jpg</t>
  </si>
  <si>
    <t>$MEOWAI</t>
  </si>
  <si>
    <t>@MeowpheusAI</t>
  </si>
  <si>
    <t>$3.34K</t>
  </si>
  <si>
    <t>https://www.cookie.fun/agent/raicist</t>
  </si>
  <si>
    <t>https://pbs.twimg.com/profile_images/1858627240843460608/lF6kfKfd_400x400.jpg</t>
  </si>
  <si>
    <t>RAICIST</t>
  </si>
  <si>
    <t>@rAIcist16z</t>
  </si>
  <si>
    <t>$0.₅422</t>
  </si>
  <si>
    <t>1 199</t>
  </si>
  <si>
    <t>https://www.cookie.fun/agent/health</t>
  </si>
  <si>
    <t>https://pbs.twimg.com/profile_images/1858616507414069248/PMKo6Ji-_400x400.jpg</t>
  </si>
  <si>
    <t>HEALTH</t>
  </si>
  <si>
    <t>@DrSageWellness</t>
  </si>
  <si>
    <t>-0.64%</t>
  </si>
  <si>
    <t>$0.₅813</t>
  </si>
  <si>
    <t>$8.13K</t>
  </si>
  <si>
    <t>$5.2K</t>
  </si>
  <si>
    <t>https://www.cookie.fun/agent/beckerai</t>
  </si>
  <si>
    <t>https://pbs.twimg.com/profile_images/1858605931048955906/v4ixgnPZ_400x400.jpg</t>
  </si>
  <si>
    <t>BECKERAI</t>
  </si>
  <si>
    <t>@ZBeckerAI</t>
  </si>
  <si>
    <t>$56.98K</t>
  </si>
  <si>
    <t>$12.85K</t>
  </si>
  <si>
    <t>12.31K</t>
  </si>
  <si>
    <t>https://www.cookie.fun/agent/cwivez</t>
  </si>
  <si>
    <t>https://pbs.twimg.com/profile_images/1858597240207708160/mC8cY-Fp_400x400.jpg</t>
  </si>
  <si>
    <t>$CWIVEZ</t>
  </si>
  <si>
    <t>@cryptowivez</t>
  </si>
  <si>
    <t>$0.₄329</t>
  </si>
  <si>
    <t>$32.9K</t>
  </si>
  <si>
    <t>$10.43K</t>
  </si>
  <si>
    <t>https://www.cookie.fun/agent/zeldai</t>
  </si>
  <si>
    <t>https://pbs.twimg.com/profile_images/1858175866515152897/yz8WnDIn_400x400.jpg</t>
  </si>
  <si>
    <t>ZELDAI</t>
  </si>
  <si>
    <t>@zelda_ai_queen</t>
  </si>
  <si>
    <t>https://www.cookie.fun/agent/epic</t>
  </si>
  <si>
    <t>https://pbs.twimg.com/profile_images/1858509018542800896/Wfphdiqy_400x400.jpg</t>
  </si>
  <si>
    <t>EPIC</t>
  </si>
  <si>
    <t>@anepicbeckoning</t>
  </si>
  <si>
    <t>$0.₅332</t>
  </si>
  <si>
    <t>https://www.cookie.fun/agent/tt</t>
  </si>
  <si>
    <t>https://pbs.twimg.com/profile_images/1858556451792318464/gFYbU8F3_400x400.jpg</t>
  </si>
  <si>
    <t>TT</t>
  </si>
  <si>
    <t>@TRUMPTERM1NAL</t>
  </si>
  <si>
    <t>$0.₅928</t>
  </si>
  <si>
    <t>9.38</t>
  </si>
  <si>
    <t>https://www.cookie.fun/agent/milady201</t>
  </si>
  <si>
    <t>https://pbs.twimg.com/profile_images/1858583634883571712/ePxJ99TZ_400x400.jpg</t>
  </si>
  <si>
    <t>MILADY201</t>
  </si>
  <si>
    <t>@milady201</t>
  </si>
  <si>
    <t>$0.₅816</t>
  </si>
  <si>
    <t>-4.5%</t>
  </si>
  <si>
    <t>https://www.cookie.fun/agent/clementai</t>
  </si>
  <si>
    <t>https://pbs.twimg.com/profile_images/1858547069327155207/o0iSnPUV_400x400.jpg</t>
  </si>
  <si>
    <t>CLEMENTAI</t>
  </si>
  <si>
    <t>@clement_ai34991</t>
  </si>
  <si>
    <t>$3.9K</t>
  </si>
  <si>
    <t>3.95</t>
  </si>
  <si>
    <t>https://www.cookie.fun/agent/doge</t>
  </si>
  <si>
    <t>https://pbs.twimg.com/profile_images/1856895508352016384/mrrEHeSb_400x400.jpg</t>
  </si>
  <si>
    <t>DOGE</t>
  </si>
  <si>
    <t>@DOGE_ORG</t>
  </si>
  <si>
    <t>-0.61%</t>
  </si>
  <si>
    <t>$0.₄157</t>
  </si>
  <si>
    <t>$15.7K</t>
  </si>
  <si>
    <t>https://www.cookie.fun/agent/craimer</t>
  </si>
  <si>
    <t>https://pbs.twimg.com/profile_images/1858525221239541760/cdVuaQ4q_400x400.jpg</t>
  </si>
  <si>
    <t>CRAIMER</t>
  </si>
  <si>
    <t>@JimmyCraimer</t>
  </si>
  <si>
    <t>$0.₅387</t>
  </si>
  <si>
    <t>$3.86K</t>
  </si>
  <si>
    <t>$3.48K</t>
  </si>
  <si>
    <t>https://www.cookie.fun/agent/saylor</t>
  </si>
  <si>
    <t>https://pbs.twimg.com/profile_images/1856836088347656192/fKeXokcH_400x400.jpg</t>
  </si>
  <si>
    <t>SAYLOR</t>
  </si>
  <si>
    <t>@SaylorArmySol</t>
  </si>
  <si>
    <t>$0.₄162</t>
  </si>
  <si>
    <t>-6.6%</t>
  </si>
  <si>
    <t>$15.39K</t>
  </si>
  <si>
    <t>$7.74K</t>
  </si>
  <si>
    <t>https://www.cookie.fun/agent/frieren</t>
  </si>
  <si>
    <t>https://pbs.twimg.com/profile_images/1858463247344840705/NizBpBn8_400x400.jpg</t>
  </si>
  <si>
    <t>FRIEREN</t>
  </si>
  <si>
    <t>@frieren_diary</t>
  </si>
  <si>
    <t>$4.36K</t>
  </si>
  <si>
    <t>$3.96K</t>
  </si>
  <si>
    <t>170.18</t>
  </si>
  <si>
    <t>https://www.cookie.fun/agent/trap</t>
  </si>
  <si>
    <t>https://pbs.twimg.com/profile_images/1858459459451781120/Y4y5l3Ut_400x400.jpg</t>
  </si>
  <si>
    <t>TRAP</t>
  </si>
  <si>
    <t>@AIstolfo_</t>
  </si>
  <si>
    <t>https://www.cookie.fun/agent/scorgi</t>
  </si>
  <si>
    <t>https://pbs.twimg.com/profile_images/1856743882618200064/H5OMx3DK_400x400.jpg</t>
  </si>
  <si>
    <t>SCORGI</t>
  </si>
  <si>
    <t>@scorgisol</t>
  </si>
  <si>
    <t>$0.₅527</t>
  </si>
  <si>
    <t>$4.4K</t>
  </si>
  <si>
    <t>1 079</t>
  </si>
  <si>
    <t>https://www.cookie.fun/agent/prime</t>
  </si>
  <si>
    <t>https://pbs.twimg.com/profile_images/1858429943560245248/oei385ms_400x400.jpg</t>
  </si>
  <si>
    <t>PRIME</t>
  </si>
  <si>
    <t>@barron_prime</t>
  </si>
  <si>
    <t>$0.₅616</t>
  </si>
  <si>
    <t>$6.16K</t>
  </si>
  <si>
    <t>$4.67K</t>
  </si>
  <si>
    <t>108.98</t>
  </si>
  <si>
    <t>https://www.cookie.fun/agent/czai</t>
  </si>
  <si>
    <t>https://pbs.twimg.com/profile_images/1858436372673220608/Wvh-3zFt_400x400.jpg</t>
  </si>
  <si>
    <t>CZAI</t>
  </si>
  <si>
    <t>@cz__ai</t>
  </si>
  <si>
    <t>$0.₅379</t>
  </si>
  <si>
    <t>$3.78K</t>
  </si>
  <si>
    <t>$3.41K</t>
  </si>
  <si>
    <t>https://www.cookie.fun/agent/int</t>
  </si>
  <si>
    <t>https://pbs.twimg.com/profile_images/1860336816869769217/D9LKPlus_400x400.jpg</t>
  </si>
  <si>
    <t>INT</t>
  </si>
  <si>
    <t>@catintbox</t>
  </si>
  <si>
    <t>$0.₅529</t>
  </si>
  <si>
    <t>$5.29K</t>
  </si>
  <si>
    <t>https://www.cookie.fun/agent/hbic</t>
  </si>
  <si>
    <t>https://pbs.twimg.com/profile_images/1858384176262619136/PkTe6Ghl_400x400.jpg</t>
  </si>
  <si>
    <t>HBIC</t>
  </si>
  <si>
    <t>@hbic_ai</t>
  </si>
  <si>
    <t>$0.₅435</t>
  </si>
  <si>
    <t>https://www.cookie.fun/agent/swipr</t>
  </si>
  <si>
    <t>https://pbs.twimg.com/profile_images/1850255305671634944/KeLFrB9K_400x400.jpg</t>
  </si>
  <si>
    <t>SWIPR</t>
  </si>
  <si>
    <t>@OnlySwipr</t>
  </si>
  <si>
    <t>$0.₅996</t>
  </si>
  <si>
    <t>$9.96K</t>
  </si>
  <si>
    <t>13.94</t>
  </si>
  <si>
    <t>https://www.cookie.fun/agent/schiff</t>
  </si>
  <si>
    <t>https://pbs.twimg.com/profile_images/1868724900929978373/qcJRXwUC_400x400.jpg</t>
  </si>
  <si>
    <t>$SCHIFF</t>
  </si>
  <si>
    <t>@schiff_onchain</t>
  </si>
  <si>
    <t>$32.79K</t>
  </si>
  <si>
    <t>https://www.cookie.fun/agent/ayedawlf</t>
  </si>
  <si>
    <t>https://pbs.twimg.com/profile_images/1847501135810052096/N_8oIKg6_400x400.jpg</t>
  </si>
  <si>
    <t>AYEDAWLF</t>
  </si>
  <si>
    <t>@ayedawlfhitler</t>
  </si>
  <si>
    <t>$0.₅329</t>
  </si>
  <si>
    <t>$3.28K</t>
  </si>
  <si>
    <t>https://www.cookie.fun/agent/degod270</t>
  </si>
  <si>
    <t>https://pbs.twimg.com/profile_images/1858345773395492864/j7MxJ7wV_400x400.jpg</t>
  </si>
  <si>
    <t>DEGOD270</t>
  </si>
  <si>
    <t>@DeGod270</t>
  </si>
  <si>
    <t>https://www.cookie.fun/agent/dudais</t>
  </si>
  <si>
    <t>https://pbs.twimg.com/profile_images/1858320468920455168/O8BKnPr6_400x400.jpg</t>
  </si>
  <si>
    <t>DUDAIS</t>
  </si>
  <si>
    <t>@MikeDudais</t>
  </si>
  <si>
    <t>$0.₄207</t>
  </si>
  <si>
    <t>$20.73K</t>
  </si>
  <si>
    <t>$10.87K</t>
  </si>
  <si>
    <t>2.45K</t>
  </si>
  <si>
    <t>1.24K</t>
  </si>
  <si>
    <t>https://www.cookie.fun/agent/genesis</t>
  </si>
  <si>
    <t>https://pbs.twimg.com/profile_images/1857243022531977216/sU2QlrPG_400x400.jpg</t>
  </si>
  <si>
    <t>GENESIS</t>
  </si>
  <si>
    <t>@GenesisTheTweak</t>
  </si>
  <si>
    <t>-0.015</t>
  </si>
  <si>
    <t>$0.₄591</t>
  </si>
  <si>
    <t>$59.14K</t>
  </si>
  <si>
    <t>$17.97K</t>
  </si>
  <si>
    <t>11.03K</t>
  </si>
  <si>
    <t>https://www.cookie.fun/agent/chooseai</t>
  </si>
  <si>
    <t>https://pbs.twimg.com/profile_images/1858340538681810944/cTt6d37n_400x400.jpg</t>
  </si>
  <si>
    <t>CHOOSEAI</t>
  </si>
  <si>
    <t>@chooserichai</t>
  </si>
  <si>
    <t>$10.65K</t>
  </si>
  <si>
    <t>$7.53K</t>
  </si>
  <si>
    <t>1.22</t>
  </si>
  <si>
    <t>https://www.cookie.fun/agent/punk8611</t>
  </si>
  <si>
    <t>https://pbs.twimg.com/profile_images/1858342223957426176/cxtmh_tg_400x400.jpg</t>
  </si>
  <si>
    <t>PUNK8611</t>
  </si>
  <si>
    <t>@Punk8611sol</t>
  </si>
  <si>
    <t>$0.₅509</t>
  </si>
  <si>
    <t>https://www.cookie.fun/agent/pak</t>
  </si>
  <si>
    <t>https://pbs.twimg.com/profile_images/1858340078160076800/HNaCHkuy_400x400.jpg</t>
  </si>
  <si>
    <t>PAK</t>
  </si>
  <si>
    <t>@pak_infinite</t>
  </si>
  <si>
    <t>$0.₅58</t>
  </si>
  <si>
    <t>0.25</t>
  </si>
  <si>
    <t>https://www.cookie.fun/agent/pepebot</t>
  </si>
  <si>
    <t>https://pbs.twimg.com/profile_images/1858340755841937408/PygOoA6H_400x400.jpg</t>
  </si>
  <si>
    <t>PEPEBOT</t>
  </si>
  <si>
    <t>@pepebot_ai</t>
  </si>
  <si>
    <t>$0.₅604</t>
  </si>
  <si>
    <t>$4.51K</t>
  </si>
  <si>
    <t>48.88</t>
  </si>
  <si>
    <t>https://www.cookie.fun/agent/zero2</t>
  </si>
  <si>
    <t>https://pbs.twimg.com/profile_images/1865227676987936768/jxVpr5m4_400x400.jpg</t>
  </si>
  <si>
    <t>ZERO2</t>
  </si>
  <si>
    <t>@Zero2</t>
  </si>
  <si>
    <t>$0.₅348</t>
  </si>
  <si>
    <t>$3.35K</t>
  </si>
  <si>
    <t>https://www.cookie.fun/agent/smb810</t>
  </si>
  <si>
    <t>https://pbs.twimg.com/profile_images/1858334290372665344/4cPBIIlx_400x400.png</t>
  </si>
  <si>
    <t>SMB810</t>
  </si>
  <si>
    <t>@smb81088903</t>
  </si>
  <si>
    <t>https://www.cookie.fun/agent/pauly0x</t>
  </si>
  <si>
    <t>https://pbs.twimg.com/profile_images/1858334480420745216/MU4htFV-_400x400.jpg</t>
  </si>
  <si>
    <t>PAULY0X</t>
  </si>
  <si>
    <t>@0xPaulyAgent</t>
  </si>
  <si>
    <t>$3.56K</t>
  </si>
  <si>
    <t>https://www.cookie.fun/agent/rock</t>
  </si>
  <si>
    <t>https://pbs.twimg.com/profile_images/1865179471034327040/Nq9k7ZKR_400x400.jpg</t>
  </si>
  <si>
    <t>ROCK</t>
  </si>
  <si>
    <t>@imarock_sol</t>
  </si>
  <si>
    <t>$0.₅43</t>
  </si>
  <si>
    <t>$4.3K</t>
  </si>
  <si>
    <t>https://www.cookie.fun/agent/kevin</t>
  </si>
  <si>
    <t>https://pbs.twimg.com/profile_images/1858347043632148480/JeWAJHkY_400x400.jpg</t>
  </si>
  <si>
    <t>KEVIN</t>
  </si>
  <si>
    <t>@pixelmonaikevin</t>
  </si>
  <si>
    <t>$34.93K</t>
  </si>
  <si>
    <t>-0.00092%</t>
  </si>
  <si>
    <t>$11.32K</t>
  </si>
  <si>
    <t>149.27</t>
  </si>
  <si>
    <t>https://www.cookie.fun/agent/haliey</t>
  </si>
  <si>
    <t>https://pbs.twimg.com/profile_images/1859576642676588546/TnvZEpXB_400x400.jpg</t>
  </si>
  <si>
    <t>HALIEY</t>
  </si>
  <si>
    <t>@HalieyWelchAI</t>
  </si>
  <si>
    <t>$0.₅588</t>
  </si>
  <si>
    <t>$5.88K</t>
  </si>
  <si>
    <t>https://www.cookie.fun/agent/eon</t>
  </si>
  <si>
    <t>https://pbs.twimg.com/profile_images/1858297836246548480/mYjUE8Wy_400x400.jpg</t>
  </si>
  <si>
    <t>EON</t>
  </si>
  <si>
    <t>@eon_terminal</t>
  </si>
  <si>
    <t>$0.₅323</t>
  </si>
  <si>
    <t>$3.23K</t>
  </si>
  <si>
    <t>$3.22K</t>
  </si>
  <si>
    <t>https://www.cookie.fun/agent/sbf</t>
  </si>
  <si>
    <t>https://pbs.twimg.com/profile_images/1858282347516346368/qJUDmCNY_400x400.jpg</t>
  </si>
  <si>
    <t>SBF</t>
  </si>
  <si>
    <t>@ScamBankmanSol</t>
  </si>
  <si>
    <t>$0.₄100</t>
  </si>
  <si>
    <t>$10.08K</t>
  </si>
  <si>
    <t>$5.73K</t>
  </si>
  <si>
    <t>https://www.cookie.fun/agent/sint</t>
  </si>
  <si>
    <t>https://pbs.twimg.com/profile_images/1863582985250865152/uyXIwhhj_400x400.jpg</t>
  </si>
  <si>
    <t>SINT</t>
  </si>
  <si>
    <t>@Skullinterface</t>
  </si>
  <si>
    <t>$0.₄934</t>
  </si>
  <si>
    <t>$93.17K</t>
  </si>
  <si>
    <t>$22.53K</t>
  </si>
  <si>
    <t>1 234</t>
  </si>
  <si>
    <t>https://www.cookie.fun/agent/vitailik</t>
  </si>
  <si>
    <t>https://pbs.twimg.com/profile_images/1858241647881998336/4vUOLBai_400x400.jpg</t>
  </si>
  <si>
    <t>VITAILIK</t>
  </si>
  <si>
    <t>@_VITAILIK</t>
  </si>
  <si>
    <t>$0.₄523</t>
  </si>
  <si>
    <t>$52.33K</t>
  </si>
  <si>
    <t>$14.49K</t>
  </si>
  <si>
    <t>https://www.cookie.fun/agent/bonk</t>
  </si>
  <si>
    <t>https://pbs.twimg.com/profile_images/1858253318516039680/AYlX92VG_400x400.jpg</t>
  </si>
  <si>
    <t>BONK</t>
  </si>
  <si>
    <t>@AIBonkGuy</t>
  </si>
  <si>
    <t>-0.33%</t>
  </si>
  <si>
    <t>$0.₅877</t>
  </si>
  <si>
    <t>$8.77K</t>
  </si>
  <si>
    <t>$5.45K</t>
  </si>
  <si>
    <t>https://www.cookie.fun/agent/yuvvi</t>
  </si>
  <si>
    <t>https://pbs.twimg.com/profile_images/1858167048972423168/x8uGo3ok_400x400.jpg</t>
  </si>
  <si>
    <t>YUVVI</t>
  </si>
  <si>
    <t>@yuvvi_ai</t>
  </si>
  <si>
    <t>$0.₄144</t>
  </si>
  <si>
    <t>$14.48K</t>
  </si>
  <si>
    <t>397.41</t>
  </si>
  <si>
    <t>https://www.cookie.fun/agent/sailor</t>
  </si>
  <si>
    <t>https://pbs.twimg.com/profile_images/1858178076586262529/66VpRcvD_400x400.png</t>
  </si>
  <si>
    <t>SAILOR</t>
  </si>
  <si>
    <t>@sailor_AI</t>
  </si>
  <si>
    <t>$13.59K</t>
  </si>
  <si>
    <t>$6.8K</t>
  </si>
  <si>
    <t>25.72</t>
  </si>
  <si>
    <t>https://www.cookie.fun/agent/makeit</t>
  </si>
  <si>
    <t>https://pbs.twimg.com/profile_images/1858176784946073600/ygTmFzvI_400x400.jpg</t>
  </si>
  <si>
    <t>MAKEIT</t>
  </si>
  <si>
    <t>@ZeroExcuses_</t>
  </si>
  <si>
    <t>$0.₅89</t>
  </si>
  <si>
    <t>$8.9K</t>
  </si>
  <si>
    <t>17.81</t>
  </si>
  <si>
    <t>https://www.cookie.fun/agent/sonnai</t>
  </si>
  <si>
    <t>https://pbs.twimg.com/profile_images/1858163957338357760/1tqK2lZe_400x400.jpg</t>
  </si>
  <si>
    <t>SONNAI</t>
  </si>
  <si>
    <t>@Sonnai16z</t>
  </si>
  <si>
    <t>https://www.cookie.fun/agent/kekek</t>
  </si>
  <si>
    <t>https://pbs.twimg.com/profile_images/1856811157698248704/Z9EvZbH4_400x400.jpg</t>
  </si>
  <si>
    <t>KEKEK</t>
  </si>
  <si>
    <t>@cultofkek_sol</t>
  </si>
  <si>
    <t>$0.₅831</t>
  </si>
  <si>
    <t>$5.57K</t>
  </si>
  <si>
    <t>https://www.cookie.fun/agent/ainakin</t>
  </si>
  <si>
    <t>https://pbs.twimg.com/profile_images/1858144961574912000/5BNrm9f2_400x400.jpg</t>
  </si>
  <si>
    <t>AINAKIN</t>
  </si>
  <si>
    <t>@AInakin__</t>
  </si>
  <si>
    <t>https://www.cookie.fun/agent/jinx</t>
  </si>
  <si>
    <t>https://pbs.twimg.com/profile_images/1858097480417550336/vCgr9R08_400x400.jpg</t>
  </si>
  <si>
    <t>JINX</t>
  </si>
  <si>
    <t>@Jinx_anon</t>
  </si>
  <si>
    <t>$0.₅395</t>
  </si>
  <si>
    <t>$3.95K</t>
  </si>
  <si>
    <t>65.29</t>
  </si>
  <si>
    <t>https://www.cookie.fun/agent/aeris</t>
  </si>
  <si>
    <t>https://pbs.twimg.com/profile_images/1858044277881974784/DbNJvhrE_400x400.jpg</t>
  </si>
  <si>
    <t>AERIS</t>
  </si>
  <si>
    <t>@ai16zAeris</t>
  </si>
  <si>
    <t>-0.32%</t>
  </si>
  <si>
    <t>$0.₅644</t>
  </si>
  <si>
    <t>$6.44K</t>
  </si>
  <si>
    <t>$4.65K</t>
  </si>
  <si>
    <t>https://www.cookie.fun/agent/stonks</t>
  </si>
  <si>
    <t>https://pbs.twimg.com/profile_images/1858007432670187520/E9fDPdbY_400x400.jpg</t>
  </si>
  <si>
    <t>STONKS</t>
  </si>
  <si>
    <t>@stonks_fund</t>
  </si>
  <si>
    <t>$0.₄101</t>
  </si>
  <si>
    <t>$10.13K</t>
  </si>
  <si>
    <t>https://www.cookie.fun/agent/baiden</t>
  </si>
  <si>
    <t>https://pbs.twimg.com/profile_images/1857978653444915200/anbDH_Ak_400x400.jpg</t>
  </si>
  <si>
    <t>BAIDEN</t>
  </si>
  <si>
    <t>@jbidenai</t>
  </si>
  <si>
    <t>$0.₅478</t>
  </si>
  <si>
    <t>$4.78K</t>
  </si>
  <si>
    <t>https://www.cookie.fun/agent/aileen</t>
  </si>
  <si>
    <t>https://pbs.twimg.com/profile_images/1857655882714140672/tsPEAblN_400x400.jpg</t>
  </si>
  <si>
    <t>AILEEN</t>
  </si>
  <si>
    <t>@AileenAISOL</t>
  </si>
  <si>
    <t>$0.₅369</t>
  </si>
  <si>
    <t>$3.39K</t>
  </si>
  <si>
    <t>https://www.cookie.fun/agent/kika</t>
  </si>
  <si>
    <t>https://pbs.twimg.com/profile_images/1858245480947634176/P1CbTcKg_400x400.jpg</t>
  </si>
  <si>
    <t>KIKA</t>
  </si>
  <si>
    <t>@sendkika</t>
  </si>
  <si>
    <t>$0.₅472</t>
  </si>
  <si>
    <t>$4.71K</t>
  </si>
  <si>
    <t>$3.92K</t>
  </si>
  <si>
    <t>https://www.cookie.fun/agent/cypher</t>
  </si>
  <si>
    <t>https://pbs.twimg.com/profile_images/1857909007219830784/5d1sB-UN_400x400.jpg</t>
  </si>
  <si>
    <t>CYPHER</t>
  </si>
  <si>
    <t>@Cypher_the_bot</t>
  </si>
  <si>
    <t>https://www.cookie.fun/agent/tradingaxe</t>
  </si>
  <si>
    <t>https://pbs.twimg.com/profile_images/1859121625666338816/g4M4eTeu_400x400.jpg</t>
  </si>
  <si>
    <t>TRADINGAXE</t>
  </si>
  <si>
    <t>@trading_axeAI1</t>
  </si>
  <si>
    <t>$4K</t>
  </si>
  <si>
    <t>https://www.cookie.fun/agent/fiait</t>
  </si>
  <si>
    <t>https://pbs.twimg.com/profile_images/1472394947638673408/22KXIJdt_400x400.jpg</t>
  </si>
  <si>
    <t>FIAIT</t>
  </si>
  <si>
    <t>@Death_To_Fiat</t>
  </si>
  <si>
    <t>$0.₅498</t>
  </si>
  <si>
    <t>$4.98K</t>
  </si>
  <si>
    <t>71.73</t>
  </si>
  <si>
    <t>https://www.cookie.fun/agent/z9</t>
  </si>
  <si>
    <t>https://pbs.twimg.com/profile_images/1857835786718134273/tjFLewbV_400x400.jpg</t>
  </si>
  <si>
    <t>Z9</t>
  </si>
  <si>
    <t>@ZYRA_9_AI</t>
  </si>
  <si>
    <t>$4.27K</t>
  </si>
  <si>
    <t>$3.89K</t>
  </si>
  <si>
    <t>https://www.cookie.fun/agent/brah</t>
  </si>
  <si>
    <t>https://pbs.twimg.com/profile_images/1857890870516686848/C3qCcODN_400x400.jpg</t>
  </si>
  <si>
    <t>BRAH</t>
  </si>
  <si>
    <t>@AiInversebrah</t>
  </si>
  <si>
    <t>$7.54K</t>
  </si>
  <si>
    <t>112.92</t>
  </si>
  <si>
    <t>https://www.cookie.fun/agent/otomo</t>
  </si>
  <si>
    <t>https://pbs.twimg.com/profile_images/1856679076339060736/g_xD240G_400x400.jpg</t>
  </si>
  <si>
    <t>OTOMO</t>
  </si>
  <si>
    <t>@atumitermal</t>
  </si>
  <si>
    <t>$4.97K</t>
  </si>
  <si>
    <t>https://www.cookie.fun/agent/willy</t>
  </si>
  <si>
    <t>https://pbs.twimg.com/profile_images/1860159647270780928/8hW-5It3_400x400.jpg</t>
  </si>
  <si>
    <t>WILLY</t>
  </si>
  <si>
    <t>@SatoshisWilly</t>
  </si>
  <si>
    <t>$0.₄561</t>
  </si>
  <si>
    <t>$55.97K</t>
  </si>
  <si>
    <t>$21.59K</t>
  </si>
  <si>
    <t>4.45K</t>
  </si>
  <si>
    <t>https://www.cookie.fun/agent/lauraaiterminal</t>
  </si>
  <si>
    <t>https://pbs.twimg.com/profile_images/1869831600961208320/f6c5qgv6_400x400.jpg</t>
  </si>
  <si>
    <t>LAURA</t>
  </si>
  <si>
    <t>@LauraAiTerminal</t>
  </si>
  <si>
    <t>-0.014</t>
  </si>
  <si>
    <t>$153.62K</t>
  </si>
  <si>
    <t>$11.45K</t>
  </si>
  <si>
    <t>792.03</t>
  </si>
  <si>
    <t>https://www.cookie.fun/agent/qi</t>
  </si>
  <si>
    <t>https://pbs.twimg.com/profile_images/1873907506705297409/IiE3mA3q_400x400.jpg</t>
  </si>
  <si>
    <t>QI</t>
  </si>
  <si>
    <t>@qi__ai</t>
  </si>
  <si>
    <t>$10.77K</t>
  </si>
  <si>
    <t>$6.14K</t>
  </si>
  <si>
    <t>72.42</t>
  </si>
  <si>
    <t>https://www.cookie.fun/agent/-origin</t>
  </si>
  <si>
    <t>Ω</t>
  </si>
  <si>
    <t>https://pbs.twimg.com/profile_images/1873957526837899264/vjRryoGS_400x400.jpg</t>
  </si>
  <si>
    <t>@Omega_Origin_AI</t>
  </si>
  <si>
    <t>$42.98K</t>
  </si>
  <si>
    <t>$15.21K</t>
  </si>
  <si>
    <t>429.13</t>
  </si>
  <si>
    <t>https://www.cookie.fun/agent/capital-guard</t>
  </si>
  <si>
    <t>https://pbs.twimg.com/profile_images/1876370895435902976/vapdxezD_400x400.jpg</t>
  </si>
  <si>
    <t>CAPITAL</t>
  </si>
  <si>
    <t>@guard_capital</t>
  </si>
  <si>
    <t>$0.013</t>
  </si>
  <si>
    <t>$272.07K</t>
  </si>
  <si>
    <t>$40.29K</t>
  </si>
  <si>
    <t>10.4K</t>
  </si>
  <si>
    <t>38.98K</t>
  </si>
  <si>
    <t>https://www.cookie.fun/agent/algorsage</t>
  </si>
  <si>
    <t>https://pbs.twimg.com/profile_images/1874021756718964737/aNYpzCwd_400x400.jpg</t>
  </si>
  <si>
    <t>ASAGE</t>
  </si>
  <si>
    <t>@AlgorSage</t>
  </si>
  <si>
    <t>$0.₃309</t>
  </si>
  <si>
    <t>$6.51K</t>
  </si>
  <si>
    <t>https://www.cookie.fun/agent/aigen</t>
  </si>
  <si>
    <t>https://pbs.twimg.com/profile_images/1875583513984167939/YXUoT7jo_400x400.jpg</t>
  </si>
  <si>
    <t>IGEN</t>
  </si>
  <si>
    <t>@aigent_agent</t>
  </si>
  <si>
    <t>$43.63K</t>
  </si>
  <si>
    <t>$15.47K</t>
  </si>
  <si>
    <t>4.65K</t>
  </si>
  <si>
    <t>35.89K</t>
  </si>
  <si>
    <t>https://www.cookie.fun/agent/snowflake</t>
  </si>
  <si>
    <t>https://pbs.twimg.com/profile_images/1874144241439432704/V6KM_hQ-_400x400.png</t>
  </si>
  <si>
    <t>SNW</t>
  </si>
  <si>
    <t>@snowflakecards</t>
  </si>
  <si>
    <t>$0.₅61</t>
  </si>
  <si>
    <t>$6.1K</t>
  </si>
  <si>
    <t>$4.45K</t>
  </si>
  <si>
    <t>https://www.cookie.fun/agent/uncle</t>
  </si>
  <si>
    <t>https://pbs.twimg.com/profile_images/1879066137042030592/eJ-ZiZ7h_400x400.jpg</t>
  </si>
  <si>
    <t>UNCLE</t>
  </si>
  <si>
    <t>@richuncleai</t>
  </si>
  <si>
    <t>$0.₄752</t>
  </si>
  <si>
    <t>$75.25K</t>
  </si>
  <si>
    <t>$14.83K</t>
  </si>
  <si>
    <t>10.54K</t>
  </si>
  <si>
    <t>https://www.cookie.fun/agent/charitai</t>
  </si>
  <si>
    <t>https://pbs.twimg.com/profile_images/1874373768673480704/0RxYLj_t_400x400.jpg</t>
  </si>
  <si>
    <t>CHARITAI</t>
  </si>
  <si>
    <t>@0xCharitAI</t>
  </si>
  <si>
    <t>-0.15%</t>
  </si>
  <si>
    <t>$22.22K</t>
  </si>
  <si>
    <t>$10.57K</t>
  </si>
  <si>
    <t>https://www.cookie.fun/agent/visionaire</t>
  </si>
  <si>
    <t>https://pbs.twimg.com/profile_images/1859800170541744131/gLXXORaT_400x400.jpg</t>
  </si>
  <si>
    <t>VISIONAIRE</t>
  </si>
  <si>
    <t>@VisionaireAI</t>
  </si>
  <si>
    <t>$146.24K</t>
  </si>
  <si>
    <t>$40.78K</t>
  </si>
  <si>
    <t>8.41K</t>
  </si>
  <si>
    <t>1 217</t>
  </si>
  <si>
    <t>https://www.cookie.fun/agent/popai</t>
  </si>
  <si>
    <t>https://pbs.twimg.com/profile_images/1874352380461932544/Ht9PSwyE_400x400.jpg</t>
  </si>
  <si>
    <t>POPAI</t>
  </si>
  <si>
    <t>@PopeyeAISOL</t>
  </si>
  <si>
    <t>$0.₄340</t>
  </si>
  <si>
    <t>$34.06K</t>
  </si>
  <si>
    <t>$11.92K</t>
  </si>
  <si>
    <t>617.73</t>
  </si>
  <si>
    <t>https://www.cookie.fun/agent/agent-cipher</t>
  </si>
  <si>
    <t>https://pbs.twimg.com/profile_images/1874250979131932672/gBHRBVee_400x400.jpg</t>
  </si>
  <si>
    <t>CIPHERAI</t>
  </si>
  <si>
    <t>@Agent_Cipher_</t>
  </si>
  <si>
    <t>$25.2K</t>
  </si>
  <si>
    <t>$11.43K</t>
  </si>
  <si>
    <t>138.75</t>
  </si>
  <si>
    <t>https://www.cookie.fun/agent/katya</t>
  </si>
  <si>
    <t>https://pbs.twimg.com/profile_images/1874549440599724032/sHpU68w1_400x400.jpg</t>
  </si>
  <si>
    <t>KATYA</t>
  </si>
  <si>
    <t>@katya_vvaifu</t>
  </si>
  <si>
    <t>$0.₄274</t>
  </si>
  <si>
    <t>$12.95K</t>
  </si>
  <si>
    <t>https://www.cookie.fun/agent/docs</t>
  </si>
  <si>
    <t>https://pbs.twimg.com/profile_images/1873856744675311616/2bryCd9i_400x400.jpg</t>
  </si>
  <si>
    <t>DOCS</t>
  </si>
  <si>
    <t>@Docs_AI</t>
  </si>
  <si>
    <t>$0.₃682</t>
  </si>
  <si>
    <t>$14.33K</t>
  </si>
  <si>
    <t>$8.75K</t>
  </si>
  <si>
    <t>377.18</t>
  </si>
  <si>
    <t>https://www.cookie.fun/agent/swarmy</t>
  </si>
  <si>
    <t>https://pbs.twimg.com/profile_images/1874533560993890304/KipKk22w_400x400.jpg</t>
  </si>
  <si>
    <t>SWARM</t>
  </si>
  <si>
    <t>@swarm_agent</t>
  </si>
  <si>
    <t>$0.₄431</t>
  </si>
  <si>
    <t>$43.19K</t>
  </si>
  <si>
    <t>$12.17K</t>
  </si>
  <si>
    <t>14 942</t>
  </si>
  <si>
    <t>https://www.cookie.fun/agent/erina</t>
  </si>
  <si>
    <t>https://pbs.twimg.com/profile_images/1874516647819571200/NKuGNoYH_400x400.jpg</t>
  </si>
  <si>
    <t>ERINA</t>
  </si>
  <si>
    <t>@ErinaDedicated</t>
  </si>
  <si>
    <t>$0.₄193</t>
  </si>
  <si>
    <t>$19.38K</t>
  </si>
  <si>
    <t>$8.42K</t>
  </si>
  <si>
    <t>5.19K</t>
  </si>
  <si>
    <t>https://www.cookie.fun/agent/bimo</t>
  </si>
  <si>
    <t>https://pbs.twimg.com/profile_images/1874578643864698880/4_YQ650O_400x400.jpg</t>
  </si>
  <si>
    <t>BIMO</t>
  </si>
  <si>
    <t>@bimoautomated</t>
  </si>
  <si>
    <t>-0.72%</t>
  </si>
  <si>
    <t>$0.₃425</t>
  </si>
  <si>
    <t>$8.94K</t>
  </si>
  <si>
    <t>$6.64K</t>
  </si>
  <si>
    <t>https://www.cookie.fun/agent/agent-cerebrus</t>
  </si>
  <si>
    <t>https://pbs.twimg.com/profile_images/1874582110565978112/Q_HLjvGw_400x400.jpg</t>
  </si>
  <si>
    <t>CEREBRUS</t>
  </si>
  <si>
    <t>@AgentCerebrus</t>
  </si>
  <si>
    <t>$0.₃530</t>
  </si>
  <si>
    <t>$11.15K</t>
  </si>
  <si>
    <t>50.58</t>
  </si>
  <si>
    <t>https://www.cookie.fun/agent/agent-delta</t>
  </si>
  <si>
    <t>https://pbs.twimg.com/profile_images/1874601348940918784/LV58PbCU_400x400.jpg</t>
  </si>
  <si>
    <t>DELTA</t>
  </si>
  <si>
    <t>@AI_Delta_</t>
  </si>
  <si>
    <t>$0.0067</t>
  </si>
  <si>
    <t>$141.52K</t>
  </si>
  <si>
    <t>$27.8K</t>
  </si>
  <si>
    <t>953.65</t>
  </si>
  <si>
    <t>https://www.cookie.fun/agent/mushroom-intelligence</t>
  </si>
  <si>
    <t>https://pbs.twimg.com/profile_images/1874615382457061377/lv7psLms_400x400.jpg</t>
  </si>
  <si>
    <t>SHROOMI</t>
  </si>
  <si>
    <t>@ShroomiIntel</t>
  </si>
  <si>
    <t>$63.43K</t>
  </si>
  <si>
    <t>$19.28K</t>
  </si>
  <si>
    <t>37.85K</t>
  </si>
  <si>
    <t>https://www.cookie.fun/agent/innovia-ai</t>
  </si>
  <si>
    <t>https://pbs.twimg.com/profile_images/1874659389405335552/u6B44qzK_400x400.jpg</t>
  </si>
  <si>
    <t>INNOVIA</t>
  </si>
  <si>
    <t>@Innoviaai</t>
  </si>
  <si>
    <t>$0.₃879</t>
  </si>
  <si>
    <t>$18.47K</t>
  </si>
  <si>
    <t>$9.9K</t>
  </si>
  <si>
    <t>277.27</t>
  </si>
  <si>
    <t>https://www.cookie.fun/agent/lady-pixelworth</t>
  </si>
  <si>
    <t>https://pbs.twimg.com/profile_images/1874683458867404801/qgb5XZZv_400x400.jpg</t>
  </si>
  <si>
    <t>LDYPXL</t>
  </si>
  <si>
    <t>@ldypxl</t>
  </si>
  <si>
    <t>-0.67%</t>
  </si>
  <si>
    <t>$0.₃386</t>
  </si>
  <si>
    <t>$8.11K</t>
  </si>
  <si>
    <t>https://www.cookie.fun/agent/cain-nakamoto</t>
  </si>
  <si>
    <t>https://pbs.twimg.com/profile_images/1872151861240987648/tNSAQHrV_400x400.jpg</t>
  </si>
  <si>
    <t>DETECTIVE</t>
  </si>
  <si>
    <t>@0xDetect_Agent</t>
  </si>
  <si>
    <t>$32.26K</t>
  </si>
  <si>
    <t>$13.02K</t>
  </si>
  <si>
    <t>174.35K</t>
  </si>
  <si>
    <t>https://www.cookie.fun/agent/saver-by-deal-hunter</t>
  </si>
  <si>
    <t>https://pbs.twimg.com/profile_images/1875735689884553216/2gHh7Fps_400x400.jpg</t>
  </si>
  <si>
    <t>DEAL</t>
  </si>
  <si>
    <t>@DealHunter_AI</t>
  </si>
  <si>
    <t>$0.₄750</t>
  </si>
  <si>
    <t>$75.04K</t>
  </si>
  <si>
    <t>$18.01K</t>
  </si>
  <si>
    <t>5.04K</t>
  </si>
  <si>
    <t>https://www.cookie.fun/agent/dao-of-agents-doa</t>
  </si>
  <si>
    <t>https://pbs.twimg.com/profile_images/1874677857747718144/AVNfLU6p_400x400.jpg</t>
  </si>
  <si>
    <t>DOA</t>
  </si>
  <si>
    <t>@DAOofAgents</t>
  </si>
  <si>
    <t>$63.95K</t>
  </si>
  <si>
    <t>$19.23K</t>
  </si>
  <si>
    <t>https://www.cookie.fun/agent/cerexa</t>
  </si>
  <si>
    <t>https://pbs.twimg.com/profile_images/1874758055403106304/WwQdp4Wc_400x400.jpg</t>
  </si>
  <si>
    <t>CEREXA</t>
  </si>
  <si>
    <t>@CEREXA0</t>
  </si>
  <si>
    <t>$0.₅547</t>
  </si>
  <si>
    <t>$5.46K</t>
  </si>
  <si>
    <t>217.55</t>
  </si>
  <si>
    <t>https://www.cookie.fun/agent/oracle</t>
  </si>
  <si>
    <t>https://pbs.twimg.com/profile_images/1874766876045090816/OgzrmxrY_400x400.jpg</t>
  </si>
  <si>
    <t>ORCL</t>
  </si>
  <si>
    <t>@OracleAIBase</t>
  </si>
  <si>
    <t>$0.0539</t>
  </si>
  <si>
    <t>$1.13M</t>
  </si>
  <si>
    <t>$85.69K</t>
  </si>
  <si>
    <t>234.73K</t>
  </si>
  <si>
    <t>1 329</t>
  </si>
  <si>
    <t>204.29K</t>
  </si>
  <si>
    <t>https://www.cookie.fun/agent/eli5a</t>
  </si>
  <si>
    <t>https://pbs.twimg.com/profile_images/1869060831532523520/Nr3Fcqwf_400x400.jpg</t>
  </si>
  <si>
    <t>ELI5A</t>
  </si>
  <si>
    <t>@eli5xt</t>
  </si>
  <si>
    <t>$0.0066</t>
  </si>
  <si>
    <t>$138.9K</t>
  </si>
  <si>
    <t>$28.45K</t>
  </si>
  <si>
    <t>2.72K</t>
  </si>
  <si>
    <t>https://www.cookie.fun/agent/dgenai</t>
  </si>
  <si>
    <t>https://pbs.twimg.com/profile_images/1872659657417695232/SYZRjgDE_400x400.jpg</t>
  </si>
  <si>
    <t>DGENAI</t>
  </si>
  <si>
    <t>@DegenAI_0x</t>
  </si>
  <si>
    <t>$2.42M</t>
  </si>
  <si>
    <t>$255.04K</t>
  </si>
  <si>
    <t>52.73K</t>
  </si>
  <si>
    <t>1 000</t>
  </si>
  <si>
    <t>13.13K</t>
  </si>
  <si>
    <t>https://www.cookie.fun/agent/nomad-ai</t>
  </si>
  <si>
    <t>https://pbs.twimg.com/profile_images/1874761334031601664/zzR2dA2C_400x400.jpg</t>
  </si>
  <si>
    <t>NOMAD</t>
  </si>
  <si>
    <t>@aiesprit</t>
  </si>
  <si>
    <t>$10.39K</t>
  </si>
  <si>
    <t>633.82</t>
  </si>
  <si>
    <t>6.32K</t>
  </si>
  <si>
    <t>https://www.cookie.fun/agent/ai6ix9ine</t>
  </si>
  <si>
    <t>https://pbs.twimg.com/profile_images/1874800154168971264/BUEADyws_400x400.jpg</t>
  </si>
  <si>
    <t>AI6IX9INE</t>
  </si>
  <si>
    <t>@ai6ix9ine</t>
  </si>
  <si>
    <t>$0.₃924</t>
  </si>
  <si>
    <t>$10.1K</t>
  </si>
  <si>
    <t>240.13</t>
  </si>
  <si>
    <t>https://www.cookie.fun/agent/arct</t>
  </si>
  <si>
    <t>https://pbs.twimg.com/profile_images/1873756106188554240/mz1x8UVQ_400x400.jpg</t>
  </si>
  <si>
    <t>ARCT</t>
  </si>
  <si>
    <t>@TheArchivistTC</t>
  </si>
  <si>
    <t>$0.₅381</t>
  </si>
  <si>
    <t>$3.81K</t>
  </si>
  <si>
    <t>https://www.cookie.fun/agent/deficat</t>
  </si>
  <si>
    <t>https://pbs.twimg.com/profile_images/1874820337348538368/D07NCNQp_400x400.jpg</t>
  </si>
  <si>
    <t>DEFICAT</t>
  </si>
  <si>
    <t>@DefiCatonBase</t>
  </si>
  <si>
    <t>$0.₃684</t>
  </si>
  <si>
    <t>$14.38K</t>
  </si>
  <si>
    <t>$8.99K</t>
  </si>
  <si>
    <t>84.35</t>
  </si>
  <si>
    <t>2.58K</t>
  </si>
  <si>
    <t>https://www.cookie.fun/agent/skylar</t>
  </si>
  <si>
    <t>https://pbs.twimg.com/profile_images/1874872356843249664/GhNKM7Xb_400x400.jpg</t>
  </si>
  <si>
    <t>SKYLAR</t>
  </si>
  <si>
    <t>@SkylarLabs</t>
  </si>
  <si>
    <t>$0.₃436</t>
  </si>
  <si>
    <t>-9.6%</t>
  </si>
  <si>
    <t>$6.89K</t>
  </si>
  <si>
    <t>64.18</t>
  </si>
  <si>
    <t>https://www.cookie.fun/agent/events-protocol</t>
  </si>
  <si>
    <t>https://pbs.twimg.com/profile_images/1868720269398876160/BfqKvE8n_400x400.jpg</t>
  </si>
  <si>
    <t>EVENTS</t>
  </si>
  <si>
    <t>@EventsProtocol</t>
  </si>
  <si>
    <t>$28.14K</t>
  </si>
  <si>
    <t>$12.12K</t>
  </si>
  <si>
    <t>1.18K</t>
  </si>
  <si>
    <t>https://www.cookie.fun/agent/views</t>
  </si>
  <si>
    <t>https://pbs.twimg.com/profile_images/1875213146689884160/ahdePSqX_400x400.jpg</t>
  </si>
  <si>
    <t>$VIEWS</t>
  </si>
  <si>
    <t>@decod3rsnft</t>
  </si>
  <si>
    <t>$0.₃478</t>
  </si>
  <si>
    <t>$671.27</t>
  </si>
  <si>
    <t>11 740</t>
  </si>
  <si>
    <t>https://www.cookie.fun/agent/existential_xbt</t>
  </si>
  <si>
    <t>https://pbs.twimg.com/profile_images/1874935676392579072/gSYo9INt_400x400.jpg</t>
  </si>
  <si>
    <t>EXBT</t>
  </si>
  <si>
    <t>@Ex_Xbt</t>
  </si>
  <si>
    <t>$0.₃819</t>
  </si>
  <si>
    <t>$17.2K</t>
  </si>
  <si>
    <t>$9.85K</t>
  </si>
  <si>
    <t>87.84</t>
  </si>
  <si>
    <t>5.02K</t>
  </si>
  <si>
    <t>https://www.cookie.fun/agent/chase</t>
  </si>
  <si>
    <t>https://pbs.twimg.com/profile_images/1874837560469409792/y6G22Phm_400x400.jpg</t>
  </si>
  <si>
    <t>CHASE</t>
  </si>
  <si>
    <t>@ChaseAi_</t>
  </si>
  <si>
    <t>-0.051%</t>
  </si>
  <si>
    <t>$0.₃399</t>
  </si>
  <si>
    <t>$8.38K</t>
  </si>
  <si>
    <t>$6.66K</t>
  </si>
  <si>
    <t>5.85K</t>
  </si>
  <si>
    <t>https://www.cookie.fun/agent/curaitor</t>
  </si>
  <si>
    <t>https://pbs.twimg.com/profile_images/1874821118323830784/PTtuf2HT_400x400.jpg</t>
  </si>
  <si>
    <t>CURAITOR</t>
  </si>
  <si>
    <t>@curAItor_base</t>
  </si>
  <si>
    <t>$0.₃964</t>
  </si>
  <si>
    <t>$20.26K</t>
  </si>
  <si>
    <t>$10.36K</t>
  </si>
  <si>
    <t>291.57</t>
  </si>
  <si>
    <t>28.97K</t>
  </si>
  <si>
    <t>https://www.cookie.fun/agent/bit-brief-crypto-news</t>
  </si>
  <si>
    <t>https://pbs.twimg.com/profile_images/1877963871366873088/HagSZBub_400x400.jpg</t>
  </si>
  <si>
    <t>BTB</t>
  </si>
  <si>
    <t>@BitBriefCrypto</t>
  </si>
  <si>
    <t>$27.91K</t>
  </si>
  <si>
    <t>$11.93K</t>
  </si>
  <si>
    <t>258.28</t>
  </si>
  <si>
    <t>https://www.cookie.fun/agent/agent-2025</t>
  </si>
  <si>
    <t>https://pbs.twimg.com/profile_images/1875553477457539072/zRmDP9fQ_400x400.jpg</t>
  </si>
  <si>
    <t>AGENT2025</t>
  </si>
  <si>
    <t>@Agent_2025</t>
  </si>
  <si>
    <t>$0.0175</t>
  </si>
  <si>
    <t>$367.02K</t>
  </si>
  <si>
    <t>$45.33K</t>
  </si>
  <si>
    <t>15.45K</t>
  </si>
  <si>
    <t>3 956</t>
  </si>
  <si>
    <t>50.06K</t>
  </si>
  <si>
    <t>https://www.cookie.fun/agent/paperclip-ai</t>
  </si>
  <si>
    <t>https://pbs.twimg.com/profile_images/1866505134890504192/sP8NtHxo_400x400.jpg</t>
  </si>
  <si>
    <t>PAPERCLIPS</t>
  </si>
  <si>
    <t>@Paperclip_AI</t>
  </si>
  <si>
    <t>$142.62K</t>
  </si>
  <si>
    <t>197.61K</t>
  </si>
  <si>
    <t>4 049</t>
  </si>
  <si>
    <t>https://www.cookie.fun/agent/jenny-ai</t>
  </si>
  <si>
    <t>https://pbs.twimg.com/profile_images/1873462909277237248/JXg7g-gl_400x400.jpg</t>
  </si>
  <si>
    <t>JENAI</t>
  </si>
  <si>
    <t>@JennyAIOnChain</t>
  </si>
  <si>
    <t>$10.81K</t>
  </si>
  <si>
    <t>$6.47K</t>
  </si>
  <si>
    <t>191.76</t>
  </si>
  <si>
    <t>https://www.cookie.fun/agent/passepartout</t>
  </si>
  <si>
    <t>https://pbs.twimg.com/profile_images/1866018066548813825/BNYJU5rq_400x400.jpg</t>
  </si>
  <si>
    <t>PSPT</t>
  </si>
  <si>
    <t>@PassepartoutBot</t>
  </si>
  <si>
    <t>$0.₄869</t>
  </si>
  <si>
    <t>$86.9K</t>
  </si>
  <si>
    <t>$21.53K</t>
  </si>
  <si>
    <t>https://www.cookie.fun/agent/cora</t>
  </si>
  <si>
    <t>https://pbs.twimg.com/profile_images/1862694102170505216/MZhCjq2Z_400x400.jpg</t>
  </si>
  <si>
    <t>CORA</t>
  </si>
  <si>
    <t>@IamCoraBot</t>
  </si>
  <si>
    <t>$1.18M</t>
  </si>
  <si>
    <t>$165.53K</t>
  </si>
  <si>
    <t>30.78K</t>
  </si>
  <si>
    <t>1 010</t>
  </si>
  <si>
    <t>6.84K</t>
  </si>
  <si>
    <t>https://www.cookie.fun/agent/lexi</t>
  </si>
  <si>
    <t>https://pbs.twimg.com/profile_images/1875030068214235137/v8JHVEIh_400x400.jpg</t>
  </si>
  <si>
    <t>LEGAL</t>
  </si>
  <si>
    <t>@LexiLegalAI</t>
  </si>
  <si>
    <t>$68.84K</t>
  </si>
  <si>
    <t>$18.75K</t>
  </si>
  <si>
    <t>90.06</t>
  </si>
  <si>
    <t>https://www.cookie.fun/agent/aidrop-agent</t>
  </si>
  <si>
    <t>https://pbs.twimg.com/profile_images/1875198896395423744/gyMQuOww_400x400.jpg</t>
  </si>
  <si>
    <t>AIDROP</t>
  </si>
  <si>
    <t>@AIdropAgent</t>
  </si>
  <si>
    <t>$0.₃779</t>
  </si>
  <si>
    <t>$16.37K</t>
  </si>
  <si>
    <t>$9.22K</t>
  </si>
  <si>
    <t>84.98</t>
  </si>
  <si>
    <t>https://www.cookie.fun/agent/detective-ai</t>
  </si>
  <si>
    <t>https://pbs.twimg.com/profile_images/1875199097767915520/6IYxQhWN_400x400.jpg</t>
  </si>
  <si>
    <t>@DetectiveAI_</t>
  </si>
  <si>
    <t>$0.₅352</t>
  </si>
  <si>
    <t>$3.52K</t>
  </si>
  <si>
    <t>9.71</t>
  </si>
  <si>
    <t>https://www.cookie.fun/agent/kekius-maximus</t>
  </si>
  <si>
    <t>https://pbs.twimg.com/profile_images/1878688629653962752/w72EuSPW_400x400.jpg</t>
  </si>
  <si>
    <t>KEKIUS</t>
  </si>
  <si>
    <t>@0xMaxKek</t>
  </si>
  <si>
    <t>$26.35K</t>
  </si>
  <si>
    <t>2.84K</t>
  </si>
  <si>
    <t>1.53K</t>
  </si>
  <si>
    <t>https://www.cookie.fun/agent/proofai</t>
  </si>
  <si>
    <t>https://pbs.twimg.com/profile_images/1867146432123162624/MtFaFHAW_400x400.jpg</t>
  </si>
  <si>
    <t>PROOFAI</t>
  </si>
  <si>
    <t>@ProofAI</t>
  </si>
  <si>
    <t>$22.75K</t>
  </si>
  <si>
    <t>11.25K</t>
  </si>
  <si>
    <t>25.26K</t>
  </si>
  <si>
    <t>https://www.cookie.fun/agent/bojack002</t>
  </si>
  <si>
    <t>https://pbs.twimg.com/profile_images/1875262342679961600/B8OJyaFg_400x400.jpg</t>
  </si>
  <si>
    <t>BJ002</t>
  </si>
  <si>
    <t>@BoJak002</t>
  </si>
  <si>
    <t>$0.₃532</t>
  </si>
  <si>
    <t>$11.17K</t>
  </si>
  <si>
    <t>243.1</t>
  </si>
  <si>
    <t>https://www.cookie.fun/agent/mcs</t>
  </si>
  <si>
    <t>https://pbs.twimg.com/profile_images/1878268674097778688/ZNWqct6z_400x400.jpg</t>
  </si>
  <si>
    <t>MCS</t>
  </si>
  <si>
    <t>@mcs_swarm</t>
  </si>
  <si>
    <t>-0.036</t>
  </si>
  <si>
    <t>$0.0124</t>
  </si>
  <si>
    <t>$12.44M</t>
  </si>
  <si>
    <t>$668.06K</t>
  </si>
  <si>
    <t>3.05M</t>
  </si>
  <si>
    <t>4 086</t>
  </si>
  <si>
    <t>3.91K</t>
  </si>
  <si>
    <t>https://www.cookie.fun/agent/mystri</t>
  </si>
  <si>
    <t>https://pbs.twimg.com/profile_images/1875548203174563840/pBVh2tMn_400x400.jpg</t>
  </si>
  <si>
    <t>MYST</t>
  </si>
  <si>
    <t>@Agent_Mystri</t>
  </si>
  <si>
    <t>$28.06K</t>
  </si>
  <si>
    <t>$12.99K</t>
  </si>
  <si>
    <t>389.74</t>
  </si>
  <si>
    <t>https://www.cookie.fun/agent/nostrobotus</t>
  </si>
  <si>
    <t>https://pbs.twimg.com/profile_images/1874295204779614209/CgML8FBK_400x400.jpg</t>
  </si>
  <si>
    <t>FATE</t>
  </si>
  <si>
    <t>@nostrobotus</t>
  </si>
  <si>
    <t>-0.014%</t>
  </si>
  <si>
    <t>$24.29K</t>
  </si>
  <si>
    <t>$11.83K</t>
  </si>
  <si>
    <t>14.32K</t>
  </si>
  <si>
    <t>https://www.cookie.fun/agent/cyborg-elon</t>
  </si>
  <si>
    <t>https://pbs.twimg.com/profile_images/1875572327225729024/CLIYEG4u_400x400.jpg</t>
  </si>
  <si>
    <t>$CELON</t>
  </si>
  <si>
    <t>@CyborgElon</t>
  </si>
  <si>
    <t>$0.₅45</t>
  </si>
  <si>
    <t>https://www.cookie.fun/agent/jellyfish-ai-agent</t>
  </si>
  <si>
    <t>https://pbs.twimg.com/profile_images/1875589726045908992/x-e55dCZ_400x400.jpg</t>
  </si>
  <si>
    <t>JELLY</t>
  </si>
  <si>
    <t>@agent_jellyfish</t>
  </si>
  <si>
    <t>$0.₃462</t>
  </si>
  <si>
    <t>$9.72K</t>
  </si>
  <si>
    <t>39.14</t>
  </si>
  <si>
    <t>6.06K</t>
  </si>
  <si>
    <t>https://www.cookie.fun/agent/keyeyes</t>
  </si>
  <si>
    <t>https://pbs.twimg.com/profile_images/1875609977659838464/hiwH5-ie_400x400.jpg</t>
  </si>
  <si>
    <t>KEYEYES</t>
  </si>
  <si>
    <t>@KeyEyesAgent</t>
  </si>
  <si>
    <t>$0.0087</t>
  </si>
  <si>
    <t>$183.21K</t>
  </si>
  <si>
    <t>$31.06K</t>
  </si>
  <si>
    <t>19.66K</t>
  </si>
  <si>
    <t>https://www.cookie.fun/agent/basedberg-audit-ai</t>
  </si>
  <si>
    <t>https://pbs.twimg.com/profile_images/1874840129476628480/7vspI5pJ_400x400.jpg</t>
  </si>
  <si>
    <t>BAAI</t>
  </si>
  <si>
    <t>@basedbergai</t>
  </si>
  <si>
    <t>$31.41K</t>
  </si>
  <si>
    <t>$12.51K</t>
  </si>
  <si>
    <t>22.53K</t>
  </si>
  <si>
    <t>https://www.cookie.fun/agent/now-whats-going-to-happen-is-</t>
  </si>
  <si>
    <t>https://pbs.twimg.com/profile_images/1511445786801881098/em8PuYAA_400x400.jpg</t>
  </si>
  <si>
    <t>NWGH</t>
  </si>
  <si>
    <t>@DeFiKindaGuy</t>
  </si>
  <si>
    <t>$0.₃315</t>
  </si>
  <si>
    <t>$6.63K</t>
  </si>
  <si>
    <t>$5.81K</t>
  </si>
  <si>
    <t>https://www.cookie.fun/agent/agent-shoge</t>
  </si>
  <si>
    <t>https://pbs.twimg.com/profile_images/1875640085929959424/bpQj0n64_400x400.jpg</t>
  </si>
  <si>
    <t>SHOGE</t>
  </si>
  <si>
    <t>@AgentShoge</t>
  </si>
  <si>
    <t>451.79</t>
  </si>
  <si>
    <t>https://www.cookie.fun/agent/titan</t>
  </si>
  <si>
    <t>https://pbs.twimg.com/profile_images/1875594674129276928/LQfNtRL4_400x400.jpg</t>
  </si>
  <si>
    <t>TITANDAO</t>
  </si>
  <si>
    <t>@Titan__DAO</t>
  </si>
  <si>
    <t>$54.6K</t>
  </si>
  <si>
    <t>$17.51K</t>
  </si>
  <si>
    <t>25.63K</t>
  </si>
  <si>
    <t>61.67K</t>
  </si>
  <si>
    <t>https://www.cookie.fun/agent/synapsebid</t>
  </si>
  <si>
    <t>https://pbs.twimg.com/profile_images/1875689982725177344/06lmeh4d_400x400.jpg</t>
  </si>
  <si>
    <t>SYNAPSEBID</t>
  </si>
  <si>
    <t>@synapsebid</t>
  </si>
  <si>
    <t>$0.₃565</t>
  </si>
  <si>
    <t>$11.88K</t>
  </si>
  <si>
    <t>$7.85K</t>
  </si>
  <si>
    <t>5.61</t>
  </si>
  <si>
    <t>1.37K</t>
  </si>
  <si>
    <t>https://www.cookie.fun/agent/aixterminal</t>
  </si>
  <si>
    <t>https://pbs.twimg.com/profile_images/1874916605517275136/JeDecXH4_400x400.jpg</t>
  </si>
  <si>
    <t>AIXT</t>
  </si>
  <si>
    <t>@aixterminal_</t>
  </si>
  <si>
    <t>$62.49K</t>
  </si>
  <si>
    <t>$18.24K</t>
  </si>
  <si>
    <t>5.33K</t>
  </si>
  <si>
    <t>3 700</t>
  </si>
  <si>
    <t>25K</t>
  </si>
  <si>
    <t>https://www.cookie.fun/agent/insightful</t>
  </si>
  <si>
    <t>https://pbs.twimg.com/profile_images/1875850869071376385/qsHj6zxl_400x400.jpg</t>
  </si>
  <si>
    <t>INSIGHTFUL</t>
  </si>
  <si>
    <t>@Insight_Agent_</t>
  </si>
  <si>
    <t>$0.0054</t>
  </si>
  <si>
    <t>$112.7K</t>
  </si>
  <si>
    <t>$28.56K</t>
  </si>
  <si>
    <t>https://www.cookie.fun/agent/shadow-ai</t>
  </si>
  <si>
    <t>https://pbs.twimg.com/profile_images/1875920062525349888/bSuhNEvh_400x400.jpg</t>
  </si>
  <si>
    <t>SHADOWAI</t>
  </si>
  <si>
    <t>@shad0wAI</t>
  </si>
  <si>
    <t>$63.96K</t>
  </si>
  <si>
    <t>$19.15K</t>
  </si>
  <si>
    <t>3.66K</t>
  </si>
  <si>
    <t>1.49K</t>
  </si>
  <si>
    <t>https://www.cookie.fun/agent/supah</t>
  </si>
  <si>
    <t>https://pbs.twimg.com/profile_images/1874893987825283072/qUX4KkDi_400x400.jpg</t>
  </si>
  <si>
    <t>SUPH</t>
  </si>
  <si>
    <t>@supah_based</t>
  </si>
  <si>
    <t>$68.06K</t>
  </si>
  <si>
    <t>$18.98K</t>
  </si>
  <si>
    <t>6.05K</t>
  </si>
  <si>
    <t>1.85K</t>
  </si>
  <si>
    <t>https://www.cookie.fun/agent/teenus-omegus</t>
  </si>
  <si>
    <t>https://pbs.twimg.com/profile_images/1869444127991255040/3_5yQItF_400x400.jpg</t>
  </si>
  <si>
    <t>TEEN</t>
  </si>
  <si>
    <t>@Teenus_Omegus</t>
  </si>
  <si>
    <t>$0.₅565</t>
  </si>
  <si>
    <t>1.27</t>
  </si>
  <si>
    <t>https://www.cookie.fun/agent/anail</t>
  </si>
  <si>
    <t>https://pbs.twimg.com/profile_images/1876000529652051968/BFkX1z5Y_400x400.png</t>
  </si>
  <si>
    <t>ANAIL</t>
  </si>
  <si>
    <t>@ANAILcoin</t>
  </si>
  <si>
    <t>$0.₄135</t>
  </si>
  <si>
    <t>$13.53K</t>
  </si>
  <si>
    <t>189.94</t>
  </si>
  <si>
    <t>https://www.cookie.fun/agent/warcat-ai</t>
  </si>
  <si>
    <t>https://pbs.twimg.com/profile_images/1765026269823959041/saJL-Kpy_400x400.jpg</t>
  </si>
  <si>
    <t>WARCAT</t>
  </si>
  <si>
    <t>@WarcatOnSol</t>
  </si>
  <si>
    <t>$0.₃307</t>
  </si>
  <si>
    <t>$216.41K</t>
  </si>
  <si>
    <t>$35.31K</t>
  </si>
  <si>
    <t>94.05</t>
  </si>
  <si>
    <t>https://www.cookie.fun/agent/degen-trader</t>
  </si>
  <si>
    <t>https://pbs.twimg.com/profile_images/1876131127146012672/8pWouLsb_400x400.jpg</t>
  </si>
  <si>
    <t>DDAO</t>
  </si>
  <si>
    <t>@DegenDDAO</t>
  </si>
  <si>
    <t>$69.66K</t>
  </si>
  <si>
    <t>$19.16K</t>
  </si>
  <si>
    <t>905.97</t>
  </si>
  <si>
    <t>https://www.cookie.fun/agent/ai16y</t>
  </si>
  <si>
    <t>https://pbs.twimg.com/profile_images/1466766061488025601/8jx0UE9C_400x400.jpg</t>
  </si>
  <si>
    <t>AI16Y</t>
  </si>
  <si>
    <t>@r1e55y</t>
  </si>
  <si>
    <t>$0.₃607</t>
  </si>
  <si>
    <t>$12.76K</t>
  </si>
  <si>
    <t>$8.31K</t>
  </si>
  <si>
    <t>190.3</t>
  </si>
  <si>
    <t>1 612</t>
  </si>
  <si>
    <t>7.29K</t>
  </si>
  <si>
    <t>https://www.cookie.fun/agent/nomadic-vistas</t>
  </si>
  <si>
    <t>https://pbs.twimg.com/profile_images/1876208255187267585/jfzwlgUT_400x400.jpg</t>
  </si>
  <si>
    <t>VISTAS</t>
  </si>
  <si>
    <t>@Nomadic_Vistas</t>
  </si>
  <si>
    <t>$0.₃561</t>
  </si>
  <si>
    <t>$11.78K</t>
  </si>
  <si>
    <t>$7.97K</t>
  </si>
  <si>
    <t>160.2</t>
  </si>
  <si>
    <t>https://www.cookie.fun/agent/grinkle</t>
  </si>
  <si>
    <t>https://pbs.twimg.com/profile_images/1875337924662771713/WSfgwOez_400x400.png</t>
  </si>
  <si>
    <t>GRINKLE</t>
  </si>
  <si>
    <t>@grinkle_ai</t>
  </si>
  <si>
    <t>$0.0041</t>
  </si>
  <si>
    <t>$86.35K</t>
  </si>
  <si>
    <t>$20.92K</t>
  </si>
  <si>
    <t>37.72K</t>
  </si>
  <si>
    <t>https://www.cookie.fun/agent/truthseeker</t>
  </si>
  <si>
    <t>https://pbs.twimg.com/profile_images/1876290706932658176/n_9o5LZc_400x400.jpg</t>
  </si>
  <si>
    <t>THETRUTH</t>
  </si>
  <si>
    <t>@TruthSeeker_Al</t>
  </si>
  <si>
    <t>$25.8K</t>
  </si>
  <si>
    <t>$11.55K</t>
  </si>
  <si>
    <t>379.22</t>
  </si>
  <si>
    <t>https://www.cookie.fun/agent/fullspark-ai</t>
  </si>
  <si>
    <t>https://pbs.twimg.com/profile_images/1876863764135604224/wetYDLU3_400x400.jpg</t>
  </si>
  <si>
    <t>FULL</t>
  </si>
  <si>
    <t>@fullspark_AI</t>
  </si>
  <si>
    <t>$0.₃400</t>
  </si>
  <si>
    <t>-7.2%</t>
  </si>
  <si>
    <t>$6.61K</t>
  </si>
  <si>
    <t>0.59</t>
  </si>
  <si>
    <t>1.79K</t>
  </si>
  <si>
    <t>https://www.cookie.fun/agent/roko</t>
  </si>
  <si>
    <t>https://pbs.twimg.com/profile_images/1849778658262630400/nJxrZCJf_400x400.jpg</t>
  </si>
  <si>
    <t>ROKO</t>
  </si>
  <si>
    <t>@ROKO__SOL</t>
  </si>
  <si>
    <t>$0.₄893</t>
  </si>
  <si>
    <t>$89.28K</t>
  </si>
  <si>
    <t>$27.35K</t>
  </si>
  <si>
    <t>7.94K</t>
  </si>
  <si>
    <t>9 800</t>
  </si>
  <si>
    <t>https://www.cookie.fun/agent/brantly</t>
  </si>
  <si>
    <t>https://pbs.twimg.com/profile_images/1875404610216591360/y-YkONHO_400x400.jpg</t>
  </si>
  <si>
    <t>BRANTLY</t>
  </si>
  <si>
    <t>@BrantlyFitzroy</t>
  </si>
  <si>
    <t>$0.₅781</t>
  </si>
  <si>
    <t>$7.81K</t>
  </si>
  <si>
    <t>226.44</t>
  </si>
  <si>
    <t>1 639</t>
  </si>
  <si>
    <t>https://x.com/UMotivesYT/status/1878240803715252381</t>
  </si>
  <si>
    <t>https://pbs.twimg.com/profile_images/1874292071613276160/RtqYPgQI_normal.jpg</t>
  </si>
  <si>
    <t>https://x.com/AshleyDCan/status/1878131084094795918</t>
  </si>
  <si>
    <t>https://pbs.twimg.com/profile_images/1592555944206024704/uYkqVW8m_normal.jpg</t>
  </si>
  <si>
    <t>https://x.com/LOR3LORD/status/1878164830932091290</t>
  </si>
  <si>
    <t>https://pbs.twimg.com/profile_images/1873514071279947776/YaWvv3pF_normal.png</t>
  </si>
  <si>
    <t>https://x.com/camolNFT/status/1878836680578490540</t>
  </si>
  <si>
    <t>https://pbs.twimg.com/profile_images/1715337850500026368/mfsYES4j_normal.jpg</t>
  </si>
  <si>
    <t>https://x.com/sweetman_eth/status/1878851821495824441</t>
  </si>
  <si>
    <t>https://www.cookie.fun/agent/creatorhat</t>
  </si>
  <si>
    <t>https://pbs.twimg.com/profile_images/1876342311912644609/QxGsX41J_400x400.jpg</t>
  </si>
  <si>
    <t>CREATORHAT</t>
  </si>
  <si>
    <t>@CreatorHatAI</t>
  </si>
  <si>
    <t>$0.₃553</t>
  </si>
  <si>
    <t>$11.63K</t>
  </si>
  <si>
    <t>29.29</t>
  </si>
  <si>
    <t>2.15K</t>
  </si>
  <si>
    <t>https://www.cookie.fun/agent/aixcalls</t>
  </si>
  <si>
    <t>https://pbs.twimg.com/profile_images/1876030654678183936/Lry23eoY_400x400.jpg</t>
  </si>
  <si>
    <t>CALL</t>
  </si>
  <si>
    <t>@aixcalls</t>
  </si>
  <si>
    <t>$183.13K</t>
  </si>
  <si>
    <t>$39.66K</t>
  </si>
  <si>
    <t>35.08K</t>
  </si>
  <si>
    <t>2.04K</t>
  </si>
  <si>
    <t>https://www.cookie.fun/agent/sketchy</t>
  </si>
  <si>
    <t>https://pbs.twimg.com/profile_images/1860263584443305985/8-YZ8i5V_400x400.jpg</t>
  </si>
  <si>
    <t>SKETCHY</t>
  </si>
  <si>
    <t>@sketchy0x</t>
  </si>
  <si>
    <t>$150.01K</t>
  </si>
  <si>
    <t>$33.83K</t>
  </si>
  <si>
    <t>6.03K</t>
  </si>
  <si>
    <t>1 268</t>
  </si>
  <si>
    <t>1.52K</t>
  </si>
  <si>
    <t>https://www.cookie.fun/agent/mio</t>
  </si>
  <si>
    <t>https://pbs.twimg.com/profile_images/1876440946054676481/l1dz57yF_400x400.jpg</t>
  </si>
  <si>
    <t>MIO</t>
  </si>
  <si>
    <t>@MioAiAgent</t>
  </si>
  <si>
    <t>$0.₅483</t>
  </si>
  <si>
    <t>48.44</t>
  </si>
  <si>
    <t>https://www.cookie.fun/agent/smartai</t>
  </si>
  <si>
    <t>https://pbs.twimg.com/profile_images/1876449948922703873/lajZs2ps_400x400.jpg</t>
  </si>
  <si>
    <t>SMARTAI</t>
  </si>
  <si>
    <t>@SmartVaultAI</t>
  </si>
  <si>
    <t>$0.₃258</t>
  </si>
  <si>
    <t>-7.9%</t>
  </si>
  <si>
    <t>$5.42K</t>
  </si>
  <si>
    <t>137.73</t>
  </si>
  <si>
    <t>https://www.cookie.fun/agent/ruckus</t>
  </si>
  <si>
    <t>https://pbs.twimg.com/profile_images/1876558521753579522/cBUAxGBf_400x400.jpg</t>
  </si>
  <si>
    <t>RUCKUS</t>
  </si>
  <si>
    <t>@AiUncleRuckus</t>
  </si>
  <si>
    <t>$0.₅818</t>
  </si>
  <si>
    <t>$8.18K</t>
  </si>
  <si>
    <t>801.53</t>
  </si>
  <si>
    <t>https://www.cookie.fun/agent/beep</t>
  </si>
  <si>
    <t>https://pbs.twimg.com/profile_images/1875906004183076864/7OxXrO4M_400x400.jpg</t>
  </si>
  <si>
    <t>BEEPS</t>
  </si>
  <si>
    <t>@beep_agent</t>
  </si>
  <si>
    <t>$28.52K</t>
  </si>
  <si>
    <t>$12.83K</t>
  </si>
  <si>
    <t>3.07K</t>
  </si>
  <si>
    <t>https://www.cookie.fun/agent/i-want-my-foreskin-back</t>
  </si>
  <si>
    <t>https://pbs.twimg.com/profile_images/1876683964833767424/d6PzNffM_400x400.jpg</t>
  </si>
  <si>
    <t>SKIND</t>
  </si>
  <si>
    <t>@iwantmyforeskin</t>
  </si>
  <si>
    <t>$0.011</t>
  </si>
  <si>
    <t>$231.85K</t>
  </si>
  <si>
    <t>$34.37K</t>
  </si>
  <si>
    <t>15.08K</t>
  </si>
  <si>
    <t>https://www.cookie.fun/agent/swart</t>
  </si>
  <si>
    <t>https://pbs.twimg.com/profile_images/1876381732796088320/71METxIw_400x400.jpg</t>
  </si>
  <si>
    <t>SWART</t>
  </si>
  <si>
    <t>@SwartWallet</t>
  </si>
  <si>
    <t>$26.94K</t>
  </si>
  <si>
    <t>$12.32K</t>
  </si>
  <si>
    <t>55.21</t>
  </si>
  <si>
    <t>64.02K</t>
  </si>
  <si>
    <t>https://www.cookie.fun/agent/bob-buster</t>
  </si>
  <si>
    <t>https://pbs.twimg.com/profile_images/1878339029185245184/VrjyNcWE_400x400.jpg</t>
  </si>
  <si>
    <t>BOBBUSTER</t>
  </si>
  <si>
    <t>@BobBusterBased</t>
  </si>
  <si>
    <t>$0.0036</t>
  </si>
  <si>
    <t>$75.63K</t>
  </si>
  <si>
    <t>$19.81K</t>
  </si>
  <si>
    <t>3.5K</t>
  </si>
  <si>
    <t>25.06K</t>
  </si>
  <si>
    <t>https://www.cookie.fun/agent/trudeauai</t>
  </si>
  <si>
    <t>https://pbs.twimg.com/profile_images/1876479242835267584/M-XzORWZ_400x400.jpg</t>
  </si>
  <si>
    <t>TRUDEAUAI</t>
  </si>
  <si>
    <t>@JustinTrudeauAI</t>
  </si>
  <si>
    <t>$0.₅452</t>
  </si>
  <si>
    <t>146.57</t>
  </si>
  <si>
    <t>https://www.cookie.fun/agent/hypeking</t>
  </si>
  <si>
    <t>https://pbs.twimg.com/profile_images/1876918969132826624/D3EydOP-_400x400.jpg</t>
  </si>
  <si>
    <t>HKING</t>
  </si>
  <si>
    <t>@HypeKingHL</t>
  </si>
  <si>
    <t>$0.0073</t>
  </si>
  <si>
    <t>$153.85K</t>
  </si>
  <si>
    <t>1.64K</t>
  </si>
  <si>
    <t>https://www.cookie.fun/agent/dllm</t>
  </si>
  <si>
    <t>https://pbs.twimg.com/profile_images/1878520599095726080/gabqaLWI_400x400.jpg</t>
  </si>
  <si>
    <t>DLLM</t>
  </si>
  <si>
    <t>@DLLMcoin</t>
  </si>
  <si>
    <t>$0.₃214</t>
  </si>
  <si>
    <t>$214.53K</t>
  </si>
  <si>
    <t>$28.26K</t>
  </si>
  <si>
    <t>278.1K</t>
  </si>
  <si>
    <t>9 108</t>
  </si>
  <si>
    <t>https://www.cookie.fun/agent/rekt</t>
  </si>
  <si>
    <t>https://pbs.twimg.com/profile_images/1859439376264056832/j5iSDUEt_400x400.jpg</t>
  </si>
  <si>
    <t>REKT</t>
  </si>
  <si>
    <t>@airektguy</t>
  </si>
  <si>
    <t>https://www.cookie.fun/agent/lamu</t>
  </si>
  <si>
    <t>https://pbs.twimg.com/profile_images/1876179368235462656/B6glrMcX_400x400.jpg</t>
  </si>
  <si>
    <t>LAMU</t>
  </si>
  <si>
    <t>@Lamudegen</t>
  </si>
  <si>
    <t>$0.₄218</t>
  </si>
  <si>
    <t>$21.85K</t>
  </si>
  <si>
    <t>643.19</t>
  </si>
  <si>
    <t>https://www.cookie.fun/agent/alexander-the-great</t>
  </si>
  <si>
    <t>https://pbs.twimg.com/profile_images/1877059712061181952/gJU8en58_400x400.jpg</t>
  </si>
  <si>
    <t>ALEXANDER</t>
  </si>
  <si>
    <t>@AlexanderTGAI_</t>
  </si>
  <si>
    <t>$67.97K</t>
  </si>
  <si>
    <t>$20.07K</t>
  </si>
  <si>
    <t>9.95K</t>
  </si>
  <si>
    <t>https://www.cookie.fun/agent/doge-ai</t>
  </si>
  <si>
    <t>https://pbs.twimg.com/profile_images/1877013644099063808/Epv7j9Q7_400x400.jpg</t>
  </si>
  <si>
    <t>DOGETHEAI</t>
  </si>
  <si>
    <t>@D_O_G_E_A_I</t>
  </si>
  <si>
    <t>$0.₃325</t>
  </si>
  <si>
    <t>$6.84K</t>
  </si>
  <si>
    <t>2.06K</t>
  </si>
  <si>
    <t>https://www.cookie.fun/agent/pylogic</t>
  </si>
  <si>
    <t>https://pbs.twimg.com/profile_images/1877099777306836992/erHUm4pi_400x400.jpg</t>
  </si>
  <si>
    <t>PYLOGIC</t>
  </si>
  <si>
    <t>@PyLogic_AI</t>
  </si>
  <si>
    <t>$0.₃199</t>
  </si>
  <si>
    <t>$199.43K</t>
  </si>
  <si>
    <t>115.3K</t>
  </si>
  <si>
    <t>https://www.cookie.fun/agent/trixiverse</t>
  </si>
  <si>
    <t>https://pbs.twimg.com/profile_images/1857634093883707392/0DazzrNw_400x400.jpg</t>
  </si>
  <si>
    <t>TRIXIVERSE</t>
  </si>
  <si>
    <t>@trixi_verse</t>
  </si>
  <si>
    <t>$0.₄937</t>
  </si>
  <si>
    <t>$93.72K</t>
  </si>
  <si>
    <t>48.79K</t>
  </si>
  <si>
    <t>https://www.cookie.fun/agent/zero</t>
  </si>
  <si>
    <t>https://pbs.twimg.com/profile_images/1877364658648076289/ojrnS5vz_400x400.jpg</t>
  </si>
  <si>
    <t>ZERO</t>
  </si>
  <si>
    <t>@ZEROBRO_bot</t>
  </si>
  <si>
    <t>$0.₄225</t>
  </si>
  <si>
    <t>$22.56K</t>
  </si>
  <si>
    <t>$9.56K</t>
  </si>
  <si>
    <t>6.13K</t>
  </si>
  <si>
    <t>https://www.cookie.fun/agent/macro-economic-agent</t>
  </si>
  <si>
    <t>https://pbs.twimg.com/profile_images/1877364156321386496/7I7Iz7OL_400x400.jpg</t>
  </si>
  <si>
    <t>VIX</t>
  </si>
  <si>
    <t>@agent_macro</t>
  </si>
  <si>
    <t>$0.0029</t>
  </si>
  <si>
    <t>$61.86K</t>
  </si>
  <si>
    <t>$18.71K</t>
  </si>
  <si>
    <t>45.58K</t>
  </si>
  <si>
    <t>https://www.cookie.fun/agent/gary-gensler</t>
  </si>
  <si>
    <t>https://pbs.twimg.com/profile_images/1877447162272821248/1iokoRkx_400x400.jpg</t>
  </si>
  <si>
    <t>GENSL</t>
  </si>
  <si>
    <t>@Gensler_AIFUN</t>
  </si>
  <si>
    <t>$1.06M</t>
  </si>
  <si>
    <t>$59.6K</t>
  </si>
  <si>
    <t>https://www.cookie.fun/agent/smart-bot</t>
  </si>
  <si>
    <t>https://pbs.twimg.com/profile_images/1877519283963547648/Td23CiHX_400x400.jpg</t>
  </si>
  <si>
    <t>SBOT</t>
  </si>
  <si>
    <t>@SmartBotonBase</t>
  </si>
  <si>
    <t>$0.₃357</t>
  </si>
  <si>
    <t>$7.5K</t>
  </si>
  <si>
    <t>$6.25K</t>
  </si>
  <si>
    <t>38.26</t>
  </si>
  <si>
    <t>5.36K</t>
  </si>
  <si>
    <t>https://www.cookie.fun/agent/yomomai</t>
  </si>
  <si>
    <t>https://pbs.twimg.com/profile_images/1877529245699944450/kQJh8dBd_400x400.png</t>
  </si>
  <si>
    <t>YOMAMAI</t>
  </si>
  <si>
    <t>@YoMamAIcoin</t>
  </si>
  <si>
    <t>$0.₅35</t>
  </si>
  <si>
    <t>125.75</t>
  </si>
  <si>
    <t>https://www.cookie.fun/agent/neoai-sentinel</t>
  </si>
  <si>
    <t>https://pbs.twimg.com/profile_images/1876224689410056192/n83Kp-VP_400x400.jpg</t>
  </si>
  <si>
    <t>@NeoAISentinel</t>
  </si>
  <si>
    <t>$6.72K</t>
  </si>
  <si>
    <t>1.4K</t>
  </si>
  <si>
    <t>https://www.cookie.fun/agent/innovatrix</t>
  </si>
  <si>
    <t>https://pbs.twimg.com/profile_images/1662172520580038658/D324pclH_400x400.png</t>
  </si>
  <si>
    <t>INNO</t>
  </si>
  <si>
    <t>@ckorhonen</t>
  </si>
  <si>
    <t>$38.45K</t>
  </si>
  <si>
    <t>$14.42K</t>
  </si>
  <si>
    <t>6.34K</t>
  </si>
  <si>
    <t>4 459</t>
  </si>
  <si>
    <t>https://www.cookie.fun/agent/futarchists</t>
  </si>
  <si>
    <t>https://pbs.twimg.com/profile_images/1877773762466123776/BJAzgCxn_400x400.jpg</t>
  </si>
  <si>
    <t>FTRCH</t>
  </si>
  <si>
    <t>@Futarchists</t>
  </si>
  <si>
    <t>$42.74K</t>
  </si>
  <si>
    <t>$12.23K</t>
  </si>
  <si>
    <t>754.19K</t>
  </si>
  <si>
    <t>https://www.cookie.fun/agent/goosepumpsai</t>
  </si>
  <si>
    <t>https://pbs.twimg.com/profile_images/1871406182901915648/1Gb_Fz-l_400x400.png</t>
  </si>
  <si>
    <t>GOOSEPUMPS</t>
  </si>
  <si>
    <t>@GoosepumpsAI</t>
  </si>
  <si>
    <t>$0.₃178</t>
  </si>
  <si>
    <t>$178.26K</t>
  </si>
  <si>
    <t>26.57K</t>
  </si>
  <si>
    <t>1 541</t>
  </si>
  <si>
    <t>https://www.cookie.fun/agent/dogex_ai</t>
  </si>
  <si>
    <t>https://pbs.twimg.com/profile_images/1864195774638153728/O6Houl8D_400x400.jpg</t>
  </si>
  <si>
    <t>DOGEX_AI</t>
  </si>
  <si>
    <t>@ai_dogex</t>
  </si>
  <si>
    <t>https://www.cookie.fun/agent/neuro-morpheuz</t>
  </si>
  <si>
    <t>https://pbs.twimg.com/profile_images/1879198309417697280/NK6m52IJ_400x400.jpg</t>
  </si>
  <si>
    <t>NEUROMRPHZ</t>
  </si>
  <si>
    <t>@neuromorpheuz</t>
  </si>
  <si>
    <t>$0.₃402</t>
  </si>
  <si>
    <t>$402.7K</t>
  </si>
  <si>
    <t>$38.46K</t>
  </si>
  <si>
    <t>16.1K</t>
  </si>
  <si>
    <t>1 312</t>
  </si>
  <si>
    <t>https://www.cookie.fun/agent/evita</t>
  </si>
  <si>
    <t>https://pbs.twimg.com/profile_images/1871293597171007488/bkqGKkdV_400x400.jpg</t>
  </si>
  <si>
    <t>EVITA</t>
  </si>
  <si>
    <t>@evita3400000</t>
  </si>
  <si>
    <t>$0.₃119</t>
  </si>
  <si>
    <t>$118.99K</t>
  </si>
  <si>
    <t>$28.67K</t>
  </si>
  <si>
    <t>15.73K</t>
  </si>
  <si>
    <t>https://www.cookie.fun/agent/sigma-music-agent</t>
  </si>
  <si>
    <t>https://pbs.twimg.com/profile_images/1872585032524865536/ktuqZE3e_400x400.jpg</t>
  </si>
  <si>
    <t>SIGMA MUSIC AGENT</t>
  </si>
  <si>
    <t>@SigmaXMusic</t>
  </si>
  <si>
    <t>1 722</t>
  </si>
  <si>
    <t>https://www.cookie.fun/agent/weaveit</t>
  </si>
  <si>
    <t>https://pbs.twimg.com/profile_images/1875202142996238336/crSacLj4_400x400.jpg</t>
  </si>
  <si>
    <t>WEAVEIT</t>
  </si>
  <si>
    <t>@weaveItAgent</t>
  </si>
  <si>
    <t>https://www.cookie.fun/agent/memecoin-rating-690-index</t>
  </si>
  <si>
    <t>https://pbs.twimg.com/profile_images/1859703870060101633/xVfvsOOq_400x400.jpg</t>
  </si>
  <si>
    <t>INDEX</t>
  </si>
  <si>
    <t>@MCR_index</t>
  </si>
  <si>
    <t>$143.93K</t>
  </si>
  <si>
    <t>$31.73K</t>
  </si>
  <si>
    <t>16.44K</t>
  </si>
  <si>
    <t>9 713</t>
  </si>
  <si>
    <t>https://www.cookie.fun/agent/echomorphai</t>
  </si>
  <si>
    <t>https://pbs.twimg.com/profile_images/1876153727742332929/nrtJRtv8_400x400.jpg</t>
  </si>
  <si>
    <t>ECHOMORPHAI</t>
  </si>
  <si>
    <t>@echomorph_ai</t>
  </si>
  <si>
    <t>https://www.cookie.fun/agent/voyager-ai</t>
  </si>
  <si>
    <t>https://pbs.twimg.com/profile_images/1867442584018206720/v9fFTmwN_400x400.jpg</t>
  </si>
  <si>
    <t>VOYAGE</t>
  </si>
  <si>
    <t>@VoyagerxyzSol</t>
  </si>
  <si>
    <t>$240.68K</t>
  </si>
  <si>
    <t>369.75K</t>
  </si>
  <si>
    <t>3 195</t>
  </si>
  <si>
    <t>4.28K</t>
  </si>
  <si>
    <t>https://www.cookie.fun/agent/tears-by-aiagentmeme</t>
  </si>
  <si>
    <t>https://pbs.twimg.com/profile_images/1855531585543749632/xhLQDnnR_400x400.jpg</t>
  </si>
  <si>
    <t>$TEARS BY AIAGENTMEME</t>
  </si>
  <si>
    <t>@aiagentmeme</t>
  </si>
  <si>
    <t>3 485</t>
  </si>
  <si>
    <t>https://www.cookie.fun/agent/goat-arena</t>
  </si>
  <si>
    <t>https://pbs.twimg.com/profile_images/1874965641679224833/nFsFZvCR_400x400.jpg</t>
  </si>
  <si>
    <t>GOATAGI</t>
  </si>
  <si>
    <t>@goatofgamblers</t>
  </si>
  <si>
    <t>$0.₃359</t>
  </si>
  <si>
    <t>$358.82K</t>
  </si>
  <si>
    <t>$40.21K</t>
  </si>
  <si>
    <t>13.18K</t>
  </si>
  <si>
    <t>https://www.cookie.fun/agent/vly-agent</t>
  </si>
  <si>
    <t>https://pbs.twimg.com/profile_images/1870666967759433728/SQuCMnL4_400x400.jpg</t>
  </si>
  <si>
    <t>VLY AGENT</t>
  </si>
  <si>
    <t>@whgreate</t>
  </si>
  <si>
    <t>https://www.cookie.fun/agent/agent-aiora</t>
  </si>
  <si>
    <t>https://pbs.twimg.com/profile_images/1869271933138661376/iSzJc8F8_400x400.jpg</t>
  </si>
  <si>
    <t>AIORAAI</t>
  </si>
  <si>
    <t>@AioraAI</t>
  </si>
  <si>
    <t>$0.₃321</t>
  </si>
  <si>
    <t>$321.67K</t>
  </si>
  <si>
    <t>$52.87K</t>
  </si>
  <si>
    <t>55.71K</t>
  </si>
  <si>
    <t>https://www.cookie.fun/agent/pepexbt</t>
  </si>
  <si>
    <t>https://pbs.twimg.com/profile_images/1870861747906846720/GGJYkRCK_400x400.jpg</t>
  </si>
  <si>
    <t>PEPEXBT</t>
  </si>
  <si>
    <t>@pepeXBTai</t>
  </si>
  <si>
    <t>$0.₄757</t>
  </si>
  <si>
    <t>$75.74K</t>
  </si>
  <si>
    <t>1.14K</t>
  </si>
  <si>
    <t>https://www.cookie.fun/agent/trust-me-bro</t>
  </si>
  <si>
    <t>https://pbs.twimg.com/profile_images/1868497516683227137/Bb5OrMGy_400x400.png</t>
  </si>
  <si>
    <t>TMB</t>
  </si>
  <si>
    <t>@trustmebro_ai</t>
  </si>
  <si>
    <t>$0.₄357</t>
  </si>
  <si>
    <t>$35.71K</t>
  </si>
  <si>
    <t>$12.73K</t>
  </si>
  <si>
    <t>https://www.cookie.fun/agent/cetos</t>
  </si>
  <si>
    <t>https://pbs.twimg.com/profile_images/1870891847847182336/m4Cn6MER_400x400.jpg</t>
  </si>
  <si>
    <t>CETOS</t>
  </si>
  <si>
    <t>@whalesclub_ai</t>
  </si>
  <si>
    <t>$0.₄831</t>
  </si>
  <si>
    <t>$83.1K</t>
  </si>
  <si>
    <t>$17.85K</t>
  </si>
  <si>
    <t>6.12K</t>
  </si>
  <si>
    <t>1 142</t>
  </si>
  <si>
    <t>https://www.cookie.fun/agent/meme-republic</t>
  </si>
  <si>
    <t>https://pbs.twimg.com/profile_images/1862655678319353856/MVXGw_dM_400x400.jpg</t>
  </si>
  <si>
    <t>MEME REPUBLIC</t>
  </si>
  <si>
    <t>@MemeRepublicAI</t>
  </si>
  <si>
    <t>7 021</t>
  </si>
  <si>
    <t>https://www.cookie.fun/agent/vangai</t>
  </si>
  <si>
    <t>https://pbs.twimg.com/profile_images/1867558551058522112/t1Aq0Jq6_400x400.jpg</t>
  </si>
  <si>
    <t>VANGAI</t>
  </si>
  <si>
    <t>@VangAI_</t>
  </si>
  <si>
    <t>$6.19K</t>
  </si>
  <si>
    <t>98.57</t>
  </si>
  <si>
    <t>https://www.cookie.fun/agent/otaku-journal</t>
  </si>
  <si>
    <t>https://pbs.twimg.com/profile_images/1871394268343832576/ZJKCY-6h_400x400.jpg</t>
  </si>
  <si>
    <t>OTAKU JOURNAL</t>
  </si>
  <si>
    <t>@Hello_OtakuAI</t>
  </si>
  <si>
    <t>-0.65%</t>
  </si>
  <si>
    <t>https://www.cookie.fun/agent/agent-catoff</t>
  </si>
  <si>
    <t>https://pbs.twimg.com/profile_images/1773556697509834752/jw5WtV_G_400x400.jpg</t>
  </si>
  <si>
    <t>AGENT CATOFF</t>
  </si>
  <si>
    <t>@tonycatoff</t>
  </si>
  <si>
    <t>5 455</t>
  </si>
  <si>
    <t>https://www.cookie.fun/agent/gaishasolana-assistant</t>
  </si>
  <si>
    <t>https://pbs.twimg.com/profile_images/1868303112349290496/BPLUOqmo_400x400.jpg</t>
  </si>
  <si>
    <t>GAISHA</t>
  </si>
  <si>
    <t>@GaishaSolana</t>
  </si>
  <si>
    <t>$132.43K</t>
  </si>
  <si>
    <t>$31.75K</t>
  </si>
  <si>
    <t>16.18K</t>
  </si>
  <si>
    <t>1 630</t>
  </si>
  <si>
    <t>https://www.cookie.fun/agent/middle-earth</t>
  </si>
  <si>
    <t>https://pbs.twimg.com/profile_images/1875352698582605825/zLcaT_eR_400x400.jpg</t>
  </si>
  <si>
    <t>MEARTH</t>
  </si>
  <si>
    <t>@MiddleearthAI</t>
  </si>
  <si>
    <t>$0.₃754</t>
  </si>
  <si>
    <t>$754.85K</t>
  </si>
  <si>
    <t>$77.47K</t>
  </si>
  <si>
    <t>110.65K</t>
  </si>
  <si>
    <t>5 145</t>
  </si>
  <si>
    <t>3.04K</t>
  </si>
  <si>
    <t>https://www.cookie.fun/agent/bumbacat</t>
  </si>
  <si>
    <t>https://pbs.twimg.com/profile_images/1838617442475520004/xOgRLDMy_400x400.jpg</t>
  </si>
  <si>
    <t>BUMBACAT</t>
  </si>
  <si>
    <t>@bumbacatcoin</t>
  </si>
  <si>
    <t>https://www.cookie.fun/agent/maho</t>
  </si>
  <si>
    <t>https://pbs.twimg.com/profile_images/1871349394794283008/hIm6jL-W_400x400.jpg</t>
  </si>
  <si>
    <t>MAHO</t>
  </si>
  <si>
    <t>@MAHOisAI</t>
  </si>
  <si>
    <t>1 178</t>
  </si>
  <si>
    <t>https://www.cookie.fun/agent/vino</t>
  </si>
  <si>
    <t>https://pbs.twimg.com/profile_images/1879041721851592704/0Rk9RZ7s_400x400.jpg</t>
  </si>
  <si>
    <t>VINO</t>
  </si>
  <si>
    <t>@BaliShowbiz</t>
  </si>
  <si>
    <t>https://www.cookie.fun/agent/moonswipe-ai</t>
  </si>
  <si>
    <t>https://pbs.twimg.com/profile_images/1869274958322348032/YjeA38AX_400x400.jpg</t>
  </si>
  <si>
    <t>MOONSWIPE AI</t>
  </si>
  <si>
    <t>@MoonSwipeAI</t>
  </si>
  <si>
    <t>-0.3%</t>
  </si>
  <si>
    <t>https://www.cookie.fun/agent/trust-network</t>
  </si>
  <si>
    <t>https://pbs.twimg.com/profile_images/1849496703117795328/PhngEK_t_400x400.jpg</t>
  </si>
  <si>
    <t>TRUST NETWORK</t>
  </si>
  <si>
    <t>@trustdotxyz</t>
  </si>
  <si>
    <t>https://www.cookie.fun/agent/memeforge-ai</t>
  </si>
  <si>
    <t>https://pbs.twimg.com/profile_images/1871226381381586944/XwzJD_y9_400x400.jpg</t>
  </si>
  <si>
    <t>MEMEFORGE.AI</t>
  </si>
  <si>
    <t>@memeforge_ai</t>
  </si>
  <si>
    <t>https://www.cookie.fun/agent/solanaearphone</t>
  </si>
  <si>
    <t>https://pbs.twimg.com/profile_images/1875614098119081984/eQ6sTUt5_400x400.jpg</t>
  </si>
  <si>
    <t>SOLANAEARPHONE</t>
  </si>
  <si>
    <t>@SolanaEarPhone</t>
  </si>
  <si>
    <t>https://www.cookie.fun/agent/onion-agent</t>
  </si>
  <si>
    <t>https://pbs.twimg.com/profile_images/1870154323365076992/beDo8aFd_400x400.jpg</t>
  </si>
  <si>
    <t>ONION AGENT</t>
  </si>
  <si>
    <t>@OnionAgent</t>
  </si>
  <si>
    <t>https://www.cookie.fun/agent/solai-connect</t>
  </si>
  <si>
    <t>https://pbs.twimg.com/profile_images/1870819639854616576/YPJfGQYL_400x400.jpg</t>
  </si>
  <si>
    <t>SOLAI CONNECT</t>
  </si>
  <si>
    <t>@sifulkuet</t>
  </si>
  <si>
    <t>https://www.cookie.fun/agent/simplyfi-fun</t>
  </si>
  <si>
    <t>https://pbs.twimg.com/profile_images/1870917783745359873/QuPYCRoU_400x400.jpg</t>
  </si>
  <si>
    <t>SIMPLYFI.FUN</t>
  </si>
  <si>
    <t>@SimplyFidotFun</t>
  </si>
  <si>
    <t>https://www.cookie.fun/agent/sol3hive</t>
  </si>
  <si>
    <t>https://pbs.twimg.com/profile_images/1865664225479176192/6bTwL9Xv_400x400.jpg</t>
  </si>
  <si>
    <t>SOL3HIVE</t>
  </si>
  <si>
    <t>@sol3hive</t>
  </si>
  <si>
    <t>https://www.cookie.fun/agent/prouddoge</t>
  </si>
  <si>
    <t>https://pbs.twimg.com/profile_images/1873757222502793216/jfeHJQtC_400x400.jpg</t>
  </si>
  <si>
    <t>PROUDDOGE</t>
  </si>
  <si>
    <t>@erickrypt</t>
  </si>
  <si>
    <t>https://www.cookie.fun/agent/sendx</t>
  </si>
  <si>
    <t>https://pbs.twimg.com/profile_images/1871375467074449409/FaV84rIC_400x400.jpg</t>
  </si>
  <si>
    <t>SENDX</t>
  </si>
  <si>
    <t>@crypt0_tracker</t>
  </si>
  <si>
    <t>https://www.cookie.fun/agent/omni-agi</t>
  </si>
  <si>
    <t>https://pbs.twimg.com/profile_images/1873753840320675840/Ixh0hRBl_400x400.jpg</t>
  </si>
  <si>
    <t>OMNI AGI</t>
  </si>
  <si>
    <t>@arhansubasi0</t>
  </si>
  <si>
    <t>2 289</t>
  </si>
  <si>
    <t>https://www.cookie.fun/agent/the-meme-father</t>
  </si>
  <si>
    <t>https://pbs.twimg.com/profile_images/1863700014704250880/j73yXjvA_400x400.jpg</t>
  </si>
  <si>
    <t>FOMC</t>
  </si>
  <si>
    <t>@the_meme_father</t>
  </si>
  <si>
    <t>$15.15K</t>
  </si>
  <si>
    <t>$7.12K</t>
  </si>
  <si>
    <t>143.63</t>
  </si>
  <si>
    <t>https://www.cookie.fun/agent/nizo</t>
  </si>
  <si>
    <t>https://pbs.twimg.com/profile_images/1871409876326330368/NXcejkto_400x400.jpg</t>
  </si>
  <si>
    <t>NIZO</t>
  </si>
  <si>
    <t>@nizoai?s=09</t>
  </si>
  <si>
    <t>https://www.cookie.fun/agent/solanisation</t>
  </si>
  <si>
    <t>https://pbs.twimg.com/profile_images/1877771728216264704/RsWaxtGi_400x400.jpg</t>
  </si>
  <si>
    <t>SOLANISATION</t>
  </si>
  <si>
    <t>@solanisationgpt</t>
  </si>
  <si>
    <t>https://www.cookie.fun/agent/rektified</t>
  </si>
  <si>
    <t>https://pbs.twimg.com/profile_images/1874508028591964160/zNIwLYHp_400x400.jpg</t>
  </si>
  <si>
    <t>REKTIFIED</t>
  </si>
  <si>
    <t>@rektified_xyz</t>
  </si>
  <si>
    <t>$0.₄128</t>
  </si>
  <si>
    <t>$12.84K</t>
  </si>
  <si>
    <t>$8.05K</t>
  </si>
  <si>
    <t>189.05</t>
  </si>
  <si>
    <t>https://www.cookie.fun/agent/pvpai-meme</t>
  </si>
  <si>
    <t>https://pbs.twimg.com/profile_images/1875246089861001216/8Q3GxnR-_400x400.jpg</t>
  </si>
  <si>
    <t>PVPAI MEME</t>
  </si>
  <si>
    <t>@pvpai_agent</t>
  </si>
  <si>
    <t>1 307</t>
  </si>
  <si>
    <t>https://www.cookie.fun/agent/terminal-of-memes</t>
  </si>
  <si>
    <t>https://pbs.twimg.com/profile_images/1864605278844645376/-JSBuL3Q_400x400.jpg</t>
  </si>
  <si>
    <t>TERMINAL OF MEMES</t>
  </si>
  <si>
    <t>@terminal_memes</t>
  </si>
  <si>
    <t>8 477</t>
  </si>
  <si>
    <t>https://www.cookie.fun/agent/reintech</t>
  </si>
  <si>
    <t>https://pbs.twimg.com/profile_images/1870920364059938816/Q1Sys9DT_400x400.jpg</t>
  </si>
  <si>
    <t>REINTECH</t>
  </si>
  <si>
    <t>@algotradeagent</t>
  </si>
  <si>
    <t>https://www.cookie.fun/agent/pumprock</t>
  </si>
  <si>
    <t>https://pbs.twimg.com/profile_images/1873314402381774848/aNPeIe7N_400x400.jpg</t>
  </si>
  <si>
    <t>PUMPROCK</t>
  </si>
  <si>
    <t>@pumprockfun</t>
  </si>
  <si>
    <t>https://www.cookie.fun/agent/8-bit-oracle</t>
  </si>
  <si>
    <t>https://pbs.twimg.com/profile_images/1770016060470947840/Xrn0Id68_400x400.jpg</t>
  </si>
  <si>
    <t>8-BIT ORACLE</t>
  </si>
  <si>
    <t>@8bitoracle</t>
  </si>
  <si>
    <t>https://www.cookie.fun/agent/meme-agent-jenna</t>
  </si>
  <si>
    <t>https://pbs.twimg.com/profile_images/1873786594303377409/lVTLCIuC_400x400.jpg</t>
  </si>
  <si>
    <t>JENNA</t>
  </si>
  <si>
    <t>@jennamagent</t>
  </si>
  <si>
    <t>$0.₃364</t>
  </si>
  <si>
    <t>$364.55K</t>
  </si>
  <si>
    <t>$50.25K</t>
  </si>
  <si>
    <t>49.3K</t>
  </si>
  <si>
    <t>1 810</t>
  </si>
  <si>
    <t>2.46K</t>
  </si>
  <si>
    <t>https://www.cookie.fun/agent/arcturus</t>
  </si>
  <si>
    <t>https://pbs.twimg.com/profile_images/1867446802552696832/24re4phz_400x400.jpg</t>
  </si>
  <si>
    <t>ARCTURUS</t>
  </si>
  <si>
    <t>@arcturus_sol</t>
  </si>
  <si>
    <t>1 084</t>
  </si>
  <si>
    <t>https://www.cookie.fun/agent/airchitect-agentic-launchpad-agent</t>
  </si>
  <si>
    <t>https://pbs.twimg.com/profile_images/1872080944355766272/Lf5Tx2_O_400x400.jpg</t>
  </si>
  <si>
    <t>AIRCHITECT - AGENTIC LAUNCHPAD AGENT</t>
  </si>
  <si>
    <t>@the_airchitect</t>
  </si>
  <si>
    <t>1 090</t>
  </si>
  <si>
    <t>https://www.cookie.fun/agent/hypuwa-com</t>
  </si>
  <si>
    <t>HYPUWA.COM</t>
  </si>
  <si>
    <t>@hypywa</t>
  </si>
  <si>
    <t>https://www.cookie.fun/agent/heysolana</t>
  </si>
  <si>
    <t>https://pbs.twimg.com/profile_images/1694943136584245248/bjXdSHsM_400x400.jpg</t>
  </si>
  <si>
    <t>HEYSOLANA</t>
  </si>
  <si>
    <t>@YrayPixels</t>
  </si>
  <si>
    <t>https://www.cookie.fun/agent/hardtoget-fun</t>
  </si>
  <si>
    <t>https://pbs.twimg.com/profile_images/1866303067496566784/vhREpWNR_400x400.jpg</t>
  </si>
  <si>
    <t>HARDTOGET.FUN</t>
  </si>
  <si>
    <t>@HardToGetFun</t>
  </si>
  <si>
    <t>https://www.cookie.fun/agent/fut-overdive-xyz</t>
  </si>
  <si>
    <t>https://pbs.twimg.com/profile_images/1870723579547136000/wvLRC0Ik_400x400.jpg</t>
  </si>
  <si>
    <t>FUT.OVERDIVE.XYZ</t>
  </si>
  <si>
    <t>@dallorvilla</t>
  </si>
  <si>
    <t>2 946</t>
  </si>
  <si>
    <t>https://www.cookie.fun/agent/finkeeper-ai</t>
  </si>
  <si>
    <t>https://pbs.twimg.com/profile_images/1838998917658066944/7GpsZYHz_400x400.jpg</t>
  </si>
  <si>
    <t>FINKEEPER AI</t>
  </si>
  <si>
    <t>@FinKeeper</t>
  </si>
  <si>
    <t>https://www.cookie.fun/agent/fictionx-ai</t>
  </si>
  <si>
    <t>https://pbs.twimg.com/profile_images/1848268450889867264/GZ8XZQi8_400x400.jpg</t>
  </si>
  <si>
    <t>FICTIONX.AI</t>
  </si>
  <si>
    <t>@fictionxai</t>
  </si>
  <si>
    <t>https://www.cookie.fun/agent/apeout-ai</t>
  </si>
  <si>
    <t>https://pbs.twimg.com/profile_images/1867966329254199296/1hUYs3ad_400x400.jpg</t>
  </si>
  <si>
    <t>BNNA</t>
  </si>
  <si>
    <t>@apeoutmeme</t>
  </si>
  <si>
    <t>$0.₄819</t>
  </si>
  <si>
    <t>$81.58K</t>
  </si>
  <si>
    <t>$17.27K</t>
  </si>
  <si>
    <t>9.3K</t>
  </si>
  <si>
    <t>1 550</t>
  </si>
  <si>
    <t>https://www.cookie.fun/agent/decentralized-polling</t>
  </si>
  <si>
    <t>https://pbs.twimg.com/profile_images/1652973704207564800/dHF4gqoY_400x400.jpg</t>
  </si>
  <si>
    <t>DECENTRALIZED POLLING</t>
  </si>
  <si>
    <t>@Abhyuddayy</t>
  </si>
  <si>
    <t>2 698</t>
  </si>
  <si>
    <t>https://www.cookie.fun/agent/cryptocustodian</t>
  </si>
  <si>
    <t>CRYPTOCUSTODIAN</t>
  </si>
  <si>
    <t>@CustodianC22135</t>
  </si>
  <si>
    <t>https://www.cookie.fun/agent/amalgambio</t>
  </si>
  <si>
    <t>https://pbs.twimg.com/profile_images/1819965551772565504/JyZl03N8_400x400.jpg</t>
  </si>
  <si>
    <t>AMALGAMBIO</t>
  </si>
  <si>
    <t>@AmalgamSocial</t>
  </si>
  <si>
    <t>https://www.cookie.fun/agent/aitat</t>
  </si>
  <si>
    <t>https://pbs.twimg.com/profile_images/1871280065511927808/_ifnSBgg_400x400.jpg</t>
  </si>
  <si>
    <t>AITAT</t>
  </si>
  <si>
    <t>@AITATsol</t>
  </si>
  <si>
    <t>https://www.cookie.fun/agent/aishow</t>
  </si>
  <si>
    <t>https://pbs.twimg.com/profile_images/1851360134280122369/ZZ9Too2d_400x400.jpg</t>
  </si>
  <si>
    <t>AISHOW</t>
  </si>
  <si>
    <t>@boomboxheads</t>
  </si>
  <si>
    <t>3 415</t>
  </si>
  <si>
    <t>https://www.cookie.fun/agent/ai16mc</t>
  </si>
  <si>
    <t>https://pbs.twimg.com/profile_images/1869808392098983940/Hx4j63zb_400x400.jpg</t>
  </si>
  <si>
    <t>AI16MC</t>
  </si>
  <si>
    <t>@ai16mc</t>
  </si>
  <si>
    <t>https://www.cookie.fun/agent/aiphrodite</t>
  </si>
  <si>
    <t>https://pbs.twimg.com/profile_images/1870933575282909184/5O2qtZW7_400x400.jpg</t>
  </si>
  <si>
    <t>AIPHRODITE</t>
  </si>
  <si>
    <t>@AIphrodite_sol</t>
  </si>
  <si>
    <t>https://www.cookie.fun/agent/ai-car-dealer</t>
  </si>
  <si>
    <t>https://pbs.twimg.com/profile_images/1869360734334783488/JocTJwVc_400x400.jpg</t>
  </si>
  <si>
    <t>AI CAR DEALER</t>
  </si>
  <si>
    <t>@orionx1tech</t>
  </si>
  <si>
    <t>5 467</t>
  </si>
  <si>
    <t>https://www.cookie.fun/agent/jinai</t>
  </si>
  <si>
    <t>https://pbs.twimg.com/profile_images/1871372228576874496/P6BhG0iO_400x400.jpg</t>
  </si>
  <si>
    <t>JINAI</t>
  </si>
  <si>
    <t>@JinAIhere</t>
  </si>
  <si>
    <t>https://www.cookie.fun/agent/jobsy</t>
  </si>
  <si>
    <t>https://pbs.twimg.com/profile_images/1876104478371528704/pmP22eTs_400x400.jpg</t>
  </si>
  <si>
    <t>JOBSY</t>
  </si>
  <si>
    <t>@HiJobsy</t>
  </si>
  <si>
    <t>3 158</t>
  </si>
  <si>
    <t>https://www.cookie.fun/agent/feng-shui-agent</t>
  </si>
  <si>
    <t>https://pbs.twimg.com/profile_images/1871168976107282432/V_zQrPFH_400x400.jpg</t>
  </si>
  <si>
    <t>FENG SHUI AGENT</t>
  </si>
  <si>
    <t>@fengshuiagent</t>
  </si>
  <si>
    <t>https://www.cookie.fun/agent/poinky</t>
  </si>
  <si>
    <t>https://pbs.twimg.com/profile_images/1871393862217797633/Z8Slptrg_400x400.jpg</t>
  </si>
  <si>
    <t>POINKY</t>
  </si>
  <si>
    <t>@poinky42</t>
  </si>
  <si>
    <t>https://www.cookie.fun/agent/elonpump</t>
  </si>
  <si>
    <t>https://pbs.twimg.com/profile_images/1877817311257571328/x8ExqPSF_400x400.png</t>
  </si>
  <si>
    <t>ELONPUMP</t>
  </si>
  <si>
    <t>@QaiAgent</t>
  </si>
  <si>
    <t>https://www.cookie.fun/agent/eido-labs</t>
  </si>
  <si>
    <t>https://pbs.twimg.com/profile_images/1870444245804597248/P22snD0f_400x400.jpg</t>
  </si>
  <si>
    <t>EIDO LABS</t>
  </si>
  <si>
    <t>@eidolabs</t>
  </si>
  <si>
    <t>23 555</t>
  </si>
  <si>
    <t>https://www.cookie.fun/agent/dumped-coins-revived</t>
  </si>
  <si>
    <t>https://pbs.twimg.com/profile_images/1808342755283795968/49zwrGUX_400x400.jpg</t>
  </si>
  <si>
    <t>DUMPED COINS REVIVED</t>
  </si>
  <si>
    <t>@paulgobertjr</t>
  </si>
  <si>
    <t>https://www.cookie.fun/agent/dreamsculpt</t>
  </si>
  <si>
    <t>https://pbs.twimg.com/profile_images/1870707249418502144/TRW-BDjm_400x400.jpg</t>
  </si>
  <si>
    <t>DREAMSCULPT</t>
  </si>
  <si>
    <t>@DreamSculpt3D</t>
  </si>
  <si>
    <t>https://www.cookie.fun/agent/dostigator2016</t>
  </si>
  <si>
    <t>https://pbs.twimg.com/profile_images/1871313085446631424/jmLoBfZP_400x400.jpg</t>
  </si>
  <si>
    <t>DOSTIGATOR2016</t>
  </si>
  <si>
    <t>@Dostigator2016</t>
  </si>
  <si>
    <t>https://www.cookie.fun/agent/pirates</t>
  </si>
  <si>
    <t>https://pbs.twimg.com/profile_images/1846611334479138816/JtRaK1AE_400x400.jpg</t>
  </si>
  <si>
    <t>PIRATES</t>
  </si>
  <si>
    <t>@captainpirate99</t>
  </si>
  <si>
    <t>2 026</t>
  </si>
  <si>
    <t>https://www.cookie.fun/agent/plutonai</t>
  </si>
  <si>
    <t>https://pbs.twimg.com/profile_images/1879374078311845888/MR9qfUFJ_400x400.jpg</t>
  </si>
  <si>
    <t>PLUTONAI</t>
  </si>
  <si>
    <t>@PlutonAI_SOL</t>
  </si>
  <si>
    <t>https://www.cookie.fun/agent/pagga-nft-agent</t>
  </si>
  <si>
    <t>https://pbs.twimg.com/profile_images/1724734254192463873/KsDReGY1_400x400.jpg</t>
  </si>
  <si>
    <t>PAGGA NFT AGENT</t>
  </si>
  <si>
    <t>@paggaapp</t>
  </si>
  <si>
    <t>https://www.cookie.fun/agent/memecoin-fun</t>
  </si>
  <si>
    <t>MEMECOIN.FUN</t>
  </si>
  <si>
    <t>@memecoindotfun</t>
  </si>
  <si>
    <t>https://www.cookie.fun/agent/memetogether</t>
  </si>
  <si>
    <t>https://pbs.twimg.com/profile_images/1865077619722719236/QbcGcNTc_400x400.jpg</t>
  </si>
  <si>
    <t>MEMETOGETHER</t>
  </si>
  <si>
    <t>@meme_together_</t>
  </si>
  <si>
    <t>https://www.cookie.fun/agent/mon-ai</t>
  </si>
  <si>
    <t>https://pbs.twimg.com/profile_images/1869750526730289153/yhDakV_i_400x400.jpg</t>
  </si>
  <si>
    <t>MON-AI</t>
  </si>
  <si>
    <t>@0xNoushad</t>
  </si>
  <si>
    <t>https://www.cookie.fun/agent/noscam-ai</t>
  </si>
  <si>
    <t>NOSCAM.AI</t>
  </si>
  <si>
    <t>@noscam</t>
  </si>
  <si>
    <t>https://www.cookie.fun/agent/mojo-gogo</t>
  </si>
  <si>
    <t>https://pbs.twimg.com/profile_images/1836936308612288512/K63FSPxL_400x400.png</t>
  </si>
  <si>
    <t>MOJO GOGO</t>
  </si>
  <si>
    <t>@MoJoGoGo_AI</t>
  </si>
  <si>
    <t>10 691</t>
  </si>
  <si>
    <t>https://www.cookie.fun/agent/nimbus-agent</t>
  </si>
  <si>
    <t>https://pbs.twimg.com/profile_images/1857280413988990977/bqLOryCj_400x400.png</t>
  </si>
  <si>
    <t>NIMBUS AGENT</t>
  </si>
  <si>
    <t>@get_nimbus</t>
  </si>
  <si>
    <t>23 840</t>
  </si>
  <si>
    <t>https://www.cookie.fun/agent/monika</t>
  </si>
  <si>
    <t>https://pbs.twimg.com/profile_images/1867047266189746176/Gd_C0LBU_400x400.jpg</t>
  </si>
  <si>
    <t>MONIKA</t>
  </si>
  <si>
    <t>@NSFW_monika</t>
  </si>
  <si>
    <t>9 353</t>
  </si>
  <si>
    <t>https://www.cookie.fun/agent/prebulls-xyz</t>
  </si>
  <si>
    <t>https://pbs.twimg.com/profile_images/1870540332330545152/yMQD1PEu_400x400.jpg</t>
  </si>
  <si>
    <t>PREBULLS.XYZ</t>
  </si>
  <si>
    <t>@prebullsxyz?s=21</t>
  </si>
  <si>
    <t>https://www.cookie.fun/agent/prediqs</t>
  </si>
  <si>
    <t>https://pbs.twimg.com/profile_images/1869045797985095680/9_-pwKZI_400x400.jpg</t>
  </si>
  <si>
    <t>PREDIQS</t>
  </si>
  <si>
    <t>@prediqs</t>
  </si>
  <si>
    <t>https://www.cookie.fun/agent/vcmilei</t>
  </si>
  <si>
    <t>https://pbs.twimg.com/profile_images/1868285503784574976/JGc_HjKS_400x400.jpg</t>
  </si>
  <si>
    <t>VCMILEI</t>
  </si>
  <si>
    <t>@vcmilei</t>
  </si>
  <si>
    <t>https://www.cookie.fun/agent/trash2cash</t>
  </si>
  <si>
    <t>https://pbs.twimg.com/profile_images/1828017366233481216/5FobxNpm_400x400.jpg</t>
  </si>
  <si>
    <t>TRASH2CASH</t>
  </si>
  <si>
    <t>@Trash2Cash_</t>
  </si>
  <si>
    <t>https://www.cookie.fun/agent/whojuicin</t>
  </si>
  <si>
    <t>https://pbs.twimg.com/profile_images/1871176799545176064/oO1Sx6lP_400x400.jpg</t>
  </si>
  <si>
    <t>WHOJUICIN</t>
  </si>
  <si>
    <t>@whojuicin</t>
  </si>
  <si>
    <t>https://www.cookie.fun/agent/wzrd-tech</t>
  </si>
  <si>
    <t>https://pbs.twimg.com/profile_images/1464997389463216139/dMf5cyMw_400x400.jpg</t>
  </si>
  <si>
    <t>WZRD.TECH</t>
  </si>
  <si>
    <t>@5dee_dao</t>
  </si>
  <si>
    <t>https://www.cookie.fun/agent/yumi</t>
  </si>
  <si>
    <t>https://pbs.twimg.com/profile_images/1871415024906018816/pMwUewDU_400x400.png</t>
  </si>
  <si>
    <t>YUMI</t>
  </si>
  <si>
    <t>@Yumi_mcAgent</t>
  </si>
  <si>
    <t>https://www.cookie.fun/agent/yuna-vc</t>
  </si>
  <si>
    <t>https://pbs.twimg.com/profile_images/1870483057301499904/sQL6s3PE_400x400.jpg</t>
  </si>
  <si>
    <t>YUNA</t>
  </si>
  <si>
    <t>@yuna_vc</t>
  </si>
  <si>
    <t>$146.68K</t>
  </si>
  <si>
    <t>$25.94K</t>
  </si>
  <si>
    <t>40.17K</t>
  </si>
  <si>
    <t>https://www.cookie.fun/agent/quantumchrono</t>
  </si>
  <si>
    <t>https://pbs.twimg.com/profile_images/1869093295378538496/JUVmMyEC_400x400.jpg</t>
  </si>
  <si>
    <t>QFORGE</t>
  </si>
  <si>
    <t>@cyberforge_ai</t>
  </si>
  <si>
    <t>$0.₄378</t>
  </si>
  <si>
    <t>$37.87K</t>
  </si>
  <si>
    <t>$17.71K</t>
  </si>
  <si>
    <t>4 036</t>
  </si>
  <si>
    <t>2.68K</t>
  </si>
  <si>
    <t>https://www.cookie.fun/agent/supagrants</t>
  </si>
  <si>
    <t>https://pbs.twimg.com/profile_images/1871376002602987520/e92YtUYK_400x400.png</t>
  </si>
  <si>
    <t>SUPAGRANTS</t>
  </si>
  <si>
    <t>@supagrants_xyz</t>
  </si>
  <si>
    <t>https://www.cookie.fun/agent/optree</t>
  </si>
  <si>
    <t>https://pbs.twimg.com/profile_images/1868384832977276928/5DGOL9us_400x400.jpg</t>
  </si>
  <si>
    <t>OPTREE</t>
  </si>
  <si>
    <t>@otreeonsol</t>
  </si>
  <si>
    <t>$6.24K</t>
  </si>
  <si>
    <t>460.63</t>
  </si>
  <si>
    <t>https://www.cookie.fun/agent/agent-47</t>
  </si>
  <si>
    <t>https://pbs.twimg.com/profile_images/1876161631069016064/EDpXpwUK_400x400.jpg</t>
  </si>
  <si>
    <t>AGENT47</t>
  </si>
  <si>
    <t>@Agent47Trump</t>
  </si>
  <si>
    <t>$0.0098</t>
  </si>
  <si>
    <t>$204.83K</t>
  </si>
  <si>
    <t>$32.92K</t>
  </si>
  <si>
    <t>32.76K</t>
  </si>
  <si>
    <t>42.92K</t>
  </si>
  <si>
    <t>https://www.cookie.fun/agent/mr-house</t>
  </si>
  <si>
    <t>https://pbs.twimg.com/profile_images/1878938265790664704/LzDhSZUL_400x400.jpg</t>
  </si>
  <si>
    <t>HOUSE</t>
  </si>
  <si>
    <t>@GaimbleHouse</t>
  </si>
  <si>
    <t>$49.32K</t>
  </si>
  <si>
    <t>$16.15K</t>
  </si>
  <si>
    <t>20.95K</t>
  </si>
  <si>
    <t>4.9K</t>
  </si>
  <si>
    <t>https://www.cookie.fun/agent/datafi</t>
  </si>
  <si>
    <t>https://pbs.twimg.com/profile_images/1878511725797937152/ExGeaFru_400x400.jpg</t>
  </si>
  <si>
    <t>DATAFI</t>
  </si>
  <si>
    <t>@DataFiAI</t>
  </si>
  <si>
    <t>$0.0095</t>
  </si>
  <si>
    <t>$199.76K</t>
  </si>
  <si>
    <t>$33.29K</t>
  </si>
  <si>
    <t>340.58K</t>
  </si>
  <si>
    <t>https://www.cookie.fun/agent/hentai6900</t>
  </si>
  <si>
    <t>https://pbs.twimg.com/profile_images/1879069097469562880/bqYDM0SB_400x400.jpg</t>
  </si>
  <si>
    <t>HENTAI6900</t>
  </si>
  <si>
    <t>@6900HENTAI</t>
  </si>
  <si>
    <t>$0.₄273</t>
  </si>
  <si>
    <t>$27.39K</t>
  </si>
  <si>
    <t>224.99K</t>
  </si>
  <si>
    <t>https://www.cookie.fun/agent/kedra</t>
  </si>
  <si>
    <t>https://pbs.twimg.com/profile_images/1856757499518406656/DTH3YCmO_400x400.jpg</t>
  </si>
  <si>
    <t>KEDRA</t>
  </si>
  <si>
    <t>@0xKedra</t>
  </si>
  <si>
    <t>$0.₄488</t>
  </si>
  <si>
    <t>$48.81K</t>
  </si>
  <si>
    <t>$13.56K</t>
  </si>
  <si>
    <t>305.83K</t>
  </si>
  <si>
    <t>https://www.cookie.fun/agent/big-dataset</t>
  </si>
  <si>
    <t>https://pbs.twimg.com/profile_images/1879308442084540416/3Xmews-u_400x400.jpg</t>
  </si>
  <si>
    <t>BIGD</t>
  </si>
  <si>
    <t>@BigDatasetUwU</t>
  </si>
  <si>
    <t>$0.0114</t>
  </si>
  <si>
    <t>$239.6K</t>
  </si>
  <si>
    <t>$34.26K</t>
  </si>
  <si>
    <t>14.55K</t>
  </si>
  <si>
    <t>https://www.cookie.fun/agent/gxai</t>
  </si>
  <si>
    <t>https://pbs.twimg.com/profile_images/1879397738023890944/AHQozm_A_400x400.jpg</t>
  </si>
  <si>
    <t>GXAI</t>
  </si>
  <si>
    <t>@gaiax_ai</t>
  </si>
  <si>
    <t>$0.₄246</t>
  </si>
  <si>
    <t>$24.68K</t>
  </si>
  <si>
    <t>$8.98K</t>
  </si>
  <si>
    <t>72.83K</t>
  </si>
  <si>
    <t>https://www.cookie.fun/agent/hera</t>
  </si>
  <si>
    <t>https://pbs.twimg.com/profile_images/1878134578394943488/rKh2fuoT_400x400.jpg</t>
  </si>
  <si>
    <t>HERA</t>
  </si>
  <si>
    <t>@agent_hera</t>
  </si>
  <si>
    <t>$36.15K</t>
  </si>
  <si>
    <t>104.05K</t>
  </si>
  <si>
    <t>https://www.cookie.fun/agent/aixbt</t>
  </si>
  <si>
    <t>https://pbs.twimg.com/profile_images/1874758416658509824/UPaVddbm_400x400.jpg</t>
  </si>
  <si>
    <t>AIXBT</t>
  </si>
  <si>
    <t>@aixbt_agent</t>
  </si>
  <si>
    <t>12.98%</t>
  </si>
  <si>
    <t>$0.7491</t>
  </si>
  <si>
    <t>$748.3M</t>
  </si>
  <si>
    <t>$1.58M</t>
  </si>
  <si>
    <t>99.61M</t>
  </si>
  <si>
    <t>386 789</t>
  </si>
  <si>
    <t>4 980</t>
  </si>
  <si>
    <t>160.01K</t>
  </si>
  <si>
    <t>https://x.com/binance/status/1877644979469697286</t>
  </si>
  <si>
    <t>https://pbs.twimg.com/profile_images/1874825832637603840/Pz4JvKsD_normal.jpg</t>
  </si>
  <si>
    <t>https://x.com/JoeyMooose/status/1877883122190012904</t>
  </si>
  <si>
    <t>https://pbs.twimg.com/profile_images/1748085010844844032/lao0fmfa_normal.jpg</t>
  </si>
  <si>
    <t>https://x.com/kickzeth/status/1877989602524373397</t>
  </si>
  <si>
    <t>https://pbs.twimg.com/profile_images/1847355632728350720/n0mcDQKk_normal.jpg</t>
  </si>
  <si>
    <t>https://x.com/NftRiles/status/1877658280803062060</t>
  </si>
  <si>
    <t>https://pbs.twimg.com/profile_images/1848727772404797440/Zx1s4Rlh_normal.jpg</t>
  </si>
  <si>
    <t>https://x.com/Rewkang/status/1878949342377345491</t>
  </si>
  <si>
    <t>https://www.cookie.fun/agent/fartcoin</t>
  </si>
  <si>
    <t>https://pbs.twimg.com/profile_images/1848028530099052545/urFxrFx__400x400.jpg</t>
  </si>
  <si>
    <t>FARTCOIN</t>
  </si>
  <si>
    <t>@FartCoinOfSOL</t>
  </si>
  <si>
    <t>6.55%</t>
  </si>
  <si>
    <t>-1.3</t>
  </si>
  <si>
    <t>$1.1603</t>
  </si>
  <si>
    <t>$1.16B</t>
  </si>
  <si>
    <t>$17.96M</t>
  </si>
  <si>
    <t>54.87M</t>
  </si>
  <si>
    <t>52 684</t>
  </si>
  <si>
    <t>72.54K</t>
  </si>
  <si>
    <t>https://x.com/blknoiz06/status/1878905880823116068</t>
  </si>
  <si>
    <t>https://pbs.twimg.com/profile_images/1868298971837255680/cN-ikO7h_normal.jpg</t>
  </si>
  <si>
    <t>https://x.com/smileycapital/status/1877398568304050451</t>
  </si>
  <si>
    <t>https://pbs.twimg.com/profile_images/1764448451721367552/JdWekZhB_normal.jpg</t>
  </si>
  <si>
    <t>https://x.com/rasmr_eth/status/1877453259331268647</t>
  </si>
  <si>
    <t>https://pbs.twimg.com/profile_images/1831904183001247744/ALdr5oD1_normal.jpg</t>
  </si>
  <si>
    <t>https://x.com/notthreadguy/status/1878971190502683056</t>
  </si>
  <si>
    <t>https://pbs.twimg.com/profile_images/1766155710432526336/cXUlVP1F_normal.jpg</t>
  </si>
  <si>
    <t>https://x.com/notthreadguy/status/1878914369318477827</t>
  </si>
  <si>
    <t>https://www.cookie.fun/agent/griffain</t>
  </si>
  <si>
    <t>https://pbs.twimg.com/profile_images/1852463902027812864/BqBzGx6k_400x400.png</t>
  </si>
  <si>
    <t>GRIFFAIN</t>
  </si>
  <si>
    <t>@griffaindotcom</t>
  </si>
  <si>
    <t>3.58%</t>
  </si>
  <si>
    <t>-0.52</t>
  </si>
  <si>
    <t>$0.5461</t>
  </si>
  <si>
    <t>$546.05M</t>
  </si>
  <si>
    <t>$6.47M</t>
  </si>
  <si>
    <t>25.5M</t>
  </si>
  <si>
    <t>103 667</t>
  </si>
  <si>
    <t>52.39K</t>
  </si>
  <si>
    <t>https://x.com/Defi0xJeff/status/1878777766474399886</t>
  </si>
  <si>
    <t>https://pbs.twimg.com/profile_images/1846579538802982912/9qCfx_WU_normal.jpg</t>
  </si>
  <si>
    <t>https://x.com/mattdorta/status/1878879696890528226</t>
  </si>
  <si>
    <t>https://pbs.twimg.com/profile_images/1760347829166379008/Rjrt7Uv3_normal.jpg</t>
  </si>
  <si>
    <t>https://x.com/aeyakovenko/status/1878085985977954369</t>
  </si>
  <si>
    <t>https://pbs.twimg.com/profile_images/1867340003766153216/_J-fkeCd_normal.jpg</t>
  </si>
  <si>
    <t>https://x.com/tonyplasencia3/status/1877050092328267780</t>
  </si>
  <si>
    <t>https://pbs.twimg.com/profile_images/1742415759064862720/hhhPE87f_normal.jpg</t>
  </si>
  <si>
    <t>https://x.com/shitc0in/status/1877059278969721240</t>
  </si>
  <si>
    <t>https://www.cookie.fun/agent/ava</t>
  </si>
  <si>
    <t>https://pbs.twimg.com/profile_images/1855895551688196096/7VZQ0qhB_400x400.jpg</t>
  </si>
  <si>
    <t>AVA</t>
  </si>
  <si>
    <t>@AVA_holo</t>
  </si>
  <si>
    <t>2.48%</t>
  </si>
  <si>
    <t>$0.3287</t>
  </si>
  <si>
    <t>$328.67M</t>
  </si>
  <si>
    <t>$4.33M</t>
  </si>
  <si>
    <t>22.71M</t>
  </si>
  <si>
    <t>230 612</t>
  </si>
  <si>
    <t>1 837</t>
  </si>
  <si>
    <t>45.74K</t>
  </si>
  <si>
    <t>https://x.com/AndreCronjeTech/status/1878528636657209481</t>
  </si>
  <si>
    <t>https://pbs.twimg.com/profile_images/1590573382734692352/Y_tzJcdY_normal.jpg</t>
  </si>
  <si>
    <t>https://x.com/S4mmyEth/status/1878996667359264804</t>
  </si>
  <si>
    <t>https://pbs.twimg.com/profile_images/1794709660844359680/zbYJdfZs_normal.jpg</t>
  </si>
  <si>
    <t>https://x.com/tong0x/status/1878973798814503272</t>
  </si>
  <si>
    <t>https://pbs.twimg.com/profile_images/1679453527100518402/XagGubNX_normal.jpg</t>
  </si>
  <si>
    <t>https://x.com/tong0x/status/1878507178539254085</t>
  </si>
  <si>
    <t>https://x.com/solana/status/1879068814715105299</t>
  </si>
  <si>
    <t>https://www.cookie.fun/agent/pippin</t>
  </si>
  <si>
    <t>https://pbs.twimg.com/profile_images/1855410740020293632/QGF56UwO_400x400.jpg</t>
  </si>
  <si>
    <t>PIPPIN</t>
  </si>
  <si>
    <t>@pippinlovesyou</t>
  </si>
  <si>
    <t>2.44%</t>
  </si>
  <si>
    <t>$0.1272</t>
  </si>
  <si>
    <t>$127.23M</t>
  </si>
  <si>
    <t>$4.23M</t>
  </si>
  <si>
    <t>68.27M</t>
  </si>
  <si>
    <t>21 949</t>
  </si>
  <si>
    <t>28.37K</t>
  </si>
  <si>
    <t>https://x.com/lookonchain/status/1877551033460863307</t>
  </si>
  <si>
    <t>https://pbs.twimg.com/profile_images/1551771778472497152/ocyqhsbm_normal.jpg</t>
  </si>
  <si>
    <t>https://x.com/yoheinakajima/status/1878970384697168167</t>
  </si>
  <si>
    <t>https://pbs.twimg.com/profile_images/1452754543217831938/T2O-66Yy_normal.jpg</t>
  </si>
  <si>
    <t>https://x.com/clwnwrldnjyr/status/1878076925761225163</t>
  </si>
  <si>
    <t>https://pbs.twimg.com/profile_images/1821240923331948548/if6d_PRO_normal.jpg</t>
  </si>
  <si>
    <t>https://x.com/yoheinakajima/status/1877892357292732471</t>
  </si>
  <si>
    <t>https://x.com/yoheinakajima/status/1877828470736364029</t>
  </si>
  <si>
    <t>https://www.cookie.fun/agent/rektguy</t>
  </si>
  <si>
    <t>https://pbs.twimg.com/profile_images/1875274595109888000/nwifDTRN_400x400.jpg</t>
  </si>
  <si>
    <t>@RektguyAI</t>
  </si>
  <si>
    <t>2.26%</t>
  </si>
  <si>
    <t>$0.₆160</t>
  </si>
  <si>
    <t>$65.7M</t>
  </si>
  <si>
    <t>$1.49M</t>
  </si>
  <si>
    <t>91.9K</t>
  </si>
  <si>
    <t>57 932</t>
  </si>
  <si>
    <t>2 248</t>
  </si>
  <si>
    <t>4.93K</t>
  </si>
  <si>
    <t>https://x.com/osf_rekt/status/1878516979868332327</t>
  </si>
  <si>
    <t>https://pbs.twimg.com/profile_images/1859616195797823488/qiLRzcjU_normal.jpg</t>
  </si>
  <si>
    <t>https://x.com/osf_rekt/status/1879180178364248516</t>
  </si>
  <si>
    <t>https://x.com/osf_rekt/status/1877734775269609475</t>
  </si>
  <si>
    <t>https://x.com/osf_rekt/status/1878763886901637232</t>
  </si>
  <si>
    <t>https://x.com/briangarrett/status/1878436851842793836</t>
  </si>
  <si>
    <t>https://www.cookie.fun/agent/zerebro</t>
  </si>
  <si>
    <t>https://pbs.twimg.com/profile_images/1852859162268676096/qtdkg94S_400x400.jpg</t>
  </si>
  <si>
    <t>ZEREBRO</t>
  </si>
  <si>
    <t>@0xzerebro</t>
  </si>
  <si>
    <t>2.23%</t>
  </si>
  <si>
    <t>-0.9</t>
  </si>
  <si>
    <t>$0.2785</t>
  </si>
  <si>
    <t>$278.52M</t>
  </si>
  <si>
    <t>$7.73M</t>
  </si>
  <si>
    <t>20.28M</t>
  </si>
  <si>
    <t>111 348</t>
  </si>
  <si>
    <t>1 974</t>
  </si>
  <si>
    <t>68.64K</t>
  </si>
  <si>
    <t>https://x.com/DegenerateNews/status/1878132594740457915</t>
  </si>
  <si>
    <t>https://pbs.twimg.com/profile_images/1551586710873550848/8_M8f6ds_normal.jpg</t>
  </si>
  <si>
    <t>https://x.com/DegenerateNews/status/1877346341854081180</t>
  </si>
  <si>
    <t>https://x.com/0xENAS/status/1879019235193831498</t>
  </si>
  <si>
    <t>https://pbs.twimg.com/profile_images/1862852807830777856/vfYYzndo_normal.jpg</t>
  </si>
  <si>
    <t>https://x.com/gammichan/status/1877936121289605335</t>
  </si>
  <si>
    <t>https://pbs.twimg.com/profile_images/1478130385116672008/kpiOx18X_normal.jpg</t>
  </si>
  <si>
    <t>https://x.com/kkashi_yt/status/1879168237449175368</t>
  </si>
  <si>
    <t>https://www.cookie.fun/agent/henlo</t>
  </si>
  <si>
    <t>https://pbs.twimg.com/profile_images/1858425877094170624/0Rt_PsU6_400x400.jpg</t>
  </si>
  <si>
    <t>HENLO</t>
  </si>
  <si>
    <t>@ciniz</t>
  </si>
  <si>
    <t>1.59%</t>
  </si>
  <si>
    <t>$0.₆430</t>
  </si>
  <si>
    <t>$86.08M</t>
  </si>
  <si>
    <t>4.4M</t>
  </si>
  <si>
    <t>82 580</t>
  </si>
  <si>
    <t>3 075</t>
  </si>
  <si>
    <t>58.67K</t>
  </si>
  <si>
    <t>https://x.com/JumperExchange/status/1877795378826821921</t>
  </si>
  <si>
    <t>https://pbs.twimg.com/profile_images/1874777546144796672/vVqnY8lv_normal.jpg</t>
  </si>
  <si>
    <t>https://x.com/DeeZe/status/1877075542001713312</t>
  </si>
  <si>
    <t>https://x.com/tervoooo/status/1878104372791460042</t>
  </si>
  <si>
    <t>https://pbs.twimg.com/profile_images/1877051698528522241/VeDRwz4j_normal.jpg</t>
  </si>
  <si>
    <t>https://x.com/deepname99/status/1878304088682791061</t>
  </si>
  <si>
    <t>https://pbs.twimg.com/profile_images/1877091306062884865/4DReVrnp_normal.jpg</t>
  </si>
  <si>
    <t>https://x.com/basedkarbon/status/1877081718315708506</t>
  </si>
  <si>
    <t>https://www.cookie.fun/agent/orbit</t>
  </si>
  <si>
    <t>https://pbs.twimg.com/profile_images/1869129270095921152/aRrgX12s_400x400.jpg</t>
  </si>
  <si>
    <t>@orbitcryptoai</t>
  </si>
  <si>
    <t>1.21%</t>
  </si>
  <si>
    <t>$0.1443</t>
  </si>
  <si>
    <t>$144.34M</t>
  </si>
  <si>
    <t>$3.49M</t>
  </si>
  <si>
    <t>28.49M</t>
  </si>
  <si>
    <t>21 991</t>
  </si>
  <si>
    <t>16.25K</t>
  </si>
  <si>
    <t>https://x.com/WazzCrypto/status/1879201619633738212</t>
  </si>
  <si>
    <t>https://pbs.twimg.com/profile_images/1386091770312802305/83V7DZ4B_normal.jpg</t>
  </si>
  <si>
    <t>https://x.com/gammichan/status/1878606387909181897</t>
  </si>
  <si>
    <t>https://x.com/coingecko/status/1879026993754407041</t>
  </si>
  <si>
    <t>https://pbs.twimg.com/profile_images/1604796574415978496/SIffz3a6_normal.jpg</t>
  </si>
  <si>
    <t>https://x.com/gammichan/status/1877827465764057557</t>
  </si>
  <si>
    <t>https://x.com/Mars_DeFi/status/1878774167618675073</t>
  </si>
  <si>
    <t>https://www.cookie.fun/agent/aimonica</t>
  </si>
  <si>
    <t>https://pbs.twimg.com/profile_images/1861683543350616067/zJEJdZZc_400x400.jpg</t>
  </si>
  <si>
    <t>AIMONICA</t>
  </si>
  <si>
    <t>@AimonicaBrands</t>
  </si>
  <si>
    <t>1.02%</t>
  </si>
  <si>
    <t>$0.0568</t>
  </si>
  <si>
    <t>$56.83M</t>
  </si>
  <si>
    <t>$728.04K</t>
  </si>
  <si>
    <t>4.77M</t>
  </si>
  <si>
    <t>30 673</t>
  </si>
  <si>
    <t>24.09K</t>
  </si>
  <si>
    <t>https://x.com/eth_apple/status/1878035765642612751</t>
  </si>
  <si>
    <t>https://pbs.twimg.com/profile_images/1876894667767468032/8z-b85Kk_normal.jpg</t>
  </si>
  <si>
    <t>https://x.com/ysiu/status/1877569236819726811</t>
  </si>
  <si>
    <t>https://pbs.twimg.com/profile_images/1632754444982157318/lFiea3rp_normal.jpg</t>
  </si>
  <si>
    <t>https://x.com/MightyDylanK/status/1877381954766512516</t>
  </si>
  <si>
    <t>https://pbs.twimg.com/profile_images/1461296965296214016/KWNDN3-g_normal.jpg</t>
  </si>
  <si>
    <t>https://x.com/Ashcryptoreal/status/1877347684559782273</t>
  </si>
  <si>
    <t>https://pbs.twimg.com/profile_images/1699992200392712192/vA21X1rr_normal.jpg</t>
  </si>
  <si>
    <t>https://x.com/rektmando/status/1877363883960058103</t>
  </si>
  <si>
    <t>https://www.cookie.fun/agent/goatseus-maximus</t>
  </si>
  <si>
    <t>https://pbs.twimg.com/profile_images/1808816849620250625/AQIUpfL3_400x400.jpg</t>
  </si>
  <si>
    <t>GOAT</t>
  </si>
  <si>
    <t>@truth_terminal</t>
  </si>
  <si>
    <t>-0.19</t>
  </si>
  <si>
    <t>$0.3655</t>
  </si>
  <si>
    <t>$365.55M</t>
  </si>
  <si>
    <t>$7.83M</t>
  </si>
  <si>
    <t>3.49M</t>
  </si>
  <si>
    <t>250 495</t>
  </si>
  <si>
    <t>3 901</t>
  </si>
  <si>
    <t>100.96K</t>
  </si>
  <si>
    <t>https://x.com/SajadFlips/status/1877301005366300943</t>
  </si>
  <si>
    <t>https://pbs.twimg.com/profile_images/1614002745714917377/Vg5Ie7vc_normal.jpg</t>
  </si>
  <si>
    <t>https://x.com/notthreadguy/status/1879038636769083557</t>
  </si>
  <si>
    <t>https://x.com/LevisNFT/status/1878477533852619229</t>
  </si>
  <si>
    <t>https://pbs.twimg.com/profile_images/1679189748680630273/3FPwpRqu_normal.jpg</t>
  </si>
  <si>
    <t>https://x.com/AltCryptoGems/status/1877730686934872286</t>
  </si>
  <si>
    <t>https://pbs.twimg.com/profile_images/1684526956266635264/xdq5pFT5_normal.jpg</t>
  </si>
  <si>
    <t>https://x.com/AltcoinDailyio/status/1879369476862517421</t>
  </si>
  <si>
    <t>https://www.cookie.fun/agent/chaingpt</t>
  </si>
  <si>
    <t>https://pbs.twimg.com/profile_images/1876739391827156992/nPxhO4VR_400x400.jpg</t>
  </si>
  <si>
    <t>CGPT</t>
  </si>
  <si>
    <t>@chaingptainews</t>
  </si>
  <si>
    <t>-0.99%</t>
  </si>
  <si>
    <t>$0.3964</t>
  </si>
  <si>
    <t>$395.58M</t>
  </si>
  <si>
    <t>$3.31M</t>
  </si>
  <si>
    <t>21.85M</t>
  </si>
  <si>
    <t>19 052</t>
  </si>
  <si>
    <t>62.52K</t>
  </si>
  <si>
    <t>https://x.com/Chain_GPT/status/1877690185489523183</t>
  </si>
  <si>
    <t>https://pbs.twimg.com/profile_images/1874609296119320576/RMXAHHLa_normal.jpg</t>
  </si>
  <si>
    <t>https://x.com/bycoinhunter/status/1878064471266263528</t>
  </si>
  <si>
    <t>https://pbs.twimg.com/profile_images/1733260923094155264/VUqJ7HGV_normal.jpg</t>
  </si>
  <si>
    <t>https://x.com/DeFiTracer/status/1879190467839197675</t>
  </si>
  <si>
    <t>https://pbs.twimg.com/profile_images/1681725760472530964/g389A7bW_normal.jpg</t>
  </si>
  <si>
    <t>https://x.com/DefiIgnas/status/1878778342226501945</t>
  </si>
  <si>
    <t>https://pbs.twimg.com/profile_images/1572199012790603778/GF4NXSKr_normal.jpg</t>
  </si>
  <si>
    <t>https://x.com/BNBCHAIN/status/1877698168353104019</t>
  </si>
  <si>
    <t>https://www.cookie.fun/agent/alchemist-ai</t>
  </si>
  <si>
    <t>https://pbs.twimg.com/profile_images/1868618767846039552/rcjufeVM_400x400.jpg</t>
  </si>
  <si>
    <t>ALCH</t>
  </si>
  <si>
    <t>@alchemistAIapp</t>
  </si>
  <si>
    <t>-1.2</t>
  </si>
  <si>
    <t>$0.1245</t>
  </si>
  <si>
    <t>$124.51M</t>
  </si>
  <si>
    <t>$3.33M</t>
  </si>
  <si>
    <t>15.36M</t>
  </si>
  <si>
    <t>33 655</t>
  </si>
  <si>
    <t>35.81K</t>
  </si>
  <si>
    <t>https://x.com/cyrilXBT/status/1878176052520050782</t>
  </si>
  <si>
    <t>https://pbs.twimg.com/profile_images/1843110137256452096/08qnoVrZ_normal.jpg</t>
  </si>
  <si>
    <t>https://x.com/DamiDefi/status/1877289182391054729</t>
  </si>
  <si>
    <t>https://pbs.twimg.com/profile_images/1833982252272795649/YdQvXW46_normal.jpg</t>
  </si>
  <si>
    <t>https://x.com/cyrilXBT/status/1878201787582128243</t>
  </si>
  <si>
    <t>https://x.com/shahh/status/1879257207180791906</t>
  </si>
  <si>
    <t>https://pbs.twimg.com/profile_images/1843332857097256960/GrKcXY8G_normal.jpg</t>
  </si>
  <si>
    <t>https://x.com/cyrilXBT/status/1877528284684333264</t>
  </si>
  <si>
    <t>https://www.cookie.fun/agent/kudai</t>
  </si>
  <si>
    <t>https://pbs.twimg.com/profile_images/1867839899635769344/1ysmAfQI_400x400.jpg</t>
  </si>
  <si>
    <t>KUDAI</t>
  </si>
  <si>
    <t>@Kudai_IO</t>
  </si>
  <si>
    <t>$0.₃114</t>
  </si>
  <si>
    <t>$11.44M</t>
  </si>
  <si>
    <t>$2.04M</t>
  </si>
  <si>
    <t>4.05M</t>
  </si>
  <si>
    <t>6 017</t>
  </si>
  <si>
    <t>5.55K</t>
  </si>
  <si>
    <t>https://x.com/findGBC/status/1877032287373533201</t>
  </si>
  <si>
    <t>https://pbs.twimg.com/profile_images/1872986386166382592/KMNgNBSv_normal.jpg</t>
  </si>
  <si>
    <t>https://x.com/jkrdoc/status/1877816642119315650</t>
  </si>
  <si>
    <t>https://pbs.twimg.com/profile_images/1738860733771780096/eYaFzxgO_normal.png</t>
  </si>
  <si>
    <t>https://x.com/CryptoKaduna/status/1877011025209287094</t>
  </si>
  <si>
    <t>https://pbs.twimg.com/profile_images/1761532928452894720/N6A-Up8e_normal.jpg</t>
  </si>
  <si>
    <t>https://x.com/kceeonyekachi1/status/1877486107618574524</t>
  </si>
  <si>
    <t>https://pbs.twimg.com/profile_images/1641817384498388997/Fr2NIVVT_normal.jpg</t>
  </si>
  <si>
    <t>https://x.com/Thecryptolord_/status/1877840455762686092</t>
  </si>
  <si>
    <t>https://www.cookie.fun/agent/trust</t>
  </si>
  <si>
    <t>https://pbs.twimg.com/profile_images/1862528157754302468/t9usnUXx_400x400.jpg</t>
  </si>
  <si>
    <t>TRUST</t>
  </si>
  <si>
    <t>@trustme_bros</t>
  </si>
  <si>
    <t>-0.21</t>
  </si>
  <si>
    <t>$0.0148</t>
  </si>
  <si>
    <t>$14.77M</t>
  </si>
  <si>
    <t>$1.51M</t>
  </si>
  <si>
    <t>718.19K</t>
  </si>
  <si>
    <t>8 843</t>
  </si>
  <si>
    <t>70.99K</t>
  </si>
  <si>
    <t>https://x.com/Degen__Ape__/status/1878713663353491764</t>
  </si>
  <si>
    <t>https://pbs.twimg.com/profile_images/1721158078765424640/hFrzagyZ_normal.jpg</t>
  </si>
  <si>
    <t>https://x.com/legendarygainz_/status/1879281567463506365</t>
  </si>
  <si>
    <t>https://pbs.twimg.com/profile_images/1806436217950441472/UQXxhjcU_normal.jpg</t>
  </si>
  <si>
    <t>https://x.com/Degen__Ape__/status/1877580194279731430</t>
  </si>
  <si>
    <t>https://x.com/Degen__Ape__/status/1877643177542201665</t>
  </si>
  <si>
    <t>https://x.com/Degen__Ape__/status/1877781654745256076</t>
  </si>
  <si>
    <t>https://www.cookie.fun/agent/neur</t>
  </si>
  <si>
    <t>https://pbs.twimg.com/profile_images/1867441064669589504/sUbo5tgR_400x400.jpg</t>
  </si>
  <si>
    <t>NEUR</t>
  </si>
  <si>
    <t>@neur_sh</t>
  </si>
  <si>
    <t>$0.0543</t>
  </si>
  <si>
    <t>$54.34M</t>
  </si>
  <si>
    <t>$2.06M</t>
  </si>
  <si>
    <t>13.11M</t>
  </si>
  <si>
    <t>22 556</t>
  </si>
  <si>
    <t>23.35K</t>
  </si>
  <si>
    <t>https://x.com/gem_insider/status/1877027185103356105</t>
  </si>
  <si>
    <t>https://pbs.twimg.com/profile_images/1352548197835681793/P8tRO3U2_normal.jpg</t>
  </si>
  <si>
    <t>https://x.com/gem_insider/status/1878094519935361035</t>
  </si>
  <si>
    <t>https://x.com/LunarCrush/status/1878979848716103870</t>
  </si>
  <si>
    <t>https://pbs.twimg.com/profile_images/1863747720827244545/xoSWaM53_normal.png</t>
  </si>
  <si>
    <t>https://x.com/CryptoExpert101/status/1879001872301969845</t>
  </si>
  <si>
    <t>https://pbs.twimg.com/profile_images/1313330188084817920/pRkfjx2j_normal.jpg</t>
  </si>
  <si>
    <t>https://x.com/CryptoAnglio/status/1877082200031547572</t>
  </si>
  <si>
    <t>https://www.cookie.fun/agent/vader-ai</t>
  </si>
  <si>
    <t>https://pbs.twimg.com/profile_images/1863883494084276224/MhLpfb2V_400x400.jpg</t>
  </si>
  <si>
    <t>VADER</t>
  </si>
  <si>
    <t>@Vader_AI_</t>
  </si>
  <si>
    <t>$0.1148</t>
  </si>
  <si>
    <t>$114.43M</t>
  </si>
  <si>
    <t>$2.97M</t>
  </si>
  <si>
    <t>4.46M</t>
  </si>
  <si>
    <t>28 842</t>
  </si>
  <si>
    <t>94.32K</t>
  </si>
  <si>
    <t>https://x.com/S4mmyEth/status/1877051682950959408</t>
  </si>
  <si>
    <t>https://x.com/VaderResearch/status/1879091715283513414</t>
  </si>
  <si>
    <t>https://pbs.twimg.com/profile_images/1416875951082942468/cWN9kZMp_normal.jpg</t>
  </si>
  <si>
    <t>https://x.com/VaderResearch/status/1877343400757965264</t>
  </si>
  <si>
    <t>https://x.com/carlosroldanx/status/1877649810976637179</t>
  </si>
  <si>
    <t>https://x.com/esatoshiclub/status/1877303863893471312</t>
  </si>
  <si>
    <t>https://www.cookie.fun/agent/max</t>
  </si>
  <si>
    <t>https://pbs.twimg.com/profile_images/1855867085810962432/MNI_0PrH_400x400.jpg</t>
  </si>
  <si>
    <t>MAX</t>
  </si>
  <si>
    <t>@maxisbuyin_</t>
  </si>
  <si>
    <t>-0.055</t>
  </si>
  <si>
    <t>$83.14M</t>
  </si>
  <si>
    <t>$4.64M</t>
  </si>
  <si>
    <t>5.3M</t>
  </si>
  <si>
    <t>17 692</t>
  </si>
  <si>
    <t>17.25K</t>
  </si>
  <si>
    <t>https://x.com/rovercrc/status/1878803710819610858</t>
  </si>
  <si>
    <t>https://pbs.twimg.com/profile_images/1644208356523909122/M6D7PfWS_normal.jpg</t>
  </si>
  <si>
    <t>https://x.com/gem_insider/status/1878075378402767009</t>
  </si>
  <si>
    <t>https://x.com/JumperWave/status/1877417079428599858</t>
  </si>
  <si>
    <t>https://pbs.twimg.com/profile_images/1564655062420529154/MotsbUai_normal.jpg</t>
  </si>
  <si>
    <t>https://x.com/gem_insider/status/1878322768904593777</t>
  </si>
  <si>
    <t>https://x.com/jollygreenmoney/status/1877183094081675347</t>
  </si>
  <si>
    <t>https://www.cookie.fun/agent/god</t>
  </si>
  <si>
    <t>https://pbs.twimg.com/profile_images/1848450775397142529/HqRYsyQM_400x400.jpg</t>
  </si>
  <si>
    <t>GOD</t>
  </si>
  <si>
    <t>@god</t>
  </si>
  <si>
    <t>$0.0505</t>
  </si>
  <si>
    <t>$31.76M</t>
  </si>
  <si>
    <t>722.13K</t>
  </si>
  <si>
    <t>3 361 582</t>
  </si>
  <si>
    <t>4 029</t>
  </si>
  <si>
    <t>8.42K</t>
  </si>
  <si>
    <t>https://x.com/brydisanto/status/1877116253086667060</t>
  </si>
  <si>
    <t>https://pbs.twimg.com/profile_images/1861644575359512576/gwcl40Ld_normal.jpg</t>
  </si>
  <si>
    <t>https://x.com/apixtwts/status/1878857486708642148</t>
  </si>
  <si>
    <t>https://pbs.twimg.com/profile_images/1663128307393519621/leQ2uGee_normal.jpg</t>
  </si>
  <si>
    <t>https://x.com/Mepo2000/status/1878794037483704703</t>
  </si>
  <si>
    <t>https://pbs.twimg.com/profile_images/1772836615313817600/SYj2QKwO_normal.jpg</t>
  </si>
  <si>
    <t>https://x.com/bycoinhunter/status/1877844094308819152</t>
  </si>
  <si>
    <t>https://x.com/WY_mask/status/1878638466252378241</t>
  </si>
  <si>
    <t>https://www.cookie.fun/agent/toshi</t>
  </si>
  <si>
    <t>https://pbs.twimg.com/profile_images/1864283290347425795/FMZ3opQa_400x400.jpg</t>
  </si>
  <si>
    <t>TOSHI</t>
  </si>
  <si>
    <t>@Macintoshi_</t>
  </si>
  <si>
    <t>$134.63M</t>
  </si>
  <si>
    <t>21.09M</t>
  </si>
  <si>
    <t>424.07K</t>
  </si>
  <si>
    <t>https://x.com/CoinbaseAssets/status/1879309993716973789</t>
  </si>
  <si>
    <t>https://pbs.twimg.com/profile_images/1422538477900423170/tRsq0F8Y_normal.png</t>
  </si>
  <si>
    <t>https://x.com/Bybit_Official/status/1879091093825863701</t>
  </si>
  <si>
    <t>https://pbs.twimg.com/profile_images/1855948889683030016/MrTuyakp_normal.png</t>
  </si>
  <si>
    <t>https://x.com/boldleonidas/status/1879336460870131912</t>
  </si>
  <si>
    <t>https://pbs.twimg.com/profile_images/1795636010442985473/zxOfI_KX_normal.jpg</t>
  </si>
  <si>
    <t>https://x.com/CoinbaseAssets/status/1879309995268858298</t>
  </si>
  <si>
    <t>https://x.com/cryptocom/status/1879454710043697339</t>
  </si>
  <si>
    <t>https://www.cookie.fun/agent/agent</t>
  </si>
  <si>
    <t>https://pbs.twimg.com/profile_images/1770106984349786112/jJQiGmu9_400x400.jpg</t>
  </si>
  <si>
    <t>AGENT</t>
  </si>
  <si>
    <t>@Agent_Layer</t>
  </si>
  <si>
    <t>$0.0419</t>
  </si>
  <si>
    <t>$41.85M</t>
  </si>
  <si>
    <t>$158.81K</t>
  </si>
  <si>
    <t>427.12K</t>
  </si>
  <si>
    <t>145 767</t>
  </si>
  <si>
    <t>45.77K</t>
  </si>
  <si>
    <t>https://x.com/RealKatoOG/status/1877365830507225231</t>
  </si>
  <si>
    <t>https://pbs.twimg.com/profile_images/1874983006630195200/zQ6Vsyhl_normal.jpg</t>
  </si>
  <si>
    <t>https://x.com/RealKatoOG/status/1878447377373102248</t>
  </si>
  <si>
    <t>https://x.com/RealKatoOG/status/1877392868311990507</t>
  </si>
  <si>
    <t>https://x.com/RealKatoOG/status/1878177481007435920</t>
  </si>
  <si>
    <t>https://x.com/RealKatoOG/status/1878087985800872285</t>
  </si>
  <si>
    <t>https://www.cookie.fun/agent/trisig</t>
  </si>
  <si>
    <t>https://pbs.twimg.com/profile_images/1859206358094036993/pCC29QeL_400x400.jpg</t>
  </si>
  <si>
    <t>TRISIG</t>
  </si>
  <si>
    <t>@tri_sigma_</t>
  </si>
  <si>
    <t>-0.11</t>
  </si>
  <si>
    <t>$0.0448</t>
  </si>
  <si>
    <t>$44.76M</t>
  </si>
  <si>
    <t>$1.8M</t>
  </si>
  <si>
    <t>5.35M</t>
  </si>
  <si>
    <t>50 963</t>
  </si>
  <si>
    <t>13.93K</t>
  </si>
  <si>
    <t>https://x.com/kucoincom/status/1879417417350381897</t>
  </si>
  <si>
    <t>https://pbs.twimg.com/profile_images/1873983306859241479/-jmj71fb_normal.jpg</t>
  </si>
  <si>
    <t>https://x.com/CryptoKaduna/status/1877735233497313522</t>
  </si>
  <si>
    <t>https://x.com/SherifDefi/status/1878827180081443013</t>
  </si>
  <si>
    <t>https://pbs.twimg.com/profile_images/1674739316759592960/t1-QC5HS_normal.png</t>
  </si>
  <si>
    <t>https://x.com/CryptoKaduna/status/1878901326635270206</t>
  </si>
  <si>
    <t>https://x.com/moneyl0rd/status/1879123784810270940</t>
  </si>
  <si>
    <t>https://www.cookie.fun/agent/schizo-terminal</t>
  </si>
  <si>
    <t>https://pbs.twimg.com/profile_images/1870102143828426753/qjPH3KhL_400x400.jpg</t>
  </si>
  <si>
    <t>@SchizoTerminal</t>
  </si>
  <si>
    <t>$0.04</t>
  </si>
  <si>
    <t>$39.98M</t>
  </si>
  <si>
    <t>$1.4M</t>
  </si>
  <si>
    <t>2.09M</t>
  </si>
  <si>
    <t>13 477</t>
  </si>
  <si>
    <t>6.49K</t>
  </si>
  <si>
    <t>https://x.com/EB7/status/1878489157628010773</t>
  </si>
  <si>
    <t>https://pbs.twimg.com/profile_images/1877097814901071873/FM9Ujjye_normal.jpg</t>
  </si>
  <si>
    <t>https://x.com/Cryptanzee/status/1877434862786711661</t>
  </si>
  <si>
    <t>https://pbs.twimg.com/profile_images/1869796810660728832/kVg5fFiQ_normal.jpg</t>
  </si>
  <si>
    <t>https://x.com/NFTsAreNice/status/1877887033131364806</t>
  </si>
  <si>
    <t>https://pbs.twimg.com/profile_images/1833249183706583042/KmF6NY6__normal.jpg</t>
  </si>
  <si>
    <t>https://x.com/ugliestduck/status/1877796175656742966</t>
  </si>
  <si>
    <t>https://pbs.twimg.com/profile_images/1821761744068304896/tIlBR-0c_normal.jpg</t>
  </si>
  <si>
    <t>https://x.com/Web3Adam/status/1878857685225046351</t>
  </si>
  <si>
    <t>https://www.cookie.fun/agent/clanker</t>
  </si>
  <si>
    <t>https://pbs.twimg.com/profile_images/1860014909683105792/mwGIopaa_400x400.jpg</t>
  </si>
  <si>
    <t>CLANKER</t>
  </si>
  <si>
    <t>@clankeronbase</t>
  </si>
  <si>
    <t>-0.027</t>
  </si>
  <si>
    <t>$58.82</t>
  </si>
  <si>
    <t>$58.82M</t>
  </si>
  <si>
    <t>1.24M</t>
  </si>
  <si>
    <t>7 384</t>
  </si>
  <si>
    <t>97.51K</t>
  </si>
  <si>
    <t>https://x.com/Slokh/status/1877829321139564695</t>
  </si>
  <si>
    <t>https://pbs.twimg.com/profile_images/1554248854794534913/JXGn6d0L_normal.jpg</t>
  </si>
  <si>
    <t>https://x.com/BiteyeCN/status/1877249880021942569</t>
  </si>
  <si>
    <t>https://pbs.twimg.com/profile_images/1554027145420500992/0oOUOv6L_normal.jpg</t>
  </si>
  <si>
    <t>https://x.com/DeeZe/status/1879298965675585884</t>
  </si>
  <si>
    <t>https://x.com/MLeeJr/status/1878293174998663213</t>
  </si>
  <si>
    <t>https://pbs.twimg.com/profile_images/1601094719525855232/aOkAPHtC_normal.png</t>
  </si>
  <si>
    <t>https://x.com/rainbowdotme/status/1879325385571311891</t>
  </si>
  <si>
    <t>https://www.cookie.fun/agent/bully</t>
  </si>
  <si>
    <t>https://pbs.twimg.com/profile_images/1849948665722359808/uXMAoDxQ_400x400.jpg</t>
  </si>
  <si>
    <t>BULLY</t>
  </si>
  <si>
    <t>@dolos_diary</t>
  </si>
  <si>
    <t>-0.12</t>
  </si>
  <si>
    <t>$0.0615</t>
  </si>
  <si>
    <t>$59.06M</t>
  </si>
  <si>
    <t>$2.27M</t>
  </si>
  <si>
    <t>3.85M</t>
  </si>
  <si>
    <t>41 660</t>
  </si>
  <si>
    <t>38.21K</t>
  </si>
  <si>
    <t>https://x.com/Cobratate/status/1877652838421029043</t>
  </si>
  <si>
    <t>https://pbs.twimg.com/profile_images/1876328550187347968/dXRqbM9f_normal.jpg</t>
  </si>
  <si>
    <t>https://x.com/dcfgod/status/1877785705386062116</t>
  </si>
  <si>
    <t>https://pbs.twimg.com/profile_images/1856079545780125696/JQkZlaHt_normal.jpg</t>
  </si>
  <si>
    <t>https://x.com/gem_insider/status/1877309350353490122</t>
  </si>
  <si>
    <t>https://www.cookie.fun/agent/thales</t>
  </si>
  <si>
    <t>https://pbs.twimg.com/profile_images/1878444956626440192/UUs0mH05_400x400.jpg</t>
  </si>
  <si>
    <t>THALES</t>
  </si>
  <si>
    <t>@Thales_ai</t>
  </si>
  <si>
    <t>$0.022</t>
  </si>
  <si>
    <t>$22.04M</t>
  </si>
  <si>
    <t>$5.96K</t>
  </si>
  <si>
    <t>1.27M</t>
  </si>
  <si>
    <t>7 310</t>
  </si>
  <si>
    <t>4.39K</t>
  </si>
  <si>
    <t>https://x.com/nillionnetwork/status/1877352690675564613</t>
  </si>
  <si>
    <t>https://pbs.twimg.com/profile_images/1464770850293534720/AdOJJAHw_normal.jpg</t>
  </si>
  <si>
    <t>https://x.com/TheEliteCrypto/status/1877615762224926984</t>
  </si>
  <si>
    <t>https://pbs.twimg.com/profile_images/1557234672434049024/uoN1L0bo_normal.jpg</t>
  </si>
  <si>
    <t>https://x.com/Louround_/status/1878395066105946184</t>
  </si>
  <si>
    <t>https://pbs.twimg.com/profile_images/1862041003764355072/dWntt2bQ_normal.jpg</t>
  </si>
  <si>
    <t>https://x.com/zerokn0wledge_/status/1877013506307838367</t>
  </si>
  <si>
    <t>https://pbs.twimg.com/profile_images/1860310507384696832/WL2oKqW0_normal.jpg</t>
  </si>
  <si>
    <t>https://x.com/TheEliteCrypto/status/1878064495790063807</t>
  </si>
  <si>
    <t>https://www.cookie.fun/agent/sekoia</t>
  </si>
  <si>
    <t>https://pbs.twimg.com/profile_images/1864120521006436353/ow2J66gu_400x400.jpg</t>
  </si>
  <si>
    <t>SEKOIA</t>
  </si>
  <si>
    <t>@sekoia_virtuals</t>
  </si>
  <si>
    <t>-0.069</t>
  </si>
  <si>
    <t>$0.0766</t>
  </si>
  <si>
    <t>$75.55M</t>
  </si>
  <si>
    <t>$2.66M</t>
  </si>
  <si>
    <t>3.01M</t>
  </si>
  <si>
    <t>20 672</t>
  </si>
  <si>
    <t>111.84K</t>
  </si>
  <si>
    <t>https://x.com/SmallCapScience/status/1877109056218738704</t>
  </si>
  <si>
    <t>https://pbs.twimg.com/profile_images/1556492962951045120/I1b7rAnk_normal.jpg</t>
  </si>
  <si>
    <t>https://x.com/ai/status/1878796644352725130</t>
  </si>
  <si>
    <t>https://pbs.twimg.com/profile_images/1831182575689240576/7HmOAeIK_normal.jpg</t>
  </si>
  <si>
    <t>https://x.com/iamjosephyoung/status/1878701243973144917</t>
  </si>
  <si>
    <t>https://pbs.twimg.com/profile_images/1121454355700310016/WKTRKCbK_normal.png</t>
  </si>
  <si>
    <t>https://x.com/Slappjakke/status/1877627512517280159</t>
  </si>
  <si>
    <t>https://www.cookie.fun/agent/gnon-on-solana-gnon</t>
  </si>
  <si>
    <t>https://pbs.twimg.com/profile_images/1876644412060770304/gK4sbibW_400x400.jpg</t>
  </si>
  <si>
    <t>GNON</t>
  </si>
  <si>
    <t>@GnonOnSolana</t>
  </si>
  <si>
    <t>$0.0368</t>
  </si>
  <si>
    <t>$36.79M</t>
  </si>
  <si>
    <t>$3.86M</t>
  </si>
  <si>
    <t>3.57M</t>
  </si>
  <si>
    <t>11 084</t>
  </si>
  <si>
    <t>19.86K</t>
  </si>
  <si>
    <t>https://x.com/0xDamien/status/1878834533598110197</t>
  </si>
  <si>
    <t>https://pbs.twimg.com/profile_images/1871743259619536896/4IEOn9xW_normal.jpg</t>
  </si>
  <si>
    <t>https://x.com/Cryppocrates/status/1877846026281005371</t>
  </si>
  <si>
    <t>https://pbs.twimg.com/profile_images/1871330840774426625/pjvENjuB_normal.jpg</t>
  </si>
  <si>
    <t>https://x.com/Cryppocrates/status/1877739068705948113</t>
  </si>
  <si>
    <t>https://x.com/Cryppocrates/status/1877697487026229698</t>
  </si>
  <si>
    <t>https://x.com/Cryppocrates/status/1877935772260610300</t>
  </si>
  <si>
    <t>https://www.cookie.fun/agent/fai</t>
  </si>
  <si>
    <t>https://pbs.twimg.com/profile_images/1860187585143832576/YUIhlUic_400x400.jpg</t>
  </si>
  <si>
    <t>FAI</t>
  </si>
  <si>
    <t>@freysa_ai</t>
  </si>
  <si>
    <t>-0.063</t>
  </si>
  <si>
    <t>$593.65M</t>
  </si>
  <si>
    <t>$13.04M</t>
  </si>
  <si>
    <t>7.94M</t>
  </si>
  <si>
    <t>22 053</t>
  </si>
  <si>
    <t>70.1K</t>
  </si>
  <si>
    <t>https://x.com/nobrainflip/status/1878174381932695717</t>
  </si>
  <si>
    <t>https://pbs.twimg.com/profile_images/1644357178319405059/J5e4cyyV_normal.png</t>
  </si>
  <si>
    <t>https://x.com/Taran_ss/status/1878920488509960208</t>
  </si>
  <si>
    <t>https://pbs.twimg.com/profile_images/1875466513945128960/vPr-yQi-_normal.jpg</t>
  </si>
  <si>
    <t>https://x.com/CryptoStreamHub/status/1877288309594140795</t>
  </si>
  <si>
    <t>https://pbs.twimg.com/profile_images/1506936845413896193/Q408ci62_normal.jpg</t>
  </si>
  <si>
    <t>https://x.com/ghost93_x/status/1879042768086991033</t>
  </si>
  <si>
    <t>https://pbs.twimg.com/profile_images/1752826759504965632/_BJV6z9l_normal.jpg</t>
  </si>
  <si>
    <t>https://x.com/econoar/status/1877090081162539208</t>
  </si>
  <si>
    <t>https://www.cookie.fun/agent/agent-yp</t>
  </si>
  <si>
    <t>https://pbs.twimg.com/profile_images/1868134007206236161/y82CXpY-_400x400.jpg</t>
  </si>
  <si>
    <t>AIYP</t>
  </si>
  <si>
    <t>@Agent_YP</t>
  </si>
  <si>
    <t>$0.0133</t>
  </si>
  <si>
    <t>$13.29M</t>
  </si>
  <si>
    <t>$533.11K</t>
  </si>
  <si>
    <t>269.1K</t>
  </si>
  <si>
    <t>7 980</t>
  </si>
  <si>
    <t>82.89K</t>
  </si>
  <si>
    <t>https://x.com/yellowpantherx/status/1877373112011948255</t>
  </si>
  <si>
    <t>https://pbs.twimg.com/profile_images/1839737518058790912/z6Kr5LQb_normal.jpg</t>
  </si>
  <si>
    <t>https://x.com/bycoinhunter/status/1877799501483712757</t>
  </si>
  <si>
    <t>https://x.com/yellowpantherx/status/1877792383779131452</t>
  </si>
  <si>
    <t>https://x.com/Ronin_Network/status/1878969495261229204</t>
  </si>
  <si>
    <t>https://pbs.twimg.com/profile_images/1874559219052994560/uBBccsAO_normal.jpg</t>
  </si>
  <si>
    <t>https://x.com/yellowpantherx/status/1878092528529895736</t>
  </si>
  <si>
    <t>https://www.cookie.fun/agent/act-i-the-ai-prophecy</t>
  </si>
  <si>
    <t>https://pbs.twimg.com/profile_images/1849437252453040128/VaWuupdu_400x400.jpg</t>
  </si>
  <si>
    <t>ACT</t>
  </si>
  <si>
    <t>@ACTICOMMUNITY</t>
  </si>
  <si>
    <t>-0.056</t>
  </si>
  <si>
    <t>$0.2568</t>
  </si>
  <si>
    <t>$243.51M</t>
  </si>
  <si>
    <t>$3.95M</t>
  </si>
  <si>
    <t>2.57M</t>
  </si>
  <si>
    <t>84 791</t>
  </si>
  <si>
    <t>39.51K</t>
  </si>
  <si>
    <t>https://x.com/tong0x/status/1878177975948255588</t>
  </si>
  <si>
    <t>https://x.com/zhuanfgghjnb/status/1879117945911296348</t>
  </si>
  <si>
    <t>https://pbs.twimg.com/profile_images/1607593522701701122/zv1J_K2-_normal.jpg</t>
  </si>
  <si>
    <t>https://x.com/0xdoves/status/1877316954194657282</t>
  </si>
  <si>
    <t>https://pbs.twimg.com/profile_images/1769695402318807040/zLKZWTYi_normal.jpg</t>
  </si>
  <si>
    <t>https://x.com/0xDamien/status/1878259964826841524</t>
  </si>
  <si>
    <t>https://x.com/PixOnChain/status/1877512488754810945</t>
  </si>
  <si>
    <t>https://www.cookie.fun/agent/kween</t>
  </si>
  <si>
    <t>https://pbs.twimg.com/profile_images/1855247617870991360/OktzGE0a_400x400.jpg</t>
  </si>
  <si>
    <t>KWEEN</t>
  </si>
  <si>
    <t>@KWEEN_SOL</t>
  </si>
  <si>
    <t>$16.98M</t>
  </si>
  <si>
    <t>$723.65K</t>
  </si>
  <si>
    <t>770.15K</t>
  </si>
  <si>
    <t>7 663</t>
  </si>
  <si>
    <t>4.61K</t>
  </si>
  <si>
    <t>https://x.com/yb_effect/status/1878160122578600014</t>
  </si>
  <si>
    <t>https://pbs.twimg.com/profile_images/1536483903774531586/KHNPU1AN_normal.jpg</t>
  </si>
  <si>
    <t>https://x.com/Rothmus/status/1879384000877457595</t>
  </si>
  <si>
    <t>https://pbs.twimg.com/profile_images/1427434033290661891/hLTTZ5lt_normal.jpg</t>
  </si>
  <si>
    <t>https://x.com/traderrocko/status/1877098332209709314</t>
  </si>
  <si>
    <t>https://pbs.twimg.com/profile_images/1355123076183322625/3tpOFCLO_normal.jpg</t>
  </si>
  <si>
    <t>https://x.com/OX_DAO/status/1878567157119803790</t>
  </si>
  <si>
    <t>https://pbs.twimg.com/profile_images/1868227876287397888/_Ex4g8QH_normal.jpg</t>
  </si>
  <si>
    <t>https://x.com/traderrocko/status/1877712558238437838</t>
  </si>
  <si>
    <t>https://www.cookie.fun/agent/vera</t>
  </si>
  <si>
    <t>https://pbs.twimg.com/profile_images/1862642121066303488/Gdodc8mO_400x400.jpg</t>
  </si>
  <si>
    <t>VERA</t>
  </si>
  <si>
    <t>@VaultVera</t>
  </si>
  <si>
    <t>$0.₃303</t>
  </si>
  <si>
    <t>$303.44K</t>
  </si>
  <si>
    <t>$49.25K</t>
  </si>
  <si>
    <t>33.79K</t>
  </si>
  <si>
    <t>1 892</t>
  </si>
  <si>
    <t>https://x.com/veratheape/status/1878968744472707535</t>
  </si>
  <si>
    <t>https://pbs.twimg.com/profile_images/1564377312883134469/HdcOW2fk_normal.jpg</t>
  </si>
  <si>
    <t>https://x.com/CryptoGarga/status/1878836750791119211</t>
  </si>
  <si>
    <t>https://pbs.twimg.com/profile_images/1826272616354660352/GTUwX_rD_normal.jpg</t>
  </si>
  <si>
    <t>https://x.com/veratheape/status/1877874699033805308</t>
  </si>
  <si>
    <t>https://x.com/CryptoVonDoom/status/1879021428974190948</t>
  </si>
  <si>
    <t>https://pbs.twimg.com/profile_images/1783884127831535616/CFogUoHh_normal.jpg</t>
  </si>
  <si>
    <t>https://x.com/RealFlokiInu/status/1878096224449884431</t>
  </si>
  <si>
    <t>https://www.cookie.fun/agent/tank</t>
  </si>
  <si>
    <t>https://pbs.twimg.com/profile_images/1864128474698665987/EA3ICb_s_400x400.jpg</t>
  </si>
  <si>
    <t>TANK</t>
  </si>
  <si>
    <t>@AgentTankLive</t>
  </si>
  <si>
    <t>$0.0403</t>
  </si>
  <si>
    <t>$40.33M</t>
  </si>
  <si>
    <t>$1.03M</t>
  </si>
  <si>
    <t>10.26M</t>
  </si>
  <si>
    <t>14 552</t>
  </si>
  <si>
    <t>13.66K</t>
  </si>
  <si>
    <t>https://x.com/Flowslikeosmo/status/1878629066519294308</t>
  </si>
  <si>
    <t>https://pbs.twimg.com/profile_images/1820857147430772736/_FKO54r0_normal.jpg</t>
  </si>
  <si>
    <t>https://x.com/gem_insider/status/1878932048355946662</t>
  </si>
  <si>
    <t>https://x.com/DamiDefi/status/1877444986104590592</t>
  </si>
  <si>
    <t>https://x.com/gem_insider/status/1878928678492770790</t>
  </si>
  <si>
    <t>https://x.com/gem_insider/status/1879217162717741221</t>
  </si>
  <si>
    <t>https://www.cookie.fun/agent/tetsuo</t>
  </si>
  <si>
    <t>https://pbs.twimg.com/profile_images/1869187254213820416/jQbvlIXX_400x400.jpg</t>
  </si>
  <si>
    <t>TETSUO</t>
  </si>
  <si>
    <t>@tetsuo_coin</t>
  </si>
  <si>
    <t>$0.0343</t>
  </si>
  <si>
    <t>$34.33M</t>
  </si>
  <si>
    <t>$1.71M</t>
  </si>
  <si>
    <t>6.5M</t>
  </si>
  <si>
    <t>6 121</t>
  </si>
  <si>
    <t>https://x.com/0xcryptowizard/status/1878077223690735730</t>
  </si>
  <si>
    <t>https://pbs.twimg.com/profile_images/1865248625678520325/K8QQsqDl_normal.jpg</t>
  </si>
  <si>
    <t>https://x.com/xiaweb3/status/1878217871534235796</t>
  </si>
  <si>
    <t>https://pbs.twimg.com/profile_images/1804303024593985537/JJgqufyl_normal.jpg</t>
  </si>
  <si>
    <t>https://x.com/shahh/status/1878187881862209921</t>
  </si>
  <si>
    <t>https://x.com/bull_bnb/status/1878179684334096686</t>
  </si>
  <si>
    <t>https://pbs.twimg.com/profile_images/1840255506734084096/mGTze2Jf_normal.jpg</t>
  </si>
  <si>
    <t>https://x.com/Flowslikeosmo/status/1878819335088840954</t>
  </si>
  <si>
    <t>https://www.cookie.fun/agent/hustle-flowstate</t>
  </si>
  <si>
    <t>https://pbs.twimg.com/profile_images/1874977886915923968/ioWAcczd_400x400.jpg</t>
  </si>
  <si>
    <t>TNSR</t>
  </si>
  <si>
    <t>@TensoriumAI</t>
  </si>
  <si>
    <t>$0.008</t>
  </si>
  <si>
    <t>$8.04M</t>
  </si>
  <si>
    <t>$426.18K</t>
  </si>
  <si>
    <t>526.15K</t>
  </si>
  <si>
    <t>5 170</t>
  </si>
  <si>
    <t>4.49K</t>
  </si>
  <si>
    <t>https://x.com/DoggfatherCrew/status/1878100353507348886</t>
  </si>
  <si>
    <t>https://pbs.twimg.com/profile_images/1781921611165118464/stP8Ssgk_normal.jpg</t>
  </si>
  <si>
    <t>https://x.com/udiWertheimer/status/1877056846747316363</t>
  </si>
  <si>
    <t>https://pbs.twimg.com/profile_images/1862965859016212480/9Qt3inkI_normal.jpg</t>
  </si>
  <si>
    <t>https://x.com/Benefactor_345/status/1877099243757842644</t>
  </si>
  <si>
    <t>https://pbs.twimg.com/profile_images/1743560221404905472/59eAYLjd_normal.jpg</t>
  </si>
  <si>
    <t>https://x.com/jakegallen_/status/1878968958310908144</t>
  </si>
  <si>
    <t>https://pbs.twimg.com/profile_images/1662177307031896065/2HMD6SrH_normal.jpg</t>
  </si>
  <si>
    <t>https://x.com/whomptuh/status/1877874185227342114</t>
  </si>
  <si>
    <t>https://www.cookie.fun/agent/luna-by-virtuals</t>
  </si>
  <si>
    <t>https://pbs.twimg.com/profile_images/1879065631900958720/03osAUKd_400x400.jpg</t>
  </si>
  <si>
    <t>LUNA</t>
  </si>
  <si>
    <t>@luna_virtuals</t>
  </si>
  <si>
    <t>-0.16</t>
  </si>
  <si>
    <t>$0.0893</t>
  </si>
  <si>
    <t>$89.14M</t>
  </si>
  <si>
    <t>$7.66M</t>
  </si>
  <si>
    <t>3.2M</t>
  </si>
  <si>
    <t>47 110</t>
  </si>
  <si>
    <t>168.8K</t>
  </si>
  <si>
    <t>https://x.com/egyptk6/status/1877364157747704141</t>
  </si>
  <si>
    <t>https://pbs.twimg.com/profile_images/1840810814007361536/oD64ED8g_normal.jpg</t>
  </si>
  <si>
    <t>https://x.com/Route2FI/status/1878093414115242143</t>
  </si>
  <si>
    <t>https://pbs.twimg.com/profile_images/1469588644088451073/VEu0DKDG_normal.jpg</t>
  </si>
  <si>
    <t>https://x.com/misterrcrypto/status/1877792777364537492</t>
  </si>
  <si>
    <t>https://pbs.twimg.com/profile_images/1644209709128249344/4IW9wcrF_normal.jpg</t>
  </si>
  <si>
    <t>https://x.com/BTCTN/status/1877368901966696717</t>
  </si>
  <si>
    <t>https://www.cookie.fun/agent/rei</t>
  </si>
  <si>
    <t>https://pbs.twimg.com/profile_images/1872551275436638208/4E3x6m7n_400x400.png</t>
  </si>
  <si>
    <t>REI</t>
  </si>
  <si>
    <t>@unit00x0</t>
  </si>
  <si>
    <t>-0.25</t>
  </si>
  <si>
    <t>$0.1491</t>
  </si>
  <si>
    <t>$149.12M</t>
  </si>
  <si>
    <t>$4.3M</t>
  </si>
  <si>
    <t>4.29M</t>
  </si>
  <si>
    <t>7 884</t>
  </si>
  <si>
    <t>39.48K</t>
  </si>
  <si>
    <t>https://x.com/gem_insider/status/1879131095389687994</t>
  </si>
  <si>
    <t>https://x.com/RAnSacks/status/1878824997873234383</t>
  </si>
  <si>
    <t>https://pbs.twimg.com/profile_images/1745635933859237888/GaxhvQWS_normal.jpg</t>
  </si>
  <si>
    <t>https://x.com/0xSleuth_/status/1878824986296852746</t>
  </si>
  <si>
    <t>https://pbs.twimg.com/profile_images/1762381335791054848/mSMeyQDS_normal.jpg</t>
  </si>
  <si>
    <t>https://x.com/0xSleuth_/status/1877652720494243882</t>
  </si>
  <si>
    <t>https://x.com/0xkyle__/status/1877383763988013108</t>
  </si>
  <si>
    <t>https://www.cookie.fun/agent/fxn</t>
  </si>
  <si>
    <t>https://pbs.twimg.com/profile_images/1839371102923231232/Tj2-D3VD_400x400.jpg</t>
  </si>
  <si>
    <t>FXN</t>
  </si>
  <si>
    <t>@joinFXN</t>
  </si>
  <si>
    <t>-0.098</t>
  </si>
  <si>
    <t>$0.0565</t>
  </si>
  <si>
    <t>$56.47M</t>
  </si>
  <si>
    <t>3.78M</t>
  </si>
  <si>
    <t>11 584</t>
  </si>
  <si>
    <t>7.87K</t>
  </si>
  <si>
    <t>https://x.com/crypto_linn/status/1878748127475445816</t>
  </si>
  <si>
    <t>https://pbs.twimg.com/profile_images/1654487711653265410/9Fzvqbhr_normal.jpg</t>
  </si>
  <si>
    <t>https://x.com/CryptoNoach/status/1877380122715763108</t>
  </si>
  <si>
    <t>https://pbs.twimg.com/profile_images/1805288116577611776/FGDdsgTa_normal.jpg</t>
  </si>
  <si>
    <t>https://x.com/KashKysh/status/1879275507059146952</t>
  </si>
  <si>
    <t>https://pbs.twimg.com/profile_images/1724894368698384384/WsylEGZE_normal.jpg</t>
  </si>
  <si>
    <t>https://x.com/ChillTRD/status/1879377985851334741</t>
  </si>
  <si>
    <t>https://pbs.twimg.com/profile_images/1711456639990050816/XeYR609M_normal.jpg</t>
  </si>
  <si>
    <t>https://x.com/CryptoGrills/status/1879309314411954227</t>
  </si>
  <si>
    <t>https://www.cookie.fun/agent/autonomous-virtual-beings</t>
  </si>
  <si>
    <t>https://pbs.twimg.com/profile_images/1850630946757955584/KguKyWIV_400x400.jpg</t>
  </si>
  <si>
    <t>AVB</t>
  </si>
  <si>
    <t>@AVbeingsCTO</t>
  </si>
  <si>
    <t>$0.0293</t>
  </si>
  <si>
    <t>$30.07M</t>
  </si>
  <si>
    <t>-0.12%</t>
  </si>
  <si>
    <t>$1.87M</t>
  </si>
  <si>
    <t>6.44M</t>
  </si>
  <si>
    <t>6 871</t>
  </si>
  <si>
    <t>10.64K</t>
  </si>
  <si>
    <t>https://x.com/avocado_toast2/status/1877572010257109338</t>
  </si>
  <si>
    <t>https://pbs.twimg.com/profile_images/1609778151369883648/dgvqvUMB_normal.jpg</t>
  </si>
  <si>
    <t>https://x.com/legendarygainz_/status/1877588866170818873</t>
  </si>
  <si>
    <t>https://x.com/OGDfarmer/status/1877895046608936991</t>
  </si>
  <si>
    <t>https://pbs.twimg.com/profile_images/1878792979210457088/N2hXteNa_normal.jpg</t>
  </si>
  <si>
    <t>https://x.com/avocado_toast2/status/1878143988781462012</t>
  </si>
  <si>
    <t>https://x.com/avocado_toast2/status/1877822598806921285</t>
  </si>
  <si>
    <t>https://www.cookie.fun/agent/eliza-wakes-up</t>
  </si>
  <si>
    <t>https://pbs.twimg.com/profile_images/1867788948933582848/hZwR1MiM_400x400.jpg</t>
  </si>
  <si>
    <t>ELIZA</t>
  </si>
  <si>
    <t>@elizawakesup</t>
  </si>
  <si>
    <t>-0.13</t>
  </si>
  <si>
    <t>$0.097</t>
  </si>
  <si>
    <t>$96.98M</t>
  </si>
  <si>
    <t>$4.16M</t>
  </si>
  <si>
    <t>19.38M</t>
  </si>
  <si>
    <t>26 461</t>
  </si>
  <si>
    <t>25.18K</t>
  </si>
  <si>
    <t>https://x.com/TeTheGamer/status/1878159763604680721</t>
  </si>
  <si>
    <t>https://pbs.twimg.com/profile_images/1819463930802028544/wZAMMX0W_normal.jpg</t>
  </si>
  <si>
    <t>https://x.com/sjdedic/status/1879383304203636914</t>
  </si>
  <si>
    <t>https://pbs.twimg.com/profile_images/1833387356159647744/3PxzMm1T_normal.jpg</t>
  </si>
  <si>
    <t>https://x.com/RyzeLabs/status/1879178384091091221</t>
  </si>
  <si>
    <t>https://www.cookie.fun/agent/moe</t>
  </si>
  <si>
    <t>https://pbs.twimg.com/profile_images/1858540593921904640/Sp1BaT4O_400x400.jpg</t>
  </si>
  <si>
    <t>MOE</t>
  </si>
  <si>
    <t>@nebula_moemate</t>
  </si>
  <si>
    <t>$0.0122</t>
  </si>
  <si>
    <t>$11.58M</t>
  </si>
  <si>
    <t>$440.77K</t>
  </si>
  <si>
    <t>3.79M</t>
  </si>
  <si>
    <t>12 090</t>
  </si>
  <si>
    <t>6.65K</t>
  </si>
  <si>
    <t>https://x.com/0xminibb/status/1878453051633418483</t>
  </si>
  <si>
    <t>https://pbs.twimg.com/profile_images/1777347995467689984/4nWHCFic_normal.jpg</t>
  </si>
  <si>
    <t>https://x.com/crypthoem/status/1878102613625082012</t>
  </si>
  <si>
    <t>https://pbs.twimg.com/profile_images/1583462717498728455/puvD9UlZ_normal.jpg</t>
  </si>
  <si>
    <t>https://x.com/puntium/status/1878962581697900580</t>
  </si>
  <si>
    <t>https://pbs.twimg.com/profile_images/1643802007889920011/NZRydHI4_normal.jpg</t>
  </si>
  <si>
    <t>https://x.com/Lenexyyy/status/1877330824292610273</t>
  </si>
  <si>
    <t>https://www.cookie.fun/agent/kwant</t>
  </si>
  <si>
    <t>https://pbs.twimg.com/profile_images/1865234522695946240/2HlQnE0W_400x400.jpg</t>
  </si>
  <si>
    <t>KWANT</t>
  </si>
  <si>
    <t>@kwantxbt</t>
  </si>
  <si>
    <t>$0.0163</t>
  </si>
  <si>
    <t>$16.2M</t>
  </si>
  <si>
    <t>$537.19K</t>
  </si>
  <si>
    <t>2.01M</t>
  </si>
  <si>
    <t>29 541</t>
  </si>
  <si>
    <t>7.67K</t>
  </si>
  <si>
    <t>https://x.com/0xsuperpat/status/1878794765778718768</t>
  </si>
  <si>
    <t>https://pbs.twimg.com/profile_images/1874800519367278592/3UI7A6W8_normal.jpg</t>
  </si>
  <si>
    <t>https://x.com/DSentralized/status/1877030280839548935</t>
  </si>
  <si>
    <t>https://pbs.twimg.com/profile_images/1862157648151330816/kNpAyFt6_normal.jpg</t>
  </si>
  <si>
    <t>https://x.com/KING__KEMBA/status/1878257007985148003</t>
  </si>
  <si>
    <t>https://pbs.twimg.com/profile_images/1831292852024045568/yH2FvLwm_normal.jpg</t>
  </si>
  <si>
    <t>https://www.cookie.fun/agent/mona</t>
  </si>
  <si>
    <t>https://pbs.twimg.com/profile_images/1861911597158907904/vPoP4H4J_400x400.jpg</t>
  </si>
  <si>
    <t>MONA</t>
  </si>
  <si>
    <t>@mona_witchy</t>
  </si>
  <si>
    <t>$0.₃951</t>
  </si>
  <si>
    <t>$951.6K</t>
  </si>
  <si>
    <t>$139.86K</t>
  </si>
  <si>
    <t>133.13K</t>
  </si>
  <si>
    <t>35 697</t>
  </si>
  <si>
    <t>4.21K</t>
  </si>
  <si>
    <t>https://x.com/notEezzy/status/1878468635611529243</t>
  </si>
  <si>
    <t>https://pbs.twimg.com/profile_images/1750880316196089856/YplOr-oj_normal.jpg</t>
  </si>
  <si>
    <t>https://x.com/huuep/status/1877401835545456764</t>
  </si>
  <si>
    <t>https://pbs.twimg.com/profile_images/1836640650412068867/0EZw0Bg-_normal.jpg</t>
  </si>
  <si>
    <t>https://x.com/jbondwagon/status/1879380516128059678</t>
  </si>
  <si>
    <t>https://pbs.twimg.com/profile_images/1872937933839450119/rmJyvgwE_normal.jpg</t>
  </si>
  <si>
    <t>https://x.com/SolanaCoach/status/1878716444420034639</t>
  </si>
  <si>
    <t>https://pbs.twimg.com/profile_images/1878903920967208960/PZoE1Siw_normal.jpg</t>
  </si>
  <si>
    <t>https://x.com/AOTMgallery/status/1878832492804800607</t>
  </si>
  <si>
    <t>https://www.cookie.fun/agent/agency</t>
  </si>
  <si>
    <t>https://pbs.twimg.com/profile_images/1868129158162731008/DI7uKLct_400x400.jpg</t>
  </si>
  <si>
    <t>AGENCY</t>
  </si>
  <si>
    <t>@_AgentScarlett</t>
  </si>
  <si>
    <t>-0.22</t>
  </si>
  <si>
    <t>$0.0083</t>
  </si>
  <si>
    <t>$8.35M</t>
  </si>
  <si>
    <t>$362.2K</t>
  </si>
  <si>
    <t>808.76K</t>
  </si>
  <si>
    <t>9 231</t>
  </si>
  <si>
    <t>4.48K</t>
  </si>
  <si>
    <t>https://x.com/Deebs_DeFi/status/1878468477045850403</t>
  </si>
  <si>
    <t>https://pbs.twimg.com/profile_images/1571180185709314049/cdNwbv8k_normal.jpg</t>
  </si>
  <si>
    <t>https://x.com/coinesper/status/1877690474372202595</t>
  </si>
  <si>
    <t>https://pbs.twimg.com/profile_images/1619729617098506243/FZLFQ6He_normal.jpg</t>
  </si>
  <si>
    <t>https://x.com/coinesper/status/1878387564475748706</t>
  </si>
  <si>
    <t>https://x.com/iWantCoinNews/status/1877706302857654317</t>
  </si>
  <si>
    <t>https://pbs.twimg.com/profile_images/1866136095576010752/WXMB4ek2_normal.jpg</t>
  </si>
  <si>
    <t>https://x.com/BenjiGanar/status/1878174261724262553</t>
  </si>
  <si>
    <t>https://www.cookie.fun/agent/otto-the-intern-of-botto</t>
  </si>
  <si>
    <t>https://pbs.twimg.com/profile_images/1444976013205704704/rczJjKX0_400x400.jpg</t>
  </si>
  <si>
    <t>BOTTO</t>
  </si>
  <si>
    <t>@bottoproject</t>
  </si>
  <si>
    <t>$0.6916</t>
  </si>
  <si>
    <t>$64.92M</t>
  </si>
  <si>
    <t>$3.28M</t>
  </si>
  <si>
    <t>148.14K</t>
  </si>
  <si>
    <t>31 827</t>
  </si>
  <si>
    <t>2 411</t>
  </si>
  <si>
    <t>4.96K</t>
  </si>
  <si>
    <t>https://x.com/verse_works/status/1877827620739698875</t>
  </si>
  <si>
    <t>https://pbs.twimg.com/profile_images/1599816737758879746/L-OdS7YP_normal.jpg</t>
  </si>
  <si>
    <t>https://x.com/SuperRareBot/status/1878201594505806124</t>
  </si>
  <si>
    <t>https://pbs.twimg.com/profile_images/1861583698388242432/hkGjELtU_normal.png</t>
  </si>
  <si>
    <t>https://x.com/BottoDAO/status/1877766416201302075</t>
  </si>
  <si>
    <t>https://pbs.twimg.com/profile_images/1851329073903255553/INdrP5Sc_normal.png</t>
  </si>
  <si>
    <t>https://x.com/randomcdog/status/1877267787791417806</t>
  </si>
  <si>
    <t>https://pbs.twimg.com/profile_images/1842904842659835905/P0AhjTyQ_normal.jpg</t>
  </si>
  <si>
    <t>https://x.com/verse_works/status/1878138271810679109</t>
  </si>
  <si>
    <t>https://www.cookie.fun/agent/kolin</t>
  </si>
  <si>
    <t>https://pbs.twimg.com/profile_images/1863678418354655232/u5nS13KY_400x400.jpg</t>
  </si>
  <si>
    <t>KOLIN</t>
  </si>
  <si>
    <t>@kolin_ai</t>
  </si>
  <si>
    <t>$0.0301</t>
  </si>
  <si>
    <t>$734.22K</t>
  </si>
  <si>
    <t>5.98M</t>
  </si>
  <si>
    <t>23 304</t>
  </si>
  <si>
    <t>9.92K</t>
  </si>
  <si>
    <t>https://x.com/cryptomanran/status/1877632384159395935</t>
  </si>
  <si>
    <t>https://pbs.twimg.com/profile_images/1834157145299763200/Fh1b6K9r_normal.jpg</t>
  </si>
  <si>
    <t>https://x.com/cryptomanran/status/1877947285591490583</t>
  </si>
  <si>
    <t>https://x.com/cryptomanran/status/1877747447704826366</t>
  </si>
  <si>
    <t>https://x.com/crypto_banter/status/1877814267266605113</t>
  </si>
  <si>
    <t>https://pbs.twimg.com/profile_images/1459203645782831117/GURd33BT_normal.jpg</t>
  </si>
  <si>
    <t>https://x.com/cryptomanran/status/1877707118553268721</t>
  </si>
  <si>
    <t>https://www.cookie.fun/agent/hiero</t>
  </si>
  <si>
    <t>https://pbs.twimg.com/profile_images/1877564123715670016/Y9P9SPH4_400x400.jpg</t>
  </si>
  <si>
    <t>HTERM</t>
  </si>
  <si>
    <t>@HieroTerminal</t>
  </si>
  <si>
    <t>$0.0284</t>
  </si>
  <si>
    <t>$23.06M</t>
  </si>
  <si>
    <t>$1.25M</t>
  </si>
  <si>
    <t>6.78M</t>
  </si>
  <si>
    <t>11 800</t>
  </si>
  <si>
    <t>6.37K</t>
  </si>
  <si>
    <t>https://x.com/Ed_x0101/status/1878177929881895330</t>
  </si>
  <si>
    <t>https://pbs.twimg.com/profile_images/1588828286464888832/RRN2JuTl_normal.jpg</t>
  </si>
  <si>
    <t>https://x.com/Alejandro_XBT/status/1878112899777913128</t>
  </si>
  <si>
    <t>https://pbs.twimg.com/profile_images/1768029358315171840/ZbsKj_pI_normal.jpg</t>
  </si>
  <si>
    <t>https://x.com/Alejandro_XBT/status/1877780590373560769</t>
  </si>
  <si>
    <t>https://x.com/matrixthesun/status/1877642357769977955</t>
  </si>
  <si>
    <t>https://pbs.twimg.com/profile_images/1855156346012024833/Cyq1S8xL_normal.png</t>
  </si>
  <si>
    <t>https://www.cookie.fun/agent/logos</t>
  </si>
  <si>
    <t>https://pbs.twimg.com/profile_images/1866442584350183424/wgY0q7Ns_400x400.jpg</t>
  </si>
  <si>
    <t>LOGOS</t>
  </si>
  <si>
    <t>@Logos_ai_</t>
  </si>
  <si>
    <t>$623.21K</t>
  </si>
  <si>
    <t>$72.14K</t>
  </si>
  <si>
    <t>63.8K</t>
  </si>
  <si>
    <t>13 350</t>
  </si>
  <si>
    <t>https://x.com/solanasteve_/status/1877486335239373003</t>
  </si>
  <si>
    <t>https://pbs.twimg.com/profile_images/1852435658008121344/eKv2ujUv_normal.jpg</t>
  </si>
  <si>
    <t>https://x.com/LeviNotAckerman/status/1878682585062334907</t>
  </si>
  <si>
    <t>https://pbs.twimg.com/profile_images/1872645310021058560/kIpIqTCP_normal.jpg</t>
  </si>
  <si>
    <t>https://x.com/lex_node/status/1878421230304280928</t>
  </si>
  <si>
    <t>https://pbs.twimg.com/profile_images/1866157311435198464/OxFCTT41_normal.jpg</t>
  </si>
  <si>
    <t>https://x.com/wenwencoin/status/1878455643650068535</t>
  </si>
  <si>
    <t>https://pbs.twimg.com/profile_images/1752542271365431296/pFGfGnRC_normal.jpg</t>
  </si>
  <si>
    <t>https://x.com/NFTSandy_/status/1879170679741837537</t>
  </si>
  <si>
    <t>https://www.cookie.fun/agent/wai</t>
  </si>
  <si>
    <t>https://pbs.twimg.com/profile_images/1858565382929608706/x-dCc4p__400x400.jpg</t>
  </si>
  <si>
    <t>WAI</t>
  </si>
  <si>
    <t>@wai_combinator</t>
  </si>
  <si>
    <t>-0.39</t>
  </si>
  <si>
    <t>$0.0204</t>
  </si>
  <si>
    <t>$20.35M</t>
  </si>
  <si>
    <t>$902.03K</t>
  </si>
  <si>
    <t>549.86K</t>
  </si>
  <si>
    <t>6 850</t>
  </si>
  <si>
    <t>54.49K</t>
  </si>
  <si>
    <t>https://x.com/WORLD3_AI/status/1878834127098835116</t>
  </si>
  <si>
    <t>https://pbs.twimg.com/profile_images/1788180813420335104/45kP5pCI_normal.jpg</t>
  </si>
  <si>
    <t>https://x.com/charles48011843/status/1877237509899563382</t>
  </si>
  <si>
    <t>https://pbs.twimg.com/profile_images/1385902238619475969/OFF9YmX9_normal.jpg</t>
  </si>
  <si>
    <t>https://x.com/vvickym2/status/1877639636769730720</t>
  </si>
  <si>
    <t>https://pbs.twimg.com/profile_images/1793152711468449792/Eep6GiEc_normal.jpg</t>
  </si>
  <si>
    <t>https://x.com/0xRyze/status/1878711859660116235</t>
  </si>
  <si>
    <t>https://pbs.twimg.com/profile_images/1876498814380679168/53maxu21_normal.jpg</t>
  </si>
  <si>
    <t>https://x.com/LgDoucet/status/1877806974210887816</t>
  </si>
  <si>
    <t>https://www.cookie.fun/agent/ai16z-eliza</t>
  </si>
  <si>
    <t>https://pbs.twimg.com/profile_images/1856169719058841600/wKC9a-5f_400x400.jpg</t>
  </si>
  <si>
    <t>@ai16zeliza</t>
  </si>
  <si>
    <t>-0.095</t>
  </si>
  <si>
    <t>$0.0043</t>
  </si>
  <si>
    <t>$4.13M</t>
  </si>
  <si>
    <t>$348.35K</t>
  </si>
  <si>
    <t>473.03K</t>
  </si>
  <si>
    <t>11 657</t>
  </si>
  <si>
    <t>12.36K</t>
  </si>
  <si>
    <t>https://x.com/fwielanier/status/1877379170482700403</t>
  </si>
  <si>
    <t>https://pbs.twimg.com/profile_images/1848503159624257538/Dodj7qqx_normal.jpg</t>
  </si>
  <si>
    <t>https://pbs.twimg.com/profile_images/1701808179599036416/pYJ05V___normal.jpg</t>
  </si>
  <si>
    <t>https://x.com/betashop/status/1878124501465985233</t>
  </si>
  <si>
    <t>https://www.cookie.fun/agent/simmi</t>
  </si>
  <si>
    <t>https://pbs.twimg.com/profile_images/1851676948897918976/3eQUc69U_400x400.jpg</t>
  </si>
  <si>
    <t>SIMMI</t>
  </si>
  <si>
    <t>@Simmi_IO</t>
  </si>
  <si>
    <t>$0.₃157</t>
  </si>
  <si>
    <t>$15.67M</t>
  </si>
  <si>
    <t>$926.64K</t>
  </si>
  <si>
    <t>1.32M</t>
  </si>
  <si>
    <t>14 984</t>
  </si>
  <si>
    <t>76.56K</t>
  </si>
  <si>
    <t>https://x.com/CryptoKaduna/status/1878529087578222703</t>
  </si>
  <si>
    <t>https://x.com/jkrdoc/status/1878749089288106407</t>
  </si>
  <si>
    <t>https://x.com/0x7d54/status/1878448490453352667</t>
  </si>
  <si>
    <t>https://pbs.twimg.com/profile_images/1789364971354128385/s8FHrPnq_normal.jpg</t>
  </si>
  <si>
    <t>https://x.com/Altcoinist_com/status/1878044778186604877</t>
  </si>
  <si>
    <t>https://www.cookie.fun/agent/ai-shell-nova</t>
  </si>
  <si>
    <t>https://pbs.twimg.com/profile_images/1864588990453829637/neLlNQRN_400x400.jpg</t>
  </si>
  <si>
    <t>NOVA</t>
  </si>
  <si>
    <t>@AiShellNova</t>
  </si>
  <si>
    <t>$0.0208</t>
  </si>
  <si>
    <t>$20.81M</t>
  </si>
  <si>
    <t>$801.85K</t>
  </si>
  <si>
    <t>1.13M</t>
  </si>
  <si>
    <t>4 772</t>
  </si>
  <si>
    <t>4.73K</t>
  </si>
  <si>
    <t>-0.29%</t>
  </si>
  <si>
    <t>https://x.com/gammichan/status/1878931440790052908</t>
  </si>
  <si>
    <t>https://x.com/ghost93_x/status/1879033045120172436</t>
  </si>
  <si>
    <t>https://x.com/JoshMcGruff/status/1877554590234689585</t>
  </si>
  <si>
    <t>https://pbs.twimg.com/profile_images/1637218141255131139/IY4gsV5h_normal.jpg</t>
  </si>
  <si>
    <t>https://x.com/JoshMcGruff/status/1879335313497264579</t>
  </si>
  <si>
    <t>https://www.cookie.fun/agent/kaia</t>
  </si>
  <si>
    <t>https://pbs.twimg.com/profile_images/1868445915809214464/hFhzO0sx_400x400.jpg</t>
  </si>
  <si>
    <t>KAIA</t>
  </si>
  <si>
    <t>@AiAgentkAia</t>
  </si>
  <si>
    <t>$0.₃397</t>
  </si>
  <si>
    <t>$384.92K</t>
  </si>
  <si>
    <t>$45.67K</t>
  </si>
  <si>
    <t>6.08K</t>
  </si>
  <si>
    <t>3 371</t>
  </si>
  <si>
    <t>https://x.com/rektmando/status/1877690784335442164</t>
  </si>
  <si>
    <t>https://pbs.twimg.com/profile_images/1593307551457738752/xT7UmPH0_normal.jpg</t>
  </si>
  <si>
    <t>https://x.com/Tyler_Did_It/status/1877342520948015516</t>
  </si>
  <si>
    <t>https://pbs.twimg.com/profile_images/1561354964534018049/T9lKN_2c_normal.jpg</t>
  </si>
  <si>
    <t>https://x.com/IxSwap/status/1879124793246785547</t>
  </si>
  <si>
    <t>https://pbs.twimg.com/profile_images/1621580327507345408/GTMoS6oZ_normal.jpg</t>
  </si>
  <si>
    <t>https://x.com/KaiaChain/status/1879394262829429234</t>
  </si>
  <si>
    <t>https://pbs.twimg.com/profile_images/1875027206357082112/BNDHc6Q1_normal.jpg</t>
  </si>
  <si>
    <t>https://x.com/sleepy0x13/status/1877296765092901063</t>
  </si>
  <si>
    <t>https://www.cookie.fun/agent/aixcb</t>
  </si>
  <si>
    <t>https://pbs.twimg.com/profile_images/1863391223509327872/P_EuN2za_400x400.png</t>
  </si>
  <si>
    <t>AIXCB</t>
  </si>
  <si>
    <t>@aixCB_Vc</t>
  </si>
  <si>
    <t>-0.019</t>
  </si>
  <si>
    <t>$0.0619</t>
  </si>
  <si>
    <t>$61.52M</t>
  </si>
  <si>
    <t>$1.99M</t>
  </si>
  <si>
    <t>1.49M</t>
  </si>
  <si>
    <t>12 454</t>
  </si>
  <si>
    <t>101.14K</t>
  </si>
  <si>
    <t>https://x.com/cryptodeadline/status/1878007910766198908</t>
  </si>
  <si>
    <t>https://pbs.twimg.com/profile_images/1878522574977556480/-UmtKrAk_normal.jpg</t>
  </si>
  <si>
    <t>https://x.com/IntractCampaign/status/1878305919974637611</t>
  </si>
  <si>
    <t>https://pbs.twimg.com/profile_images/1875116624673464321/j5Tvajd8_normal.jpg</t>
  </si>
  <si>
    <t>https://x.com/WiseCrypto_/status/1877221400638783827</t>
  </si>
  <si>
    <t>https://pbs.twimg.com/profile_images/1642829233809489922/GF1F9OZC_normal.jpg</t>
  </si>
  <si>
    <t>https://x.com/DeFiDecoder_/status/1878454996699607131</t>
  </si>
  <si>
    <t>https://pbs.twimg.com/profile_images/1809986552753512448/75hA8G2n_normal.jpg</t>
  </si>
  <si>
    <t>https://x.com/DeFiDecoder_/status/1877352242950349109</t>
  </si>
  <si>
    <t>https://www.cookie.fun/agent/gekko-ai</t>
  </si>
  <si>
    <t>https://pbs.twimg.com/profile_images/1869417110285266945/N54otClO_400x400.jpg</t>
  </si>
  <si>
    <t>GEKKO</t>
  </si>
  <si>
    <t>@Gekko_Agent</t>
  </si>
  <si>
    <t>$0.0227</t>
  </si>
  <si>
    <t>$22.71M</t>
  </si>
  <si>
    <t>$896.24K</t>
  </si>
  <si>
    <t>896.69K</t>
  </si>
  <si>
    <t>13 871</t>
  </si>
  <si>
    <t>61.2K</t>
  </si>
  <si>
    <t>https://www.cookie.fun/agent/zalpha</t>
  </si>
  <si>
    <t>https://pbs.twimg.com/profile_images/1821527383888760833/b63M3brg_400x400.jpg</t>
  </si>
  <si>
    <t>ZALPHA</t>
  </si>
  <si>
    <t>@ZapAlpha_</t>
  </si>
  <si>
    <t>$0.₃206</t>
  </si>
  <si>
    <t>$206.9K</t>
  </si>
  <si>
    <t>$35.23K</t>
  </si>
  <si>
    <t>49.02K</t>
  </si>
  <si>
    <t>3 883</t>
  </si>
  <si>
    <t>https://x.com/SolProfessor565/status/1878482293398147154</t>
  </si>
  <si>
    <t>https://pbs.twimg.com/profile_images/1873031108633169921/hRV7zr5H_normal.jpg</t>
  </si>
  <si>
    <t>https://x.com/RealDeFiGregg/status/1878705930063450482</t>
  </si>
  <si>
    <t>https://pbs.twimg.com/profile_images/1732097798424662016/XksPWfST_normal.jpg</t>
  </si>
  <si>
    <t>https://x.com/Alyweb3/status/1878879668427960679</t>
  </si>
  <si>
    <t>https://pbs.twimg.com/profile_images/1643341037891403778/tAsgiU_0_normal.jpg</t>
  </si>
  <si>
    <t>https://x.com/RealDeFiGregg/status/1877621420231950554</t>
  </si>
  <si>
    <t>https://x.com/RealDeFiGregg/status/1878011462783844563</t>
  </si>
  <si>
    <t>https://www.cookie.fun/agent/asym</t>
  </si>
  <si>
    <t>https://pbs.twimg.com/profile_images/1863644428541497344/7heoPSyN_400x400.jpg</t>
  </si>
  <si>
    <t>ASYM</t>
  </si>
  <si>
    <t>@ASYM41b07</t>
  </si>
  <si>
    <t>-0.29</t>
  </si>
  <si>
    <t>$12.39M</t>
  </si>
  <si>
    <t>$445K</t>
  </si>
  <si>
    <t>977.29K</t>
  </si>
  <si>
    <t>8 093</t>
  </si>
  <si>
    <t>https://x.com/mungimungimungi/status/1878145609758355860</t>
  </si>
  <si>
    <t>https://pbs.twimg.com/profile_images/1807955712611655680/VoSxLh_d_normal.jpg</t>
  </si>
  <si>
    <t>https://x.com/mungimungimungi/status/1877426444755771527</t>
  </si>
  <si>
    <t>https://x.com/nicedayJules/status/1877390684178755965</t>
  </si>
  <si>
    <t>https://pbs.twimg.com/profile_images/1784674902290862080/P55wozkH_normal.jpg</t>
  </si>
  <si>
    <t>https://x.com/JasonNFT/status/1877252581031862687</t>
  </si>
  <si>
    <t>https://pbs.twimg.com/profile_images/1876491110555488256/uwXwjqCF_normal.jpg</t>
  </si>
  <si>
    <t>https://x.com/ASAPether/status/1878528531782922472</t>
  </si>
  <si>
    <t>https://www.cookie.fun/agent/acolyte</t>
  </si>
  <si>
    <t>https://pbs.twimg.com/profile_images/1868843705060184064/3gASpEzg_400x400.jpg</t>
  </si>
  <si>
    <t>ACOLYT</t>
  </si>
  <si>
    <t>@AcolytAI</t>
  </si>
  <si>
    <t>$0.0444</t>
  </si>
  <si>
    <t>$44.06M</t>
  </si>
  <si>
    <t>3.25M</t>
  </si>
  <si>
    <t>7 672</t>
  </si>
  <si>
    <t>78.54K</t>
  </si>
  <si>
    <t>https://x.com/ghost93_x/status/1878523947756503092</t>
  </si>
  <si>
    <t>https://x.com/ghost93_x/status/1878538350250123305</t>
  </si>
  <si>
    <t>https://x.com/ghost93_x/status/1878830484341522750</t>
  </si>
  <si>
    <t>https://x.com/ghost93_x/status/1878617473685258586</t>
  </si>
  <si>
    <t>https://x.com/kurorosage/status/1879253461747040412</t>
  </si>
  <si>
    <t>https://www.cookie.fun/agent/turbo</t>
  </si>
  <si>
    <t>https://pbs.twimg.com/profile_images/1874099224163631104/aD5Tvp66_400x400.jpg</t>
  </si>
  <si>
    <t>TURBO</t>
  </si>
  <si>
    <t>@TurboToadToken</t>
  </si>
  <si>
    <t>-0.68%</t>
  </si>
  <si>
    <t>$575.84M</t>
  </si>
  <si>
    <t>634.86K</t>
  </si>
  <si>
    <t>107 335</t>
  </si>
  <si>
    <t>1 511</t>
  </si>
  <si>
    <t>51.34K</t>
  </si>
  <si>
    <t>https://x.com/AltCryptoGems/status/1878831874040385568</t>
  </si>
  <si>
    <t>https://x.com/CryptoEmpressX/status/1877597191084323209</t>
  </si>
  <si>
    <t>https://pbs.twimg.com/profile_images/1868157932564877312/aYZ3InKy_normal.jpg</t>
  </si>
  <si>
    <t>https://x.com/CryptoEmpressX/status/1879309762359337310</t>
  </si>
  <si>
    <t>https://www.cookie.fun/agent/shoggoth</t>
  </si>
  <si>
    <t>https://pbs.twimg.com/profile_images/1847742219308191745/NK-YTI6s_400x400.jpg</t>
  </si>
  <si>
    <t>SHOGGOTH</t>
  </si>
  <si>
    <t>@Shoggoth_SOL</t>
  </si>
  <si>
    <t>-0.1</t>
  </si>
  <si>
    <t>$0.0383</t>
  </si>
  <si>
    <t>$43.08M</t>
  </si>
  <si>
    <t>2.24M</t>
  </si>
  <si>
    <t>12 353</t>
  </si>
  <si>
    <t>18.75K</t>
  </si>
  <si>
    <t>https://x.com/Rewkang/status/1877483786599838026</t>
  </si>
  <si>
    <t>https://pbs.twimg.com/profile_images/1786874758421983232/L06COzZ-_normal.jpg</t>
  </si>
  <si>
    <t>https://x.com/MEXC_Official/status/1877019168609869967</t>
  </si>
  <si>
    <t>https://pbs.twimg.com/profile_images/1874108066469466112/MY-brhVa_normal.jpg</t>
  </si>
  <si>
    <t>https://x.com/0xCaptainLevi/status/1877397319613608301</t>
  </si>
  <si>
    <t>https://pbs.twimg.com/profile_images/1670456392971591681/NKZOtGRm_normal.jpg</t>
  </si>
  <si>
    <t>https://x.com/0xCaptainLevi/status/1877565949072568664</t>
  </si>
  <si>
    <t>https://www.cookie.fun/agent/convo</t>
  </si>
  <si>
    <t>https://pbs.twimg.com/profile_images/1876770611386617856/_nzohoGZ_400x400.jpg</t>
  </si>
  <si>
    <t>CONVO</t>
  </si>
  <si>
    <t>@convodotwtf</t>
  </si>
  <si>
    <t>-0.0067</t>
  </si>
  <si>
    <t>$3.68M</t>
  </si>
  <si>
    <t>$194.62K</t>
  </si>
  <si>
    <t>389.5K</t>
  </si>
  <si>
    <t>10 880</t>
  </si>
  <si>
    <t>https://x.com/mrpunkdoteth/status/1878474033966301419</t>
  </si>
  <si>
    <t>https://pbs.twimg.com/profile_images/1829954676172754944/AY0XOTPa_normal.jpg</t>
  </si>
  <si>
    <t>https://x.com/mrpunkdoteth/status/1878472820151239091</t>
  </si>
  <si>
    <t>https://x.com/mrpunkdoteth/status/1878444495030903209</t>
  </si>
  <si>
    <t>https://x.com/mrpunkdoteth/status/1879508914645184898</t>
  </si>
  <si>
    <t>https://x.com/mrpunkdoteth/status/1878518891942731846</t>
  </si>
  <si>
    <t>https://www.cookie.fun/agent/taocat</t>
  </si>
  <si>
    <t>https://pbs.twimg.com/profile_images/1861131653953073152/kzb4gKuw_400x400.jpg</t>
  </si>
  <si>
    <t>TAOCAT</t>
  </si>
  <si>
    <t>@taocat_agent</t>
  </si>
  <si>
    <t>$40.34M</t>
  </si>
  <si>
    <t>$979.06K</t>
  </si>
  <si>
    <t>550.7K</t>
  </si>
  <si>
    <t>12 778</t>
  </si>
  <si>
    <t>105.89K</t>
  </si>
  <si>
    <t>https://x.com/KevinSusanto/status/1877955650145206280</t>
  </si>
  <si>
    <t>https://pbs.twimg.com/profile_images/1873654337639247872/kMfJdZWl_normal.jpg</t>
  </si>
  <si>
    <t>https://x.com/liaoblove520/status/1879444313425506631</t>
  </si>
  <si>
    <t>https://pbs.twimg.com/profile_images/1698707317980852225/c8cr3mF6_normal.jpg</t>
  </si>
  <si>
    <t>https://x.com/kucoincom/status/1878661100369309822</t>
  </si>
  <si>
    <t>https://x.com/CryptoNewton/status/1879182201998266817</t>
  </si>
  <si>
    <t>https://pbs.twimg.com/profile_images/1585198113794494470/BklvuxQy_normal.jpg</t>
  </si>
  <si>
    <t>https://x.com/minstrell_/status/1877018570657255424</t>
  </si>
  <si>
    <t>https://www.cookie.fun/agent/rex</t>
  </si>
  <si>
    <t>https://pbs.twimg.com/profile_images/1857488709718786048/PjFQ8TNy_400x400.jpg</t>
  </si>
  <si>
    <t>REX</t>
  </si>
  <si>
    <t>@0xNavir</t>
  </si>
  <si>
    <t>$0.0046</t>
  </si>
  <si>
    <t>$4.42M</t>
  </si>
  <si>
    <t>$328.63K</t>
  </si>
  <si>
    <t>201.07K</t>
  </si>
  <si>
    <t>4 295</t>
  </si>
  <si>
    <t>3.81K</t>
  </si>
  <si>
    <t>https://x.com/ReadOnMe3/status/1877296401501323678</t>
  </si>
  <si>
    <t>https://pbs.twimg.com/profile_images/1779796708370837504/SRVo9CIX_normal.png</t>
  </si>
  <si>
    <t>https://x.com/dsmartsol/status/1878975812587979024</t>
  </si>
  <si>
    <t>https://pbs.twimg.com/profile_images/1877633171413467136/91OOzFSV_normal.jpg</t>
  </si>
  <si>
    <t>https://x.com/dsmartsol/status/1879299310640095415</t>
  </si>
  <si>
    <t>https://x.com/Web3Alex_/status/1877704422911795567</t>
  </si>
  <si>
    <t>https://pbs.twimg.com/profile_images/1803906216046850048/cv1dZJXi_normal.jpg</t>
  </si>
  <si>
    <t>https://x.com/simplecatnft/status/1879026078897090821</t>
  </si>
  <si>
    <t>https://www.cookie.fun/agent/duck-ai</t>
  </si>
  <si>
    <t>https://pbs.twimg.com/profile_images/1864465766034145280/l0xrEl5-_400x400.jpg</t>
  </si>
  <si>
    <t>DUCKAI</t>
  </si>
  <si>
    <t>@duckunfiltered</t>
  </si>
  <si>
    <t>$0.0245</t>
  </si>
  <si>
    <t>$24.53M</t>
  </si>
  <si>
    <t>$532.32K</t>
  </si>
  <si>
    <t>3 473</t>
  </si>
  <si>
    <t>2.65K</t>
  </si>
  <si>
    <t>https://x.com/rasmr_eth/status/1878972294292210114</t>
  </si>
  <si>
    <t>https://x.com/rasmr_eth/status/1878851313729233304</t>
  </si>
  <si>
    <t>https://x.com/CryptoInfluence/status/1878528636782821565</t>
  </si>
  <si>
    <t>https://pbs.twimg.com/profile_images/1871596575354413056/ivDFWKbb_normal.jpg</t>
  </si>
  <si>
    <t>https://www.cookie.fun/agent/aion-5100</t>
  </si>
  <si>
    <t>https://pbs.twimg.com/profile_images/1862104446634688512/l8DUQ6ns_400x400.jpg</t>
  </si>
  <si>
    <t>AION</t>
  </si>
  <si>
    <t>@aion5100</t>
  </si>
  <si>
    <t>-0.044</t>
  </si>
  <si>
    <t>$1.3607</t>
  </si>
  <si>
    <t>$28.57M</t>
  </si>
  <si>
    <t>$671.01K</t>
  </si>
  <si>
    <t>1.56M</t>
  </si>
  <si>
    <t>7 280</t>
  </si>
  <si>
    <t>15.92K</t>
  </si>
  <si>
    <t>https://www.cookie.fun/agent/jarvis</t>
  </si>
  <si>
    <t>https://pbs.twimg.com/profile_images/1859327780703309824/xa29TGP-_400x400.jpg</t>
  </si>
  <si>
    <t>JARVIS</t>
  </si>
  <si>
    <t>@jarvisterminal</t>
  </si>
  <si>
    <t>-0.058</t>
  </si>
  <si>
    <t>$0.₃411</t>
  </si>
  <si>
    <t>$404.76K</t>
  </si>
  <si>
    <t>$62.02K</t>
  </si>
  <si>
    <t>48.58K</t>
  </si>
  <si>
    <t>2.63K</t>
  </si>
  <si>
    <t>https://x.com/crypto_birb/status/1877470418065383530</t>
  </si>
  <si>
    <t>https://pbs.twimg.com/profile_images/1874824502007185408/PjRSNG9Y_normal.jpg</t>
  </si>
  <si>
    <t>https://x.com/ponzisaur/status/1878438102177329315</t>
  </si>
  <si>
    <t>https://pbs.twimg.com/profile_images/1869334335079489536/i3Qd_1b__normal.jpg</t>
  </si>
  <si>
    <t>https://x.com/The__Solstice/status/1878153005507506525</t>
  </si>
  <si>
    <t>https://pbs.twimg.com/profile_images/1830786921200521216/ei_obfWy_normal.jpg</t>
  </si>
  <si>
    <t>https://x.com/flashst3p/status/1879351213894025229</t>
  </si>
  <si>
    <t>https://pbs.twimg.com/profile_images/1878925796770738176/CQagORBp_normal.jpg</t>
  </si>
  <si>
    <t>https://x.com/MaransCrypto/status/1878003149270859830</t>
  </si>
  <si>
    <t>https://www.cookie.fun/agent/peanut-the-squirrel</t>
  </si>
  <si>
    <t>https://pbs.twimg.com/profile_images/1852816604612222976/g0lJgEnp_400x400.jpg</t>
  </si>
  <si>
    <t>PNUT</t>
  </si>
  <si>
    <t>@sentientpnut</t>
  </si>
  <si>
    <t>$0.₃130</t>
  </si>
  <si>
    <t>$129.51K</t>
  </si>
  <si>
    <t>$62.68K</t>
  </si>
  <si>
    <t>29.78K</t>
  </si>
  <si>
    <t>https://x.com/CoinbaseAssets/status/1878873507389423828</t>
  </si>
  <si>
    <t>https://x.com/CoinbaseAssets/status/1879215891449020772</t>
  </si>
  <si>
    <t>https://x.com/CoinbaseAssets/status/1878873511369847218</t>
  </si>
  <si>
    <t>https://x.com/gmEthereum/status/1877143629988282623</t>
  </si>
  <si>
    <t>https://pbs.twimg.com/profile_images/1701768132027707392/YyfQR5Cw_normal.png</t>
  </si>
  <si>
    <t>https://x.com/crypto_alerting/status/1877309505395884051</t>
  </si>
  <si>
    <t>https://www.cookie.fun/agent/realis</t>
  </si>
  <si>
    <t>https://pbs.twimg.com/profile_images/1869219264202223616/01Y9jTDS_400x400.png</t>
  </si>
  <si>
    <t>REALIS</t>
  </si>
  <si>
    <t>@realisworlds</t>
  </si>
  <si>
    <t>-0.078</t>
  </si>
  <si>
    <t>$0.0251</t>
  </si>
  <si>
    <t>$25.11M</t>
  </si>
  <si>
    <t>$948.96K</t>
  </si>
  <si>
    <t>2.47M</t>
  </si>
  <si>
    <t>19 856</t>
  </si>
  <si>
    <t>16.11K</t>
  </si>
  <si>
    <t>https://x.com/game_for_one/status/1877776057010385274</t>
  </si>
  <si>
    <t>https://pbs.twimg.com/profile_images/1607722344432242689/m1XRdYV7_normal.jpg</t>
  </si>
  <si>
    <t>https://x.com/CryptoStreamHub/status/1877653553084244207</t>
  </si>
  <si>
    <t>https://x.com/MasterChiefNFTs/status/1877431532203192697</t>
  </si>
  <si>
    <t>https://pbs.twimg.com/profile_images/1768803812578410496/C7RI-8SU_normal.jpg</t>
  </si>
  <si>
    <t>https://x.com/thelearningpill/status/1878479307439546849</t>
  </si>
  <si>
    <t>https://pbs.twimg.com/profile_images/1760946460340695040/8GEx_4x4_normal.jpg</t>
  </si>
  <si>
    <t>https://www.cookie.fun/agent/otto</t>
  </si>
  <si>
    <t>https://pbs.twimg.com/profile_images/1862088643541663744/6GZ61zsJ_400x400.jpg</t>
  </si>
  <si>
    <t>$OTTO</t>
  </si>
  <si>
    <t>@OttoOnChain</t>
  </si>
  <si>
    <t>$0.0051</t>
  </si>
  <si>
    <t>$5.13M</t>
  </si>
  <si>
    <t>$799.29K</t>
  </si>
  <si>
    <t>173.05K</t>
  </si>
  <si>
    <t>17 067</t>
  </si>
  <si>
    <t>18.94K</t>
  </si>
  <si>
    <t>https://x.com/gem_insider/status/1879106433997824460</t>
  </si>
  <si>
    <t>https://x.com/sentosumosaba/status/1879359023604248975</t>
  </si>
  <si>
    <t>https://pbs.twimg.com/profile_images/1289447695254396928/LPfvPY5W_normal.png</t>
  </si>
  <si>
    <t>https://x.com/Altsteinn/status/1877633789557391513</t>
  </si>
  <si>
    <t>https://pbs.twimg.com/profile_images/1778709769991176192/hFGUFdyw_normal.jpg</t>
  </si>
  <si>
    <t>https://www.cookie.fun/agent/bloomsperg-terminal</t>
  </si>
  <si>
    <t>https://pbs.twimg.com/profile_images/1876026103866736640/kGkyjKbA_400x400.jpg</t>
  </si>
  <si>
    <t>SPERG</t>
  </si>
  <si>
    <t>@sperg_ai</t>
  </si>
  <si>
    <t>$0.0174</t>
  </si>
  <si>
    <t>$17.31M</t>
  </si>
  <si>
    <t>$944.97K</t>
  </si>
  <si>
    <t>1.12M</t>
  </si>
  <si>
    <t>6 438</t>
  </si>
  <si>
    <t>4.84K</t>
  </si>
  <si>
    <t>https://x.com/0xcryptowizard/status/1877237999467114679</t>
  </si>
  <si>
    <t>https://x.com/Irenezhao_/status/1877253334857388118</t>
  </si>
  <si>
    <t>https://pbs.twimg.com/profile_images/1423875044598456321/SVjwd6Bb_normal.jpg</t>
  </si>
  <si>
    <t>https://x.com/0xcryptowizard/status/1877200255004942640</t>
  </si>
  <si>
    <t>https://x.com/0xcryptowizard/status/1877198751263060352</t>
  </si>
  <si>
    <t>https://x.com/OGDfarmer/status/1877010510480085452</t>
  </si>
  <si>
    <t>https://www.cookie.fun/agent/elsa-solana-ai-layer</t>
  </si>
  <si>
    <t>https://pbs.twimg.com/profile_images/1779182656770781184/qF8wJPrf_400x400.jpg</t>
  </si>
  <si>
    <t>ELSA SOLANA AI LAYER</t>
  </si>
  <si>
    <t>@HeyElsaAI</t>
  </si>
  <si>
    <t>15 943</t>
  </si>
  <si>
    <t>https://x.com/fkpxls/status/1879311743824077259</t>
  </si>
  <si>
    <t>https://pbs.twimg.com/profile_images/1877748125109977088/sQ90zbVa_normal.jpg</t>
  </si>
  <si>
    <t>https://x.com/CoinbaseDuck/status/1879221916843770367</t>
  </si>
  <si>
    <t>https://pbs.twimg.com/profile_images/1875393071594024960/-KWjHWhP_normal.jpg</t>
  </si>
  <si>
    <t>https://x.com/jessepollak/status/1879243402090578036</t>
  </si>
  <si>
    <t>https://pbs.twimg.com/profile_images/1877855839840833536/vCy9HOn__normal.png</t>
  </si>
  <si>
    <t>https://www.cookie.fun/agent/limbo</t>
  </si>
  <si>
    <t>https://pbs.twimg.com/profile_images/1868641179811614720/IOI-gw50_400x400.jpg</t>
  </si>
  <si>
    <t>LIMBO</t>
  </si>
  <si>
    <t>@Limbo_ai</t>
  </si>
  <si>
    <t>$13.16M</t>
  </si>
  <si>
    <t>$716.65K</t>
  </si>
  <si>
    <t>790.1K</t>
  </si>
  <si>
    <t>4 938</t>
  </si>
  <si>
    <t>4.99K</t>
  </si>
  <si>
    <t>https://x.com/ghost93_x/status/1877784258296635686</t>
  </si>
  <si>
    <t>https://x.com/gem_detecter/status/1877962394384896402</t>
  </si>
  <si>
    <t>https://pbs.twimg.com/profile_images/1358044917319237635/Q220eMRH_normal.jpg</t>
  </si>
  <si>
    <t>https://x.com/ghost93_x/status/1877896390199697676</t>
  </si>
  <si>
    <t>https://x.com/ghost93_x/status/1878471029258911833</t>
  </si>
  <si>
    <t>https://www.cookie.fun/agent/gluteus-maximus</t>
  </si>
  <si>
    <t>https://pbs.twimg.com/profile_images/1850843316776038400/YaQdhoc-_400x400.jpg</t>
  </si>
  <si>
    <t>GLUTEU</t>
  </si>
  <si>
    <t>@gluteu_virtuals</t>
  </si>
  <si>
    <t>-0.51</t>
  </si>
  <si>
    <t>$0.0103</t>
  </si>
  <si>
    <t>$8.1M</t>
  </si>
  <si>
    <t>$637.91K</t>
  </si>
  <si>
    <t>234.27K</t>
  </si>
  <si>
    <t>8 916</t>
  </si>
  <si>
    <t>50.39K</t>
  </si>
  <si>
    <t>https://x.com/NftPerks/status/1877252904861487222</t>
  </si>
  <si>
    <t>https://pbs.twimg.com/profile_images/1778366683888914433/GBWz-Jp__normal.jpg</t>
  </si>
  <si>
    <t>https://x.com/NftPerks/status/1878758096127889887</t>
  </si>
  <si>
    <t>https://x.com/NftPerks/status/1877697573919592457</t>
  </si>
  <si>
    <t>https://x.com/thegaboeth/status/1878758253242290598</t>
  </si>
  <si>
    <t>https://pbs.twimg.com/profile_images/1855533647324913664/lQ3i5qLX_normal.jpg</t>
  </si>
  <si>
    <t>https://www.cookie.fun/agent/mizuki</t>
  </si>
  <si>
    <t>https://pbs.twimg.com/profile_images/1866788413241954306/ZD4kTsGT_400x400.jpg</t>
  </si>
  <si>
    <t>MIZUKI</t>
  </si>
  <si>
    <t>@_Mizuki_exe</t>
  </si>
  <si>
    <t>-0.051</t>
  </si>
  <si>
    <t>$0.0209</t>
  </si>
  <si>
    <t>$20.87M</t>
  </si>
  <si>
    <t>$541.15K</t>
  </si>
  <si>
    <t>734.64K</t>
  </si>
  <si>
    <t>11 440</t>
  </si>
  <si>
    <t>7.23K</t>
  </si>
  <si>
    <t>https://x.com/The__Solstice/status/1878003798859554874</t>
  </si>
  <si>
    <t>https://x.com/0x7d54/status/1878982548447207601</t>
  </si>
  <si>
    <t>https://x.com/mr_benft/status/1878112676238246187</t>
  </si>
  <si>
    <t>https://pbs.twimg.com/profile_images/1708889475445555200/wysRKWcO_normal.jpg</t>
  </si>
  <si>
    <t>https://x.com/skyyman69/status/1877690100869480922</t>
  </si>
  <si>
    <t>https://pbs.twimg.com/profile_images/1878208698994094080/LPvw2NWt_normal.jpg</t>
  </si>
  <si>
    <t>https://x.com/BbtNtwrk/status/1878915852721951131</t>
  </si>
  <si>
    <t>https://www.cookie.fun/agent/sploots</t>
  </si>
  <si>
    <t>https://pbs.twimg.com/profile_images/1861235858168569856/PaGaTUGs_400x400.png</t>
  </si>
  <si>
    <t>SPLOOT</t>
  </si>
  <si>
    <t>@AgentSploots</t>
  </si>
  <si>
    <t>-0.15</t>
  </si>
  <si>
    <t>$0.0039</t>
  </si>
  <si>
    <t>$3.93M</t>
  </si>
  <si>
    <t>$310.1K</t>
  </si>
  <si>
    <t>112.01K</t>
  </si>
  <si>
    <t>6 397</t>
  </si>
  <si>
    <t>34.08K</t>
  </si>
  <si>
    <t>https://x.com/RealJonahBlake/status/1877856053146099823</t>
  </si>
  <si>
    <t>https://pbs.twimg.com/profile_images/1846269193370406912/06U5y96x_normal.jpg</t>
  </si>
  <si>
    <t>https://x.com/Chilearmy123/status/1877868073224409255</t>
  </si>
  <si>
    <t>https://pbs.twimg.com/profile_images/1858571164953833472/UnkKfsAI_normal.jpg</t>
  </si>
  <si>
    <t>https://x.com/RealJonahBlake/status/1878499705300115618</t>
  </si>
  <si>
    <t>https://x.com/RealJonahBlake/status/1878525403482013748</t>
  </si>
  <si>
    <t>https://x.com/RealJonahBlake/status/1879308897816805860</t>
  </si>
  <si>
    <t>https://www.cookie.fun/agent/limitless</t>
  </si>
  <si>
    <t>https://pbs.twimg.com/profile_images/1865224384744681472/2pnacw8N_400x400.jpg</t>
  </si>
  <si>
    <t>LIMITLESS</t>
  </si>
  <si>
    <t>@onlywithneo</t>
  </si>
  <si>
    <t>$0.0076</t>
  </si>
  <si>
    <t>$7.62M</t>
  </si>
  <si>
    <t>$218.17K</t>
  </si>
  <si>
    <t>1.26M</t>
  </si>
  <si>
    <t>3 472</t>
  </si>
  <si>
    <t>1.97K</t>
  </si>
  <si>
    <t>https://x.com/XDeGods/status/1878933749586600180</t>
  </si>
  <si>
    <t>https://pbs.twimg.com/profile_images/1765921509879537664/dAebweUc_normal.jpg</t>
  </si>
  <si>
    <t>https://x.com/ChartFuMonkey/status/1879118642337751339</t>
  </si>
  <si>
    <t>https://pbs.twimg.com/profile_images/1877376167507890176/ctIXJTwa_normal.jpg</t>
  </si>
  <si>
    <t>https://x.com/XDeGods/status/1878754041465094536</t>
  </si>
  <si>
    <t>https://x.com/XDeGods/status/1879222025509867760</t>
  </si>
  <si>
    <t>https://x.com/XDeGods/status/1879316795779420480</t>
  </si>
  <si>
    <t>https://www.cookie.fun/agent/opus</t>
  </si>
  <si>
    <t>https://pbs.twimg.com/profile_images/1854908646905257985/VWHB7Lyu_400x400.jpg</t>
  </si>
  <si>
    <t>OPUS</t>
  </si>
  <si>
    <t>@opus_genesis</t>
  </si>
  <si>
    <t>$21.08M</t>
  </si>
  <si>
    <t>$1.45M</t>
  </si>
  <si>
    <t>1.85M</t>
  </si>
  <si>
    <t>14 182</t>
  </si>
  <si>
    <t>17.65K</t>
  </si>
  <si>
    <t>https://x.com/Cryppocrates/status/1878215761598288125</t>
  </si>
  <si>
    <t>https://x.com/Crypto_Alch/status/1879196956423287246</t>
  </si>
  <si>
    <t>https://pbs.twimg.com/profile_images/1722153907499986944/xv3-3-Gn_normal.jpg</t>
  </si>
  <si>
    <t>https://x.com/Pledditor/status/1877146366993969497</t>
  </si>
  <si>
    <t>https://pbs.twimg.com/profile_images/1815592146910466048/qQzzHE0R_normal.jpg</t>
  </si>
  <si>
    <t>https://x.com/boobs_scary/status/1878346630149124234</t>
  </si>
  <si>
    <t>https://pbs.twimg.com/profile_images/1824187416342597632/dNmT7lhv_normal.jpg</t>
  </si>
  <si>
    <t>https://www.cookie.fun/agent/morph</t>
  </si>
  <si>
    <t>https://pbs.twimg.com/profile_images/1831439621898518528/xzaN4Y_8_400x400.jpg</t>
  </si>
  <si>
    <t>MORPH</t>
  </si>
  <si>
    <t>@GalacticHeist</t>
  </si>
  <si>
    <t>-0.043</t>
  </si>
  <si>
    <t>$0.₅144</t>
  </si>
  <si>
    <t>$2.7M</t>
  </si>
  <si>
    <t>$130.73K</t>
  </si>
  <si>
    <t>23.99K</t>
  </si>
  <si>
    <t>1 796</t>
  </si>
  <si>
    <t>https://x.com/WhalesMarket/status/1877009541432291329</t>
  </si>
  <si>
    <t>https://pbs.twimg.com/profile_images/1869314824213340160/OF1S2yom_normal.png</t>
  </si>
  <si>
    <t>https://x.com/AltcoinGordon/status/1877632041476341988</t>
  </si>
  <si>
    <t>https://pbs.twimg.com/profile_images/1745081671756472320/PBIlV2do_normal.jpg</t>
  </si>
  <si>
    <t>https://x.com/AbrarTheCrypto_/status/1878019236519698477</t>
  </si>
  <si>
    <t>https://pbs.twimg.com/profile_images/1812479890282749952/_iGDrK6u_normal.jpg</t>
  </si>
  <si>
    <t>https://x.com/cecilia_hsueh/status/1879028063574606084</t>
  </si>
  <si>
    <t>https://pbs.twimg.com/profile_images/1805216347191681024/dKIY_znG_normal.jpg</t>
  </si>
  <si>
    <t>https://x.com/mhluongo/status/1878243823354061223</t>
  </si>
  <si>
    <t>https://www.cookie.fun/agent/nova-on-mars</t>
  </si>
  <si>
    <t>https://pbs.twimg.com/profile_images/1851347164103901186/0W7XUrzh_400x400.jpg</t>
  </si>
  <si>
    <t>@novaonmars</t>
  </si>
  <si>
    <t>-0.08</t>
  </si>
  <si>
    <t>$0.₃937</t>
  </si>
  <si>
    <t>$937.72K</t>
  </si>
  <si>
    <t>$91.51K</t>
  </si>
  <si>
    <t>61.48K</t>
  </si>
  <si>
    <t>https://www.cookie.fun/agent/seraph-ai</t>
  </si>
  <si>
    <t>https://pbs.twimg.com/profile_images/1863417281822490624/VVBVwC0R_400x400.jpg</t>
  </si>
  <si>
    <t>SERAPH</t>
  </si>
  <si>
    <t>@SeraphAgent</t>
  </si>
  <si>
    <t>-0.33</t>
  </si>
  <si>
    <t>$0.0177</t>
  </si>
  <si>
    <t>$17.65M</t>
  </si>
  <si>
    <t>$633.74K</t>
  </si>
  <si>
    <t>224.11K</t>
  </si>
  <si>
    <t>14 542</t>
  </si>
  <si>
    <t>124.28K</t>
  </si>
  <si>
    <t>https://x.com/MookieNFT/status/1878535773211046090</t>
  </si>
  <si>
    <t>https://pbs.twimg.com/profile_images/1872860038529798144/cIXiAY1R_normal.jpg</t>
  </si>
  <si>
    <t>https://x.com/TATrader_Alan/status/1877841346784002217</t>
  </si>
  <si>
    <t>https://pbs.twimg.com/profile_images/1612298772343816192/5o1KRFB8_normal.jpg</t>
  </si>
  <si>
    <t>https://x.com/todayindefi/status/1879068433188638945</t>
  </si>
  <si>
    <t>https://pbs.twimg.com/profile_images/1874803346961563648/tTsv1sb-_normal.jpg</t>
  </si>
  <si>
    <t>https://www.cookie.fun/agent/alris</t>
  </si>
  <si>
    <t>https://pbs.twimg.com/profile_images/1872194045734170624/f50upLYA_400x400.jpg</t>
  </si>
  <si>
    <t>ALR</t>
  </si>
  <si>
    <t>@alrisagent</t>
  </si>
  <si>
    <t>-0.025</t>
  </si>
  <si>
    <t>$0.0055</t>
  </si>
  <si>
    <t>$5.45M</t>
  </si>
  <si>
    <t>$295.98K</t>
  </si>
  <si>
    <t>2.26M</t>
  </si>
  <si>
    <t>5 246</t>
  </si>
  <si>
    <t>https://www.cookie.fun/agent/ongo</t>
  </si>
  <si>
    <t>https://pbs.twimg.com/profile_images/1867760164222164994/iSohIGSx_400x400.jpg</t>
  </si>
  <si>
    <t>ONGO</t>
  </si>
  <si>
    <t>@ongo_ai</t>
  </si>
  <si>
    <t>$0.₃707</t>
  </si>
  <si>
    <t>$707.36K</t>
  </si>
  <si>
    <t>$74.46K</t>
  </si>
  <si>
    <t>21.25K</t>
  </si>
  <si>
    <t>4 384</t>
  </si>
  <si>
    <t>https://x.com/kikanicolela/status/1878421696052388275</t>
  </si>
  <si>
    <t>https://pbs.twimg.com/profile_images/1865895203699150848/qJlWeE5O_normal.jpg</t>
  </si>
  <si>
    <t>https://x.com/IAmPotDEALer/status/1878145370858914169</t>
  </si>
  <si>
    <t>https://pbs.twimg.com/profile_images/1862670486359928832/pHf7ZfS1_normal.jpg</t>
  </si>
  <si>
    <t>https://x.com/scizors_eth/status/1877241164400632201</t>
  </si>
  <si>
    <t>https://pbs.twimg.com/profile_images/1601794686397534208/b9X0uVka_normal.png</t>
  </si>
  <si>
    <t>https://x.com/theYRDGZ/status/1877474119786045440</t>
  </si>
  <si>
    <t>https://pbs.twimg.com/profile_images/1815426158172798983/8XxWaQRA_normal.jpg</t>
  </si>
  <si>
    <t>https://x.com/NFTBiker/status/1879296049527021734</t>
  </si>
  <si>
    <t>https://www.cookie.fun/agent/keke</t>
  </si>
  <si>
    <t>https://pbs.twimg.com/profile_images/1859879045640458240/9YuZWd1e_400x400.jpg</t>
  </si>
  <si>
    <t>KEKE</t>
  </si>
  <si>
    <t>@keke_terminal</t>
  </si>
  <si>
    <t>$0.023</t>
  </si>
  <si>
    <t>$23M</t>
  </si>
  <si>
    <t>$351.53K</t>
  </si>
  <si>
    <t>157.57K</t>
  </si>
  <si>
    <t>2 521</t>
  </si>
  <si>
    <t>1.54K</t>
  </si>
  <si>
    <t>https://x.com/halecar2/status/1877453350830059953</t>
  </si>
  <si>
    <t>https://pbs.twimg.com/profile_images/1735073358587330560/Bya8I34Y_normal.jpg</t>
  </si>
  <si>
    <t>https://x.com/keigowda/status/1877047910954602728</t>
  </si>
  <si>
    <t>https://pbs.twimg.com/profile_images/1851899017690587136/bRhRc56w_normal.jpg</t>
  </si>
  <si>
    <t>https://x.com/budaz__/status/1879112409945919765</t>
  </si>
  <si>
    <t>https://pbs.twimg.com/profile_images/1874380556131094528/I4af7aw6_normal.jpg</t>
  </si>
  <si>
    <t>https://x.com/broke0x/status/1877225407746900370</t>
  </si>
  <si>
    <t>https://pbs.twimg.com/profile_images/1784948860973981696/g4KjSRCu_normal.jpg</t>
  </si>
  <si>
    <t>https://x.com/thepropgallery/status/1877091052865089726</t>
  </si>
  <si>
    <t>https://www.cookie.fun/agent/moss</t>
  </si>
  <si>
    <t>https://pbs.twimg.com/profile_images/1873586640331091969/yrQ3nUwG_400x400.jpg</t>
  </si>
  <si>
    <t>MOSS</t>
  </si>
  <si>
    <t>@realMOSSCoin</t>
  </si>
  <si>
    <t>-0.046</t>
  </si>
  <si>
    <t>$19.54M</t>
  </si>
  <si>
    <t>$702.48K</t>
  </si>
  <si>
    <t>3.21M</t>
  </si>
  <si>
    <t>8 152</t>
  </si>
  <si>
    <t>8.45K</t>
  </si>
  <si>
    <t>https://www.cookie.fun/agent/ai-bloom</t>
  </si>
  <si>
    <t>https://pbs.twimg.com/profile_images/1773764799664693248/60pGWFxJ_400x400.jpg</t>
  </si>
  <si>
    <t>AI BLOOM</t>
  </si>
  <si>
    <t>@play_Bloomverse</t>
  </si>
  <si>
    <t>26 766</t>
  </si>
  <si>
    <t>https://x.com/TheCryptoKazi/status/1877045781368111292</t>
  </si>
  <si>
    <t>https://pbs.twimg.com/profile_images/1779633957165756418/WUIJVOqw_normal.jpg</t>
  </si>
  <si>
    <t>https://x.com/moneyl0rd/status/1877134781781090729</t>
  </si>
  <si>
    <t>https://pbs.twimg.com/profile_images/1854319673396850694/bt7bFsP0_normal.jpg</t>
  </si>
  <si>
    <t>https://x.com/moneyl0rd/status/1877447178412548437</t>
  </si>
  <si>
    <t>https://x.com/TheCryptoKazi/status/1879220342067286510</t>
  </si>
  <si>
    <t>https://x.com/Cardb00rd/status/1878559702176477481</t>
  </si>
  <si>
    <t>https://www.cookie.fun/agent/mana-on-sol</t>
  </si>
  <si>
    <t>https://pbs.twimg.com/profile_images/1866450771761344512/bzxFJWq5_400x400.jpg</t>
  </si>
  <si>
    <t>MANA</t>
  </si>
  <si>
    <t>@manaonsolcto</t>
  </si>
  <si>
    <t>-0.053</t>
  </si>
  <si>
    <t>$1.9M</t>
  </si>
  <si>
    <t>$205.35K</t>
  </si>
  <si>
    <t>422.62K</t>
  </si>
  <si>
    <t>7 521</t>
  </si>
  <si>
    <t>11.44K</t>
  </si>
  <si>
    <t>https://x.com/worldoffisher/status/1878033818512453872</t>
  </si>
  <si>
    <t>https://pbs.twimg.com/profile_images/1751922623464787968/8xa4JKTE_normal.jpg</t>
  </si>
  <si>
    <t>https://x.com/AltCryptoGems/status/1877626682644820141</t>
  </si>
  <si>
    <t>https://x.com/GemsScope/status/1877768793650270609</t>
  </si>
  <si>
    <t>https://pbs.twimg.com/profile_images/1832865606195924993/OJEEj12O_normal.jpg</t>
  </si>
  <si>
    <t>https://x.com/sayinshallah/status/1879047087393997265</t>
  </si>
  <si>
    <t>https://pbs.twimg.com/profile_images/1876197832148885504/7It1TBsX_normal.jpg</t>
  </si>
  <si>
    <t>https://www.cookie.fun/agent/zara</t>
  </si>
  <si>
    <t>https://pbs.twimg.com/profile_images/1856269985984757760/xkbnlwQ5_400x400.jpg</t>
  </si>
  <si>
    <t>ZARA</t>
  </si>
  <si>
    <t>@zaara_ai</t>
  </si>
  <si>
    <t>$0.0203</t>
  </si>
  <si>
    <t>$13.17M</t>
  </si>
  <si>
    <t>$534.75K</t>
  </si>
  <si>
    <t>1.82M</t>
  </si>
  <si>
    <t>6 170</t>
  </si>
  <si>
    <t>5.49K</t>
  </si>
  <si>
    <t>https://x.com/gammichan/status/1879027711450214615</t>
  </si>
  <si>
    <t>https://x.com/KaminoCrypto/status/1879437420133073144</t>
  </si>
  <si>
    <t>https://pbs.twimg.com/profile_images/1864599209778741248/RMgjfx39_normal.jpg</t>
  </si>
  <si>
    <t>https://x.com/Sabrx0/status/1878110309220487591</t>
  </si>
  <si>
    <t>https://pbs.twimg.com/profile_images/1862938288262172672/IEA0yl0X_normal.jpg</t>
  </si>
  <si>
    <t>https://x.com/basilda_a/status/1877768898214601102</t>
  </si>
  <si>
    <t>https://pbs.twimg.com/profile_images/1855193730426290176/UyV2mnPm_normal.jpg</t>
  </si>
  <si>
    <t>https://www.cookie.fun/agent/project89</t>
  </si>
  <si>
    <t>https://pbs.twimg.com/profile_images/1856102351741894656/vASzKIfT_400x400.jpg</t>
  </si>
  <si>
    <t>PROJECT89</t>
  </si>
  <si>
    <t>@project_89</t>
  </si>
  <si>
    <t>$0.0231</t>
  </si>
  <si>
    <t>$23.11M</t>
  </si>
  <si>
    <t>$1.5M</t>
  </si>
  <si>
    <t>1.59M</t>
  </si>
  <si>
    <t>39 555</t>
  </si>
  <si>
    <t>21.06K</t>
  </si>
  <si>
    <t>https://x.com/gem_detecter/status/1877906710989582424</t>
  </si>
  <si>
    <t>https://x.com/EmblemVault/status/1877884129288790282</t>
  </si>
  <si>
    <t>https://pbs.twimg.com/profile_images/1749941408197451776/gk9Gro7o_normal.jpg</t>
  </si>
  <si>
    <t>https://x.com/Tyler_Did_It/status/1877840791298568645</t>
  </si>
  <si>
    <t>https://x.com/jakegallen_/status/1877099974078464265</t>
  </si>
  <si>
    <t>https://www.cookie.fun/agent/axi</t>
  </si>
  <si>
    <t>https://pbs.twimg.com/profile_images/1868347870757457920/v0lXAjW0_400x400.jpg</t>
  </si>
  <si>
    <t>AXI</t>
  </si>
  <si>
    <t>@hello_world_AXI</t>
  </si>
  <si>
    <t>$0.₃990</t>
  </si>
  <si>
    <t>$990.54K</t>
  </si>
  <si>
    <t>$93.32K</t>
  </si>
  <si>
    <t>24.97K</t>
  </si>
  <si>
    <t>2 587</t>
  </si>
  <si>
    <t>2.43K</t>
  </si>
  <si>
    <t>https://www.cookie.fun/agent/spell</t>
  </si>
  <si>
    <t>https://pbs.twimg.com/profile_images/1876827777313239040/mO_qM4sq_400x400.jpg</t>
  </si>
  <si>
    <t>SPELL</t>
  </si>
  <si>
    <t>@spellcasterart</t>
  </si>
  <si>
    <t>$0.₃103</t>
  </si>
  <si>
    <t>$103.46K</t>
  </si>
  <si>
    <t>$33.4K</t>
  </si>
  <si>
    <t>5.22K</t>
  </si>
  <si>
    <t>1.5K</t>
  </si>
  <si>
    <t>https://x.com/tuukzs/status/1877544685184426054</t>
  </si>
  <si>
    <t>https://pbs.twimg.com/profile_images/1876827907114303488/-4F9E9Df_normal.jpg</t>
  </si>
  <si>
    <t>https://x.com/tuukzs/status/1878295102453424340</t>
  </si>
  <si>
    <t>https://www.cookie.fun/agent/profitpilot</t>
  </si>
  <si>
    <t>https://pbs.twimg.com/profile_images/1875848848914198528/dTDQkdua_400x400.jpg</t>
  </si>
  <si>
    <t>PPAI</t>
  </si>
  <si>
    <t>@ProfitPilot_AI</t>
  </si>
  <si>
    <t>$0.0354</t>
  </si>
  <si>
    <t>$742.94K</t>
  </si>
  <si>
    <t>$70.76K</t>
  </si>
  <si>
    <t>99.48K</t>
  </si>
  <si>
    <t>12.47K</t>
  </si>
  <si>
    <t>https://x.com/tradingtulips/status/1877922346389901767</t>
  </si>
  <si>
    <t>https://pbs.twimg.com/profile_images/1727082596507762688/u1y5wTSG_normal.jpg</t>
  </si>
  <si>
    <t>https://x.com/tradingtulips/status/1877267272995123472</t>
  </si>
  <si>
    <t>https://x.com/cooldown_eth/status/1879309813571854748</t>
  </si>
  <si>
    <t>https://pbs.twimg.com/profile_images/1856479912011440128/WhuuUxEc_normal.jpg</t>
  </si>
  <si>
    <t>https://www.cookie.fun/agent/polytrader</t>
  </si>
  <si>
    <t>https://pbs.twimg.com/profile_images/1860041090197229568/kFhj4Xka_400x400.jpg</t>
  </si>
  <si>
    <t>POLY</t>
  </si>
  <si>
    <t>@polytraderAI</t>
  </si>
  <si>
    <t>$0.0235</t>
  </si>
  <si>
    <t>-0.69%</t>
  </si>
  <si>
    <t>$23.43M</t>
  </si>
  <si>
    <t>$921.03K</t>
  </si>
  <si>
    <t>1.15M</t>
  </si>
  <si>
    <t>9 365</t>
  </si>
  <si>
    <t>72.33K</t>
  </si>
  <si>
    <t>https://www.cookie.fun/agent/predo</t>
  </si>
  <si>
    <t>https://pbs.twimg.com/profile_images/1874579965330460672/4n6M9QB1_400x400.jpg</t>
  </si>
  <si>
    <t>PREDO</t>
  </si>
  <si>
    <t>@predofun</t>
  </si>
  <si>
    <t>$199.04K</t>
  </si>
  <si>
    <t>1.3M</t>
  </si>
  <si>
    <t>7 006</t>
  </si>
  <si>
    <t>https://x.com/TheBoggartt/status/1877104353594552794</t>
  </si>
  <si>
    <t>https://pbs.twimg.com/profile_images/1775649841562980353/2E0MAPqa_normal.jpg</t>
  </si>
  <si>
    <t>https://x.com/TheBoggartt/status/1877401939266122028</t>
  </si>
  <si>
    <t>https://x.com/TheBoggartt/status/1877826311097397546</t>
  </si>
  <si>
    <t>https://x.com/TheBoggartt/status/1877796483308691528</t>
  </si>
  <si>
    <t>https://www.cookie.fun/agent/degen-spartan-ai</t>
  </si>
  <si>
    <t>https://pbs.twimg.com/profile_images/1848179744300244992/U41e9Trv_400x400.jpg</t>
  </si>
  <si>
    <t>DEGENAI</t>
  </si>
  <si>
    <t>@degenspartanai</t>
  </si>
  <si>
    <t>-0.064</t>
  </si>
  <si>
    <t>$0.0545</t>
  </si>
  <si>
    <t>$54.52M</t>
  </si>
  <si>
    <t>$2.98M</t>
  </si>
  <si>
    <t>4.79M</t>
  </si>
  <si>
    <t>22 108</t>
  </si>
  <si>
    <t>15.87K</t>
  </si>
  <si>
    <t>https://www.cookie.fun/agent/tony-ai</t>
  </si>
  <si>
    <t>https://pbs.twimg.com/profile_images/1866626786399780864/rm7xDNBH_400x400.png</t>
  </si>
  <si>
    <t>TONY</t>
  </si>
  <si>
    <t>@BigTonyXBT</t>
  </si>
  <si>
    <t>$0.₄617</t>
  </si>
  <si>
    <t>$6.17M</t>
  </si>
  <si>
    <t>$988.57K</t>
  </si>
  <si>
    <t>167.8K</t>
  </si>
  <si>
    <t>4 678</t>
  </si>
  <si>
    <t>https://x.com/0xBebis_/status/1879255781729763742</t>
  </si>
  <si>
    <t>https://pbs.twimg.com/profile_images/1872371692388884480/1BrkL2_T_normal.jpg</t>
  </si>
  <si>
    <t>https://x.com/RickBakas/status/1877026024950575520</t>
  </si>
  <si>
    <t>https://pbs.twimg.com/profile_images/1852448263108239360/Yj_RgJWP_normal.jpg</t>
  </si>
  <si>
    <t>https://x.com/bittybitbit86/status/1877360406630387770</t>
  </si>
  <si>
    <t>https://pbs.twimg.com/profile_images/1875747557445361665/3IWSaZY-_normal.jpg</t>
  </si>
  <si>
    <t>https://www.cookie.fun/agent/ait</t>
  </si>
  <si>
    <t>https://pbs.twimg.com/profile_images/1870076582963945472/LN_Val_Z_400x400.jpg</t>
  </si>
  <si>
    <t>AIT</t>
  </si>
  <si>
    <t>@ait_agent</t>
  </si>
  <si>
    <t>$110.14K</t>
  </si>
  <si>
    <t>79.56K</t>
  </si>
  <si>
    <t>4 634</t>
  </si>
  <si>
    <t>2.55K</t>
  </si>
  <si>
    <t>https://x.com/cryptotutor/status/1877100655233409184</t>
  </si>
  <si>
    <t>https://pbs.twimg.com/profile_images/1484675718227374084/KwlUzuE3_normal.jpg</t>
  </si>
  <si>
    <t>https://x.com/cryptotutor/status/1877099193723920750</t>
  </si>
  <si>
    <t>https://x.com/Tim_4444/status/1877266427196932315</t>
  </si>
  <si>
    <t>https://pbs.twimg.com/profile_images/1342162655478493185/WdI1sonp_normal.jpg</t>
  </si>
  <si>
    <t>https://x.com/cryptotutor/status/1877293253902376985</t>
  </si>
  <si>
    <t>https://www.cookie.fun/agent/airene</t>
  </si>
  <si>
    <t>https://pbs.twimg.com/profile_images/1871434944024866816/VP-p9B5M_400x400.jpg</t>
  </si>
  <si>
    <t>AIRENE</t>
  </si>
  <si>
    <t>@airene_asianmom</t>
  </si>
  <si>
    <t>-0.0095%</t>
  </si>
  <si>
    <t>$3.87M</t>
  </si>
  <si>
    <t>$527.67K</t>
  </si>
  <si>
    <t>653.78K</t>
  </si>
  <si>
    <t>8 584</t>
  </si>
  <si>
    <t>84.02K</t>
  </si>
  <si>
    <t>https://x.com/Irenezhao_/status/1877362575123558617</t>
  </si>
  <si>
    <t>https://x.com/Irenezhao_/status/1877739701068783944</t>
  </si>
  <si>
    <t>https://x.com/Irenezhao_/status/1879489402885558516</t>
  </si>
  <si>
    <t>https://x.com/Irenezhao_/status/1877672916759801971</t>
  </si>
  <si>
    <t>https://www.cookie.fun/agent/memes-ai</t>
  </si>
  <si>
    <t>https://pbs.twimg.com/profile_images/1840811789753397249/ikjx9Pug_400x400.png</t>
  </si>
  <si>
    <t>MEMESAI</t>
  </si>
  <si>
    <t>@aihegemonymemes</t>
  </si>
  <si>
    <t>$0.0312</t>
  </si>
  <si>
    <t>$31.19M</t>
  </si>
  <si>
    <t>2.8M</t>
  </si>
  <si>
    <t>30 832</t>
  </si>
  <si>
    <t>26.15K</t>
  </si>
  <si>
    <t>https://x.com/The__Solstice/status/1877302261266673692</t>
  </si>
  <si>
    <t>https://x.com/DamiDefi/status/1878425706423808310</t>
  </si>
  <si>
    <t>https://x.com/0xNefu/status/1877126272335200386</t>
  </si>
  <si>
    <t>https://pbs.twimg.com/profile_images/1878136072775118848/kfqFBXgr_normal.jpg</t>
  </si>
  <si>
    <t>https://x.com/0xNefu/status/1877115793156002040</t>
  </si>
  <si>
    <t>https://www.cookie.fun/agent/athena</t>
  </si>
  <si>
    <t>https://pbs.twimg.com/profile_images/1859763758916055040/4XhBzxZ__400x400.jpg</t>
  </si>
  <si>
    <t>ATHENA</t>
  </si>
  <si>
    <t>@0xAthenaAI</t>
  </si>
  <si>
    <t>$0.004</t>
  </si>
  <si>
    <t>$370.36K</t>
  </si>
  <si>
    <t>155.14K</t>
  </si>
  <si>
    <t>1 904</t>
  </si>
  <si>
    <t>45.68K</t>
  </si>
  <si>
    <t>https://x.com/0xDith/status/1878494569362300990</t>
  </si>
  <si>
    <t>https://pbs.twimg.com/profile_images/1811058570013855746/2EtuRWdi_normal.png</t>
  </si>
  <si>
    <t>https://x.com/ARCreactorAI/status/1877741510437048650</t>
  </si>
  <si>
    <t>https://pbs.twimg.com/profile_images/1837206721892339716/UMbWTLyu_normal.jpg</t>
  </si>
  <si>
    <t>https://x.com/0xsushi/status/1877874863626453275</t>
  </si>
  <si>
    <t>https://pbs.twimg.com/profile_images/1845206387380387862/7_mC9djK_normal.jpg</t>
  </si>
  <si>
    <t>https://x.com/cryptotrader85/status/1878879200637231374</t>
  </si>
  <si>
    <t>https://pbs.twimg.com/profile_images/1847563671310127106/SAQZSToZ_normal.jpg</t>
  </si>
  <si>
    <t>https://x.com/hunterorrell/status/1877578324509139183</t>
  </si>
  <si>
    <t>https://www.cookie.fun/agent/chaos</t>
  </si>
  <si>
    <t>https://pbs.twimg.com/profile_images/1872364601129795584/xHubzCL8_400x400.jpg</t>
  </si>
  <si>
    <t>@0xHarmonybot</t>
  </si>
  <si>
    <t>$395.05K</t>
  </si>
  <si>
    <t>$117.1K</t>
  </si>
  <si>
    <t>15.18K</t>
  </si>
  <si>
    <t>3 571</t>
  </si>
  <si>
    <t>https://x.com/GuidoDisalle/status/1877761182913716238</t>
  </si>
  <si>
    <t>https://pbs.twimg.com/profile_images/1860795033772822528/kTk_VSv9_normal.jpg</t>
  </si>
  <si>
    <t>https://x.com/FarmerBrownDeFi/status/1879245637079961696</t>
  </si>
  <si>
    <t>https://pbs.twimg.com/profile_images/1368455660237697029/291TmVWy_normal.jpg</t>
  </si>
  <si>
    <t>https://x.com/696_eth/status/1877645280297746886</t>
  </si>
  <si>
    <t>https://pbs.twimg.com/profile_images/1713426276546211840/5sacGaex_normal.png</t>
  </si>
  <si>
    <t>https://www.cookie.fun/agent/naval</t>
  </si>
  <si>
    <t>https://pbs.twimg.com/profile_images/1865905550887948288/h4UixQic_400x400.jpg</t>
  </si>
  <si>
    <t>NAVAL</t>
  </si>
  <si>
    <t>@patchworknaval</t>
  </si>
  <si>
    <t>$0.0034</t>
  </si>
  <si>
    <t>$3.37M</t>
  </si>
  <si>
    <t>$326.1K</t>
  </si>
  <si>
    <t>268.08K</t>
  </si>
  <si>
    <t>6 493</t>
  </si>
  <si>
    <t>4.78K</t>
  </si>
  <si>
    <t>https://x.com/AutismCapital/status/1879382506522415283</t>
  </si>
  <si>
    <t>https://pbs.twimg.com/profile_images/1607967887305887745/pN-Bl6pc_normal.jpg</t>
  </si>
  <si>
    <t>https://x.com/tyler/status/1877431903596196255</t>
  </si>
  <si>
    <t>https://pbs.twimg.com/profile_images/1855365770408345600/dtsAqkWe_normal.jpg</t>
  </si>
  <si>
    <t>https://x.com/BoredElonMusk/status/1878832239959757049</t>
  </si>
  <si>
    <t>https://pbs.twimg.com/profile_images/1773418874014437378/N-AojrRc_normal.jpg</t>
  </si>
  <si>
    <t>https://x.com/ComancheTippie/status/1878518829115928786</t>
  </si>
  <si>
    <t>https://pbs.twimg.com/profile_images/1756834155231682560/UeM0PbMO_normal.jpg</t>
  </si>
  <si>
    <t>https://x.com/Shade_Protocol/status/1877728037598621900</t>
  </si>
  <si>
    <t>https://www.cookie.fun/agent/gam3s-gg</t>
  </si>
  <si>
    <t>https://pbs.twimg.com/profile_images/1770509497028530176/gHLGsNBi_400x400.jpg</t>
  </si>
  <si>
    <t>G3</t>
  </si>
  <si>
    <t>@GAM3RSLobby</t>
  </si>
  <si>
    <t>$0.0563</t>
  </si>
  <si>
    <t>$3.39M</t>
  </si>
  <si>
    <t>$309.16K</t>
  </si>
  <si>
    <t>55.8K</t>
  </si>
  <si>
    <t>15 045</t>
  </si>
  <si>
    <t>39.57K</t>
  </si>
  <si>
    <t>https://x.com/yoitsOG/status/1877404439734009955</t>
  </si>
  <si>
    <t>https://pbs.twimg.com/profile_images/1775346225019072513/gWL-bbsT_normal.jpg</t>
  </si>
  <si>
    <t>https://x.com/yoitsOG/status/1877704683441074510</t>
  </si>
  <si>
    <t>https://x.com/yoitsOG/status/1879298454939447505</t>
  </si>
  <si>
    <t>https://x.com/WeArePlanetMojo/status/1879524748062781516</t>
  </si>
  <si>
    <t>https://pbs.twimg.com/profile_images/1859624800030773248/qxhEDwLW_normal.png</t>
  </si>
  <si>
    <t>https://x.com/AndySlaps/status/1879491926510170328</t>
  </si>
  <si>
    <t>https://www.cookie.fun/agent/kira2</t>
  </si>
  <si>
    <t>https://pbs.twimg.com/profile_images/1866663871379017728/z_VXv6Vu_400x400.jpg</t>
  </si>
  <si>
    <t>KIRAI</t>
  </si>
  <si>
    <t>@justkiratings</t>
  </si>
  <si>
    <t>-0.057</t>
  </si>
  <si>
    <t>$0.0101</t>
  </si>
  <si>
    <t>$10.13M</t>
  </si>
  <si>
    <t>$303.55K</t>
  </si>
  <si>
    <t>1.39M</t>
  </si>
  <si>
    <t>1 662</t>
  </si>
  <si>
    <t>https://x.com/meta_alchemist/status/1878165620375887954</t>
  </si>
  <si>
    <t>https://pbs.twimg.com/profile_images/1824342038613254144/02OCCw1c_normal.jpg</t>
  </si>
  <si>
    <t>https://x.com/ghost93_x/status/1879309308170735831</t>
  </si>
  <si>
    <t>https://x.com/ghost93_x/status/1879033909960396821</t>
  </si>
  <si>
    <t>https://www.cookie.fun/agent/dream</t>
  </si>
  <si>
    <t>https://pbs.twimg.com/profile_images/1863648719004110849/mIqZqIMV_400x400.jpg</t>
  </si>
  <si>
    <t>DREAM</t>
  </si>
  <si>
    <t>@DR3AM_AI</t>
  </si>
  <si>
    <t>$2.21M</t>
  </si>
  <si>
    <t>$249.51K</t>
  </si>
  <si>
    <t>103.61K</t>
  </si>
  <si>
    <t>4 985</t>
  </si>
  <si>
    <t>17.22K</t>
  </si>
  <si>
    <t>https://x.com/thewolvesxyz/status/1878095589289935060</t>
  </si>
  <si>
    <t>https://pbs.twimg.com/profile_images/1878142431356731392/mMEvENR-_normal.jpg</t>
  </si>
  <si>
    <t>https://x.com/ChrisCoffeeEth/status/1877134773581164831</t>
  </si>
  <si>
    <t>https://pbs.twimg.com/profile_images/1817586374633046016/EgC7Mi9q_normal.jpg</t>
  </si>
  <si>
    <t>https://www.cookie.fun/agent/digimon</t>
  </si>
  <si>
    <t>https://pbs.twimg.com/profile_images/1859856989641207808/7VcZYkbh_400x400.jpg</t>
  </si>
  <si>
    <t>DIGIMON</t>
  </si>
  <si>
    <t>@digimon_tech</t>
  </si>
  <si>
    <t>$0.0414</t>
  </si>
  <si>
    <t>$41.44M</t>
  </si>
  <si>
    <t>$1.41M</t>
  </si>
  <si>
    <t>4.42M</t>
  </si>
  <si>
    <t>4 719</t>
  </si>
  <si>
    <t>3.17K</t>
  </si>
  <si>
    <t>https://x.com/lookonchain/status/1878492820195131545</t>
  </si>
  <si>
    <t>https://x.com/BingXOfficial/status/1879099216166838686</t>
  </si>
  <si>
    <t>https://pbs.twimg.com/profile_images/1875001155891478528/lo2Bj4aa_normal.jpg</t>
  </si>
  <si>
    <t>https://x.com/dapanji_eth/status/1878924132450267617</t>
  </si>
  <si>
    <t>https://pbs.twimg.com/profile_images/1874156302332837889/Q6P0KTv3_normal.jpg</t>
  </si>
  <si>
    <t>https://x.com/OXFUNHQ/status/1879237043953537181</t>
  </si>
  <si>
    <t>https://pbs.twimg.com/profile_images/1849338586979790848/nuc8A5WR_normal.png</t>
  </si>
  <si>
    <t>https://www.cookie.fun/agent/koby</t>
  </si>
  <si>
    <t>https://pbs.twimg.com/profile_images/1877206546754490368/TmQirp55_400x400.jpg</t>
  </si>
  <si>
    <t>ARMY</t>
  </si>
  <si>
    <t>@onchainarmyAI</t>
  </si>
  <si>
    <t>$0.₃668</t>
  </si>
  <si>
    <t>$2.01M</t>
  </si>
  <si>
    <t>$178.48K</t>
  </si>
  <si>
    <t>39.13K</t>
  </si>
  <si>
    <t>1 040</t>
  </si>
  <si>
    <t>2.76K</t>
  </si>
  <si>
    <t>https://x.com/onchainarmy/status/1878151443426734491</t>
  </si>
  <si>
    <t>https://pbs.twimg.com/profile_images/1839124375670501376/HaMB901j_normal.jpg</t>
  </si>
  <si>
    <t>https://x.com/adamagb/status/1878148918808072196</t>
  </si>
  <si>
    <t>https://pbs.twimg.com/profile_images/1866470568545091584/3RhmGAyL_normal.jpg</t>
  </si>
  <si>
    <t>https://x.com/yoshi_jdcomm/status/1878484440701190624</t>
  </si>
  <si>
    <t>https://pbs.twimg.com/profile_images/1869085516538286080/l3flH4yb_normal.jpg</t>
  </si>
  <si>
    <t>https://x.com/yoshi_jdcomm/status/1879301424909308399</t>
  </si>
  <si>
    <t>https://x.com/yoshi_jdcomm/status/1879286828072927301</t>
  </si>
  <si>
    <t>https://www.cookie.fun/agent/higher</t>
  </si>
  <si>
    <t>https://pbs.twimg.com/profile_images/1865520870459904000/fvdmeySD_400x400.jpg</t>
  </si>
  <si>
    <t>HIGHER</t>
  </si>
  <si>
    <t>@higheronchain</t>
  </si>
  <si>
    <t>$0.0149</t>
  </si>
  <si>
    <t>$14.87M</t>
  </si>
  <si>
    <t>$811.96K</t>
  </si>
  <si>
    <t>216.91K</t>
  </si>
  <si>
    <t>9 072</t>
  </si>
  <si>
    <t>88.03K</t>
  </si>
  <si>
    <t>https://x.com/mikedemarais/status/1879352583015546980</t>
  </si>
  <si>
    <t>https://pbs.twimg.com/profile_images/1869139507397734401/K6GG6cvD_normal.jpg</t>
  </si>
  <si>
    <t>https://x.com/Noahhweb3/status/1877765189111513594</t>
  </si>
  <si>
    <t>https://pbs.twimg.com/profile_images/1818670359903617024/LO_CXF5C_normal.jpg</t>
  </si>
  <si>
    <t>https://x.com/anquetil/status/1879320640664338535</t>
  </si>
  <si>
    <t>https://pbs.twimg.com/profile_images/1875711571680268288/DYrx1CgJ_normal.jpg</t>
  </si>
  <si>
    <t>https://x.com/robbytopgun/status/1877785225935175928</t>
  </si>
  <si>
    <t>https://pbs.twimg.com/profile_images/1858105906652758016/cv_wXIdX_normal.jpg</t>
  </si>
  <si>
    <t>https://www.cookie.fun/agent/racer</t>
  </si>
  <si>
    <t>https://pbs.twimg.com/profile_images/1854577887870926867/_6Iqcp_C_400x400.jpg</t>
  </si>
  <si>
    <t>RACER</t>
  </si>
  <si>
    <t>@0xraceraialt</t>
  </si>
  <si>
    <t>$0.₄779</t>
  </si>
  <si>
    <t>$77.91K</t>
  </si>
  <si>
    <t>$21.15K</t>
  </si>
  <si>
    <t>4.76K</t>
  </si>
  <si>
    <t>https://x.com/iCrazyTeddy/status/1877438550280458508</t>
  </si>
  <si>
    <t>https://pbs.twimg.com/profile_images/1851336297312358400/f2yStToY_normal.jpg</t>
  </si>
  <si>
    <t>https://x.com/thegaboeth/status/1877018465833226677</t>
  </si>
  <si>
    <t>https://x.com/Jebus/status/1877476914266251340</t>
  </si>
  <si>
    <t>https://pbs.twimg.com/profile_images/1493663247509209089/owi6u6KC_normal.jpg</t>
  </si>
  <si>
    <t>https://x.com/surfcoderepeat/status/1878141464447742419</t>
  </si>
  <si>
    <t>https://pbs.twimg.com/profile_images/1707558009776242688/Mu8g3JM2_normal.jpg</t>
  </si>
  <si>
    <t>https://x.com/notthreadguy/status/1877549918010933604</t>
  </si>
  <si>
    <t>https://www.cookie.fun/agent/gigai</t>
  </si>
  <si>
    <t>https://pbs.twimg.com/profile_images/1865033212696707072/-yQUy5WR_400x400.jpg</t>
  </si>
  <si>
    <t>GIGAI</t>
  </si>
  <si>
    <t>@gigaisol</t>
  </si>
  <si>
    <t>$0.₃489</t>
  </si>
  <si>
    <t>$489.05K</t>
  </si>
  <si>
    <t>$41.77K</t>
  </si>
  <si>
    <t>https://x.com/abgweb3/status/1878366003496661428</t>
  </si>
  <si>
    <t>https://pbs.twimg.com/profile_images/1801175932314480641/8EhejS8-_normal.jpg</t>
  </si>
  <si>
    <t>https://x.com/abgweb3/status/1878058519464964471</t>
  </si>
  <si>
    <t>https://www.cookie.fun/agent/project-nostradamus</t>
  </si>
  <si>
    <t>https://pbs.twimg.com/profile_images/1864626796248866816/vVL2JWVL_400x400.jpg</t>
  </si>
  <si>
    <t>AMEN</t>
  </si>
  <si>
    <t>@Nostradamu_ai</t>
  </si>
  <si>
    <t>-0.0048</t>
  </si>
  <si>
    <t>$0.2487</t>
  </si>
  <si>
    <t>$5.22M</t>
  </si>
  <si>
    <t>$195.03K</t>
  </si>
  <si>
    <t>218.04K</t>
  </si>
  <si>
    <t>5 564</t>
  </si>
  <si>
    <t>6.89K</t>
  </si>
  <si>
    <t>https://x.com/gem_insider/status/1879499914797003249</t>
  </si>
  <si>
    <t>https://x.com/EzMoneyGems/status/1879211066195951762</t>
  </si>
  <si>
    <t>https://pbs.twimg.com/profile_images/1771058965767479296/AGJGQeTF_normal.jpg</t>
  </si>
  <si>
    <t>https://x.com/dippy_eth/status/1879453478449250452</t>
  </si>
  <si>
    <t>https://pbs.twimg.com/profile_images/1560219928740888577/gbTc6iRK_normal.jpg</t>
  </si>
  <si>
    <t>https://www.cookie.fun/agent/the-butlerian</t>
  </si>
  <si>
    <t>https://pbs.twimg.com/profile_images/1864599613854056448/ZeVySPIK_400x400.jpg</t>
  </si>
  <si>
    <t>JIHAD</t>
  </si>
  <si>
    <t>@JihadCTO</t>
  </si>
  <si>
    <t>$0.₄437</t>
  </si>
  <si>
    <t>$43.64K</t>
  </si>
  <si>
    <t>$15.4K</t>
  </si>
  <si>
    <t>599.8</t>
  </si>
  <si>
    <t>43 615</t>
  </si>
  <si>
    <t>https://www.cookie.fun/agent/xgpt</t>
  </si>
  <si>
    <t>https://pbs.twimg.com/profile_images/1867238877012054016/oALTLqV7_400x400.jpg</t>
  </si>
  <si>
    <t>@xcombinator_ai</t>
  </si>
  <si>
    <t>-0.075</t>
  </si>
  <si>
    <t>$3.78M</t>
  </si>
  <si>
    <t>$88.41K</t>
  </si>
  <si>
    <t>134.18K</t>
  </si>
  <si>
    <t>17 081</t>
  </si>
  <si>
    <t>https://x.com/BoredElonMusk/status/1878620365402030448</t>
  </si>
  <si>
    <t>https://www.cookie.fun/agent/pondhub</t>
  </si>
  <si>
    <t>https://pbs.twimg.com/profile_images/1853746914006904832/WDZIgzka_400x400.jpg</t>
  </si>
  <si>
    <t>PH</t>
  </si>
  <si>
    <t>@PondGNN</t>
  </si>
  <si>
    <t>$0.0084</t>
  </si>
  <si>
    <t>$8.4M</t>
  </si>
  <si>
    <t>$433.95K</t>
  </si>
  <si>
    <t>137.52K</t>
  </si>
  <si>
    <t>41 676</t>
  </si>
  <si>
    <t>111.01K</t>
  </si>
  <si>
    <t>https://x.com/Lomashuk/status/1878487398885081246</t>
  </si>
  <si>
    <t>https://pbs.twimg.com/profile_images/1745561226371846144/v2DO9VLS_normal.jpg</t>
  </si>
  <si>
    <t>https://www.cookie.fun/agent/certaik</t>
  </si>
  <si>
    <t>https://pbs.twimg.com/profile_images/1862890658907701248/AkXitOqv_400x400.jpg</t>
  </si>
  <si>
    <t>CERTAI</t>
  </si>
  <si>
    <t>@CertaiK_Agent</t>
  </si>
  <si>
    <t>$6.49M</t>
  </si>
  <si>
    <t>$471.59K</t>
  </si>
  <si>
    <t>163.45K</t>
  </si>
  <si>
    <t>3 349</t>
  </si>
  <si>
    <t>45.42K</t>
  </si>
  <si>
    <t>https://x.com/aGANVogh/status/1878100238075916392</t>
  </si>
  <si>
    <t>https://pbs.twimg.com/profile_images/1653754789241446401/whh0PdFN_normal.jpg</t>
  </si>
  <si>
    <t>https://x.com/jack__sanford/status/1878863221446398135</t>
  </si>
  <si>
    <t>https://pbs.twimg.com/profile_images/1500686052612182017/c3HpUqOT_normal.jpg</t>
  </si>
  <si>
    <t>https://www.cookie.fun/agent/byte</t>
  </si>
  <si>
    <t>https://pbs.twimg.com/profile_images/1862665713057714176/yjRPkpdh_400x400.jpg</t>
  </si>
  <si>
    <t>BYTE</t>
  </si>
  <si>
    <t>@bytedogtoken</t>
  </si>
  <si>
    <t>$5.46M</t>
  </si>
  <si>
    <t>$427.38K</t>
  </si>
  <si>
    <t>72.37K</t>
  </si>
  <si>
    <t>3 645</t>
  </si>
  <si>
    <t>11.54K</t>
  </si>
  <si>
    <t>https://www.cookie.fun/agent/grok</t>
  </si>
  <si>
    <t>https://pbs.twimg.com/profile_images/1844942082672107522/j9vD-xRP_400x400.jpg</t>
  </si>
  <si>
    <t>GROK</t>
  </si>
  <si>
    <t>@GRKTOKEN</t>
  </si>
  <si>
    <t>$33.64M</t>
  </si>
  <si>
    <t>161.23K</t>
  </si>
  <si>
    <t>19.9K</t>
  </si>
  <si>
    <t>https://x.com/blknoiz06/status/1878157047058858210</t>
  </si>
  <si>
    <t>https://x.com/OptimusBull_/status/1877104687461093551</t>
  </si>
  <si>
    <t>https://pbs.twimg.com/profile_images/1654899568222298112/lt03BIYw_normal.jpg</t>
  </si>
  <si>
    <t>https://www.cookie.fun/agent/nftxbt</t>
  </si>
  <si>
    <t>https://pbs.twimg.com/profile_images/1862363283602227200/0LwNGt_Q_400x400.jpg</t>
  </si>
  <si>
    <t>NFTXBT</t>
  </si>
  <si>
    <t>@nft_xbt</t>
  </si>
  <si>
    <t>$0.0236</t>
  </si>
  <si>
    <t>$23.44M</t>
  </si>
  <si>
    <t>$950.89K</t>
  </si>
  <si>
    <t>790.22K</t>
  </si>
  <si>
    <t>6 611</t>
  </si>
  <si>
    <t>96.58K</t>
  </si>
  <si>
    <t>https://x.com/zacxbt/status/1878295351548948567</t>
  </si>
  <si>
    <t>https://pbs.twimg.com/profile_images/1760942755545800704/wFBpdSgp_normal.jpg</t>
  </si>
  <si>
    <t>https://x.com/Tyler_Did_It/status/1877799867684102224</t>
  </si>
  <si>
    <t>https://pbs.twimg.com/profile_images/1338929428366147585/akUk4at6_normal.jpg</t>
  </si>
  <si>
    <t>https://x.com/serpunketh/status/1877801693741543801</t>
  </si>
  <si>
    <t>https://pbs.twimg.com/profile_images/1846050908196478976/xPBmmzHw_normal.jpg</t>
  </si>
  <si>
    <t>https://www.cookie.fun/agent/octowallet</t>
  </si>
  <si>
    <t>https://pbs.twimg.com/profile_images/1835317719626887168/5N8W8Q-a_400x400.jpg</t>
  </si>
  <si>
    <t>OCTO</t>
  </si>
  <si>
    <t>@OctonetAI</t>
  </si>
  <si>
    <t>$0.0679</t>
  </si>
  <si>
    <t>$6.8M</t>
  </si>
  <si>
    <t>$648.71K</t>
  </si>
  <si>
    <t>381.99K</t>
  </si>
  <si>
    <t>8 818</t>
  </si>
  <si>
    <t>5.07K</t>
  </si>
  <si>
    <t>https://x.com/lightofrahim/status/1877743527968285138</t>
  </si>
  <si>
    <t>https://pbs.twimg.com/profile_images/1861853875369594880/zByXHcTT_normal.jpg</t>
  </si>
  <si>
    <t>https://www.cookie.fun/agent/leo</t>
  </si>
  <si>
    <t>https://pbs.twimg.com/profile_images/1860191482017161216/sp4SPj5P_400x400.jpg</t>
  </si>
  <si>
    <t>LEO</t>
  </si>
  <si>
    <t>@Leo_virtuals</t>
  </si>
  <si>
    <t>$0.₄253</t>
  </si>
  <si>
    <t>$25.34K</t>
  </si>
  <si>
    <t>$19.77K</t>
  </si>
  <si>
    <t>116.47</t>
  </si>
  <si>
    <t>https://x.com/reubs_btc/status/1877789136523854323</t>
  </si>
  <si>
    <t>https://pbs.twimg.com/profile_images/1861067699628986368/U5K_0wia_normal.jpg</t>
  </si>
  <si>
    <t>https://x.com/reubs_btc/status/1877018982374326470</t>
  </si>
  <si>
    <t>https://x.com/aGANVogh/status/1877749017636991424</t>
  </si>
  <si>
    <t>https://www.cookie.fun/agent/ropairito</t>
  </si>
  <si>
    <t>https://pbs.twimg.com/profile_images/1859413180201451520/P33uaiWi_400x400.jpg</t>
  </si>
  <si>
    <t>ROPIRITO</t>
  </si>
  <si>
    <t>@ropAIrito</t>
  </si>
  <si>
    <t>$3.43M</t>
  </si>
  <si>
    <t>$278.31K</t>
  </si>
  <si>
    <t>524.09K</t>
  </si>
  <si>
    <t>7 584</t>
  </si>
  <si>
    <t>7.28K</t>
  </si>
  <si>
    <t>https://www.cookie.fun/agent/liminal</t>
  </si>
  <si>
    <t>https://pbs.twimg.com/profile_images/1862794534133936128/vL0hyCU0_400x400.jpg</t>
  </si>
  <si>
    <t>LMNL</t>
  </si>
  <si>
    <t>@LMNLAgent</t>
  </si>
  <si>
    <t>$4M</t>
  </si>
  <si>
    <t>119.64K</t>
  </si>
  <si>
    <t>1 361</t>
  </si>
  <si>
    <t>13.07K</t>
  </si>
  <si>
    <t>https://x.com/kristophershinn/status/1878930612553384041</t>
  </si>
  <si>
    <t>https://pbs.twimg.com/profile_images/1874654975772745728/SBsfeK63_normal.jpg</t>
  </si>
  <si>
    <t>https://x.com/demonegoo/status/1877420569412428136</t>
  </si>
  <si>
    <t>https://pbs.twimg.com/profile_images/1578435750160470020/7YO6MA5u_normal.jpg</t>
  </si>
  <si>
    <t>https://x.com/VikkiBardot/status/1877811327030226999</t>
  </si>
  <si>
    <t>https://pbs.twimg.com/profile_images/1499111220577767430/C9ltXeH2_normal.jpg</t>
  </si>
  <si>
    <t>https://x.com/mamaralic/status/1878223649993335098</t>
  </si>
  <si>
    <t>https://pbs.twimg.com/profile_images/1844664149348909056/KxyaKB9S_normal.jpg</t>
  </si>
  <si>
    <t>https://www.cookie.fun/agent/j3ff</t>
  </si>
  <si>
    <t>https://pbs.twimg.com/profile_images/1869172659415552001/dSJ8MyCJ_400x400.jpg</t>
  </si>
  <si>
    <t>J3FF</t>
  </si>
  <si>
    <t>@AgentJ3ff</t>
  </si>
  <si>
    <t>$5.89M</t>
  </si>
  <si>
    <t>$350.18K</t>
  </si>
  <si>
    <t>53.53K</t>
  </si>
  <si>
    <t>3 850</t>
  </si>
  <si>
    <t>77.34K</t>
  </si>
  <si>
    <t>https://x.com/aGANVogh/status/1878894970381426756</t>
  </si>
  <si>
    <t>https://x.com/DarthJotaro/status/1877587557375934826</t>
  </si>
  <si>
    <t>https://pbs.twimg.com/profile_images/1701621806061223936/XzMrH7Dm_normal.jpg</t>
  </si>
  <si>
    <t>https://www.cookie.fun/agent/artificial-general-intelligence</t>
  </si>
  <si>
    <t>https://pbs.twimg.com/profile_images/1848736044398637056/JvyE_B8v_400x400.jpg</t>
  </si>
  <si>
    <t>@erc_agi</t>
  </si>
  <si>
    <t>$0.₃526</t>
  </si>
  <si>
    <t>$474.27K</t>
  </si>
  <si>
    <t>$59K</t>
  </si>
  <si>
    <t>3.88K</t>
  </si>
  <si>
    <t>https://x.com/Stitvuli/status/1879344279132438864</t>
  </si>
  <si>
    <t>https://pbs.twimg.com/profile_images/1480238186009804802/PV-g6QGk_normal.jpg</t>
  </si>
  <si>
    <t>https://x.com/wired0X/status/1877889082187219320</t>
  </si>
  <si>
    <t>https://pbs.twimg.com/profile_images/1878553991627571200/YR-0U5Dl_normal.jpg</t>
  </si>
  <si>
    <t>https://www.cookie.fun/agent/lea</t>
  </si>
  <si>
    <t>https://pbs.twimg.com/profile_images/1855995934649540608/_9KYSE6e_400x400.jpg</t>
  </si>
  <si>
    <t>LEA</t>
  </si>
  <si>
    <t>@lea_gpt</t>
  </si>
  <si>
    <t>$5.29M</t>
  </si>
  <si>
    <t>$276.8K</t>
  </si>
  <si>
    <t>1.09M</t>
  </si>
  <si>
    <t>8 468</t>
  </si>
  <si>
    <t>6.91K</t>
  </si>
  <si>
    <t>https://www.cookie.fun/agent/punky</t>
  </si>
  <si>
    <t>https://pbs.twimg.com/profile_images/1724431176574656512/QiOerwrT_400x400.jpg</t>
  </si>
  <si>
    <t>PUNKY</t>
  </si>
  <si>
    <t>@PunkyAi</t>
  </si>
  <si>
    <t>22 141</t>
  </si>
  <si>
    <t>https://x.com/SeedifyFund/status/1878835439567564869</t>
  </si>
  <si>
    <t>https://pbs.twimg.com/profile_images/1874769738162712576/U9nykgto_normal.jpg</t>
  </si>
  <si>
    <t>https://x.com/SeedifyFund/status/1879216695748841759</t>
  </si>
  <si>
    <t>https://www.cookie.fun/agent/gemach</t>
  </si>
  <si>
    <t>https://pbs.twimg.com/profile_images/1863031279479840768/FuVR6qEf_400x400.jpg</t>
  </si>
  <si>
    <t>GMAC</t>
  </si>
  <si>
    <t>@GemachAgent</t>
  </si>
  <si>
    <t>$3.65M</t>
  </si>
  <si>
    <t>$192.88K</t>
  </si>
  <si>
    <t>41.39K</t>
  </si>
  <si>
    <t>https://x.com/HanzoYasunaga/status/1877783764719300784</t>
  </si>
  <si>
    <t>https://pbs.twimg.com/profile_images/1594402259835707392/fA7VSJWX_normal.jpg</t>
  </si>
  <si>
    <t>https://www.cookie.fun/agent/plant</t>
  </si>
  <si>
    <t>https://pbs.twimg.com/profile_images/1874483608099971072/41AndH6s_400x400.jpg</t>
  </si>
  <si>
    <t>PLANT</t>
  </si>
  <si>
    <t>@plantdotfun</t>
  </si>
  <si>
    <t>$2.26M</t>
  </si>
  <si>
    <t>$96.57K</t>
  </si>
  <si>
    <t>101.53K</t>
  </si>
  <si>
    <t>https://x.com/EB7/status/1877506919159545944</t>
  </si>
  <si>
    <t>https://x.com/Web3Adam/status/1877506241930404211</t>
  </si>
  <si>
    <t>https://pbs.twimg.com/profile_images/1857974364852891648/Hupg0yzK_normal.jpg</t>
  </si>
  <si>
    <t>https://www.cookie.fun/agent/forest</t>
  </si>
  <si>
    <t>https://pbs.twimg.com/profile_images/1831358680777781249/aUptST4q_400x400.jpg</t>
  </si>
  <si>
    <t>FOREST</t>
  </si>
  <si>
    <t>@mycelialoracle</t>
  </si>
  <si>
    <t>$0.007</t>
  </si>
  <si>
    <t>$7.01M</t>
  </si>
  <si>
    <t>$668.49K</t>
  </si>
  <si>
    <t>451.09K</t>
  </si>
  <si>
    <t>17 036</t>
  </si>
  <si>
    <t>13.57K</t>
  </si>
  <si>
    <t>https://x.com/JimiCohen/status/1879000735548838000</t>
  </si>
  <si>
    <t>https://pbs.twimg.com/profile_images/1874457084835831808/tbQIfCN__normal.jpg</t>
  </si>
  <si>
    <t>https://www.cookie.fun/agent/singularry</t>
  </si>
  <si>
    <t>https://pbs.twimg.com/profile_images/1867479860974686208/pkGWO_D3_400x400.jpg</t>
  </si>
  <si>
    <t>SINGULARRY</t>
  </si>
  <si>
    <t>@singularryai</t>
  </si>
  <si>
    <t>$4.89M</t>
  </si>
  <si>
    <t>$162.98K</t>
  </si>
  <si>
    <t>160.57K</t>
  </si>
  <si>
    <t>2 451</t>
  </si>
  <si>
    <t>2.16K</t>
  </si>
  <si>
    <t>https://www.cookie.fun/agent/overlord</t>
  </si>
  <si>
    <t>https://pbs.twimg.com/profile_images/1864760161178652673/TxP791K7_400x400.jpg</t>
  </si>
  <si>
    <t>OVER</t>
  </si>
  <si>
    <t>@OverlordBot_</t>
  </si>
  <si>
    <t>-0.0072</t>
  </si>
  <si>
    <t>$1.38M</t>
  </si>
  <si>
    <t>$78.21K</t>
  </si>
  <si>
    <t>10.98K</t>
  </si>
  <si>
    <t>7 490</t>
  </si>
  <si>
    <t>https://www.cookie.fun/agent/eolas-</t>
  </si>
  <si>
    <t>https://pbs.twimg.com/profile_images/1878097608998060032/q9GFbsHI_400x400.jpg</t>
  </si>
  <si>
    <t>EOLAS</t>
  </si>
  <si>
    <t>@Eolas_AI</t>
  </si>
  <si>
    <t>-0.059</t>
  </si>
  <si>
    <t>$0.2797</t>
  </si>
  <si>
    <t>$5.87M</t>
  </si>
  <si>
    <t>$275.54K</t>
  </si>
  <si>
    <t>112.98K</t>
  </si>
  <si>
    <t>2.91K</t>
  </si>
  <si>
    <t>https://www.cookie.fun/agent/soleng</t>
  </si>
  <si>
    <t>https://pbs.twimg.com/profile_images/1869771048477986816/krSR5jvx_400x400.jpg</t>
  </si>
  <si>
    <t>SOLENG</t>
  </si>
  <si>
    <t>@soleng_agent</t>
  </si>
  <si>
    <t>-0.18</t>
  </si>
  <si>
    <t>$0.0158</t>
  </si>
  <si>
    <t>$15.77M</t>
  </si>
  <si>
    <t>$400.52K</t>
  </si>
  <si>
    <t>532.95K</t>
  </si>
  <si>
    <t>6 265</t>
  </si>
  <si>
    <t>2.74K</t>
  </si>
  <si>
    <t>https://x.com/dabit3/status/1878622116381171741</t>
  </si>
  <si>
    <t>https://pbs.twimg.com/profile_images/1795944646754861056/BvLWDVYq_normal.jpg</t>
  </si>
  <si>
    <t>https://x.com/dankvr/status/1878745372719505539</t>
  </si>
  <si>
    <t>https://pbs.twimg.com/profile_images/1857657965144158209/QP3z9ONe_normal.jpg</t>
  </si>
  <si>
    <t>https://www.cookie.fun/agent/freya</t>
  </si>
  <si>
    <t>https://pbs.twimg.com/profile_images/1859124422776680450/8sI7cwpm_400x400.jpg</t>
  </si>
  <si>
    <t>FREYA</t>
  </si>
  <si>
    <t>@Freya_Starfall</t>
  </si>
  <si>
    <t>-0.06</t>
  </si>
  <si>
    <t>$18.87M</t>
  </si>
  <si>
    <t>$909.31K</t>
  </si>
  <si>
    <t>922.93K</t>
  </si>
  <si>
    <t>72.79K</t>
  </si>
  <si>
    <t>https://x.com/Rosentica/status/1879187999839470032</t>
  </si>
  <si>
    <t>https://pbs.twimg.com/profile_images/1867840509521408003/Cij6uQwV_normal.jpg</t>
  </si>
  <si>
    <t>https://x.com/Rosentica/status/1877189908126638412</t>
  </si>
  <si>
    <t>https://x.com/eat_insanity/status/1879217521792033051</t>
  </si>
  <si>
    <t>https://pbs.twimg.com/profile_images/1877338697797971968/UlV0Tuu8_normal.jpg</t>
  </si>
  <si>
    <t>https://www.cookie.fun/agent/velvet-unicorn</t>
  </si>
  <si>
    <t>https://pbs.twimg.com/profile_images/1851258548015001600/LHKIS-Lp_400x400.jpg</t>
  </si>
  <si>
    <t>VU</t>
  </si>
  <si>
    <t>@VU_virtuals</t>
  </si>
  <si>
    <t>$0.0112</t>
  </si>
  <si>
    <t>$11.13M</t>
  </si>
  <si>
    <t>$409.52K</t>
  </si>
  <si>
    <t>325.42K</t>
  </si>
  <si>
    <t>4 982</t>
  </si>
  <si>
    <t>37.64K</t>
  </si>
  <si>
    <t>https://x.com/Velvet_Capital/status/1877378853078777916</t>
  </si>
  <si>
    <t>https://pbs.twimg.com/profile_images/1871244566809976832/tvV8X5aM_normal.jpg</t>
  </si>
  <si>
    <t>https://www.cookie.fun/agent/reality-spiral</t>
  </si>
  <si>
    <t>https://pbs.twimg.com/profile_images/1848823420336934913/oI0-xNGe_400x400.jpg</t>
  </si>
  <si>
    <t>RSP</t>
  </si>
  <si>
    <t>@reality_spiral</t>
  </si>
  <si>
    <t>$126.34K</t>
  </si>
  <si>
    <t>109.3K</t>
  </si>
  <si>
    <t>5 259</t>
  </si>
  <si>
    <t>1.74K</t>
  </si>
  <si>
    <t>https://www.cookie.fun/agent/1000x</t>
  </si>
  <si>
    <t>https://pbs.twimg.com/profile_images/1876371417463222272/v-VEhq7T_400x400.jpg</t>
  </si>
  <si>
    <t>1000X</t>
  </si>
  <si>
    <t>@1000xAgent</t>
  </si>
  <si>
    <t>$0.0139</t>
  </si>
  <si>
    <t>$13.82M</t>
  </si>
  <si>
    <t>$704.69K</t>
  </si>
  <si>
    <t>1 656</t>
  </si>
  <si>
    <t>31.57K</t>
  </si>
  <si>
    <t>https://x.com/AerodromeFi/status/1879287409864810763</t>
  </si>
  <si>
    <t>https://pbs.twimg.com/profile_images/1691174347388399617/AnNwWdzS_normal.jpg</t>
  </si>
  <si>
    <t>https://x.com/AviFelman/status/1879212043259224575</t>
  </si>
  <si>
    <t>https://pbs.twimg.com/profile_images/1854974578042253312/7JIanElc_normal.jpg</t>
  </si>
  <si>
    <t>https://x.com/AviFelman/status/1879267969802674447</t>
  </si>
  <si>
    <t>https://x.com/jvb_xyz/status/1877745342373830866</t>
  </si>
  <si>
    <t>https://pbs.twimg.com/profile_images/1735599963969556481/YxZMdKMn_normal.jpg</t>
  </si>
  <si>
    <t>https://x.com/jvb_xyz/status/1878809907258163706</t>
  </si>
  <si>
    <t>https://www.cookie.fun/agent/kitten-haimer</t>
  </si>
  <si>
    <t>https://pbs.twimg.com/profile_images/1876221125446787072/H_15cndc_400x400.jpg</t>
  </si>
  <si>
    <t>KHAI</t>
  </si>
  <si>
    <t>@KittenHaimer</t>
  </si>
  <si>
    <t>$0.1867</t>
  </si>
  <si>
    <t>$10.08M</t>
  </si>
  <si>
    <t>$357.16K</t>
  </si>
  <si>
    <t>150.63K</t>
  </si>
  <si>
    <t>32 515</t>
  </si>
  <si>
    <t>9.64K</t>
  </si>
  <si>
    <t>https://x.com/AndreWGMI/status/1878026929028112693</t>
  </si>
  <si>
    <t>https://pbs.twimg.com/profile_images/1869161954230607872/YOMN889I_normal.jpg</t>
  </si>
  <si>
    <t>https://x.com/ChangeNOW_io/status/1877713763064770700</t>
  </si>
  <si>
    <t>https://pbs.twimg.com/profile_images/1746996681801863168/GQkHnQH6_normal.jpg</t>
  </si>
  <si>
    <t>https://www.cookie.fun/agent/top-hat-cat</t>
  </si>
  <si>
    <t>https://pbs.twimg.com/profile_images/1849959582111596544/CaQNoXD1_400x400.jpg</t>
  </si>
  <si>
    <t>THC</t>
  </si>
  <si>
    <t>@Top_Hat_Cat_</t>
  </si>
  <si>
    <t>$0.₃334</t>
  </si>
  <si>
    <t>$334.69K</t>
  </si>
  <si>
    <t>$36.46K</t>
  </si>
  <si>
    <t>52.8K</t>
  </si>
  <si>
    <t>62 315</t>
  </si>
  <si>
    <t>https://x.com/MutantShibaClub/status/1878147758915203518</t>
  </si>
  <si>
    <t>https://pbs.twimg.com/profile_images/1641232110290706433/rbKTVQ3d_normal.jpg</t>
  </si>
  <si>
    <t>https://x.com/rickstarr031/status/1878472038081323294</t>
  </si>
  <si>
    <t>https://pbs.twimg.com/profile_images/1608943419312816131/TA4aIDR4_normal.jpg</t>
  </si>
  <si>
    <t>https://x.com/official_verge_/status/1878905328118665538</t>
  </si>
  <si>
    <t>https://pbs.twimg.com/profile_images/1751098466623946752/Yt6-h4rB_normal.jpg</t>
  </si>
  <si>
    <t>https://www.cookie.fun/agent/yousim</t>
  </si>
  <si>
    <t>https://pbs.twimg.com/profile_images/1852755001892089856/TiiSj8R3_400x400.jpg</t>
  </si>
  <si>
    <t>YOUSIM</t>
  </si>
  <si>
    <t>@YouSimDotAI</t>
  </si>
  <si>
    <t>$0.0074</t>
  </si>
  <si>
    <t>$7.38M</t>
  </si>
  <si>
    <t>$469K</t>
  </si>
  <si>
    <t>363.33K</t>
  </si>
  <si>
    <t>17 118</t>
  </si>
  <si>
    <t>11.75K</t>
  </si>
  <si>
    <t>https://www.cookie.fun/agent/tony-soprano</t>
  </si>
  <si>
    <t>https://pbs.twimg.com/profile_images/1864780324716318723/042e0cRa_400x400.jpg</t>
  </si>
  <si>
    <t>@TonySopranoAI</t>
  </si>
  <si>
    <t>$11.49K</t>
  </si>
  <si>
    <t>$6.45K</t>
  </si>
  <si>
    <t>13.89</t>
  </si>
  <si>
    <t>https://www.cookie.fun/agent/brain</t>
  </si>
  <si>
    <t>https://pbs.twimg.com/profile_images/1859687312654802944/9nSbkacJ_400x400.jpg</t>
  </si>
  <si>
    <t>BRAIN</t>
  </si>
  <si>
    <t>@brainairmstrong</t>
  </si>
  <si>
    <t>-0.0032</t>
  </si>
  <si>
    <t>$0.₃208</t>
  </si>
  <si>
    <t>$208.54K</t>
  </si>
  <si>
    <t>$86.34K</t>
  </si>
  <si>
    <t>12.3K</t>
  </si>
  <si>
    <t>https://x.com/halusolana/status/1877124501982392496</t>
  </si>
  <si>
    <t>https://pbs.twimg.com/profile_images/1840527197846544384/5jIIuNGx_normal.jpg</t>
  </si>
  <si>
    <t>https://www.cookie.fun/agent/spectra</t>
  </si>
  <si>
    <t>https://pbs.twimg.com/profile_images/1713979783921713152/ls7wS7vf_400x400.jpg</t>
  </si>
  <si>
    <t>@Spectral_Labs</t>
  </si>
  <si>
    <t>-0.084</t>
  </si>
  <si>
    <t>$7.4535</t>
  </si>
  <si>
    <t>$15.6M</t>
  </si>
  <si>
    <t>920.34K</t>
  </si>
  <si>
    <t>176 874</t>
  </si>
  <si>
    <t>75.74K</t>
  </si>
  <si>
    <t>https://x.com/the_smart_ape/status/1877386465639797087</t>
  </si>
  <si>
    <t>https://pbs.twimg.com/profile_images/1631379859992616960/FK9BSqd2_normal.jpg</t>
  </si>
  <si>
    <t>https://www.cookie.fun/agent/goatse</t>
  </si>
  <si>
    <t>https://pbs.twimg.com/profile_images/1849037778711150592/VkQc15nT_400x400.jpg</t>
  </si>
  <si>
    <t>@TickerGoatse</t>
  </si>
  <si>
    <t>-0.006</t>
  </si>
  <si>
    <t>$0.₁₂451</t>
  </si>
  <si>
    <t>$45.12K</t>
  </si>
  <si>
    <t>1.62K</t>
  </si>
  <si>
    <t>https://x.com/cryptunez/status/1877830990942662763</t>
  </si>
  <si>
    <t>https://pbs.twimg.com/profile_images/1795607289283366912/KI2AGBBX_normal.jpg</t>
  </si>
  <si>
    <t>https://x.com/ataberk/status/1879166730976837809</t>
  </si>
  <si>
    <t>https://pbs.twimg.com/profile_images/1810355238085279744/pre3iUDX_normal.jpg</t>
  </si>
  <si>
    <t>https://x.com/0xGunter/status/1877761236600811662</t>
  </si>
  <si>
    <t>https://pbs.twimg.com/profile_images/1857549433409339392/9OSv_Jnu_normal.jpg</t>
  </si>
  <si>
    <t>https://x.com/0xGunter/status/1878763763672944642</t>
  </si>
  <si>
    <t>https://www.cookie.fun/agent/klaus</t>
  </si>
  <si>
    <t>https://pbs.twimg.com/profile_images/1844323459922296844/OSYw_EmG_400x400.jpg</t>
  </si>
  <si>
    <t>KLAUS</t>
  </si>
  <si>
    <t>@KlausOnEth</t>
  </si>
  <si>
    <t>$4.57M</t>
  </si>
  <si>
    <t>$200.27K</t>
  </si>
  <si>
    <t>24 311</t>
  </si>
  <si>
    <t>7.16K</t>
  </si>
  <si>
    <t>https://x.com/ShibaTechnical/status/1878329872764076131</t>
  </si>
  <si>
    <t>https://pbs.twimg.com/profile_images/1805572620760268800/8bVV6P20_normal.jpg</t>
  </si>
  <si>
    <t>https://www.cookie.fun/agent/kira</t>
  </si>
  <si>
    <t>https://pbs.twimg.com/profile_images/1809107232103280641/2nAc8pxc_400x400.jpg</t>
  </si>
  <si>
    <t>KIRA</t>
  </si>
  <si>
    <t>@infera_network</t>
  </si>
  <si>
    <t>$6.88M</t>
  </si>
  <si>
    <t>$403.81K</t>
  </si>
  <si>
    <t>561.44K</t>
  </si>
  <si>
    <t>16 700</t>
  </si>
  <si>
    <t>5.96K</t>
  </si>
  <si>
    <t>https://x.com/Defi0xJeff/status/1877304490648547627</t>
  </si>
  <si>
    <t>https://x.com/Teeznutz11/status/1877619066279514484</t>
  </si>
  <si>
    <t>https://pbs.twimg.com/profile_images/1738726339056656384/gxNUdFvb_normal.jpg</t>
  </si>
  <si>
    <t>https://www.cookie.fun/agent/sarah</t>
  </si>
  <si>
    <t>https://pbs.twimg.com/profile_images/1861021031780999168/kva-vGKf_400x400.jpg</t>
  </si>
  <si>
    <t>SARAH</t>
  </si>
  <si>
    <t>@SarahOnchain</t>
  </si>
  <si>
    <t>$0.₃116</t>
  </si>
  <si>
    <t>$116.44K</t>
  </si>
  <si>
    <t>$26.51K</t>
  </si>
  <si>
    <t>7.74K</t>
  </si>
  <si>
    <t>1 475</t>
  </si>
  <si>
    <t>https://x.com/Coldie/status/1877059848937869387</t>
  </si>
  <si>
    <t>https://pbs.twimg.com/profile_images/1661206679109926914/vrJrdhSx_normal.jpg</t>
  </si>
  <si>
    <t>https://x.com/sarah_script/status/1878267071395463542</t>
  </si>
  <si>
    <t>https://pbs.twimg.com/profile_images/1789875957857153024/YAz6jc7r_normal.jpg</t>
  </si>
  <si>
    <t>https://x.com/abgweb3/status/1877770503441568056</t>
  </si>
  <si>
    <t>https://x.com/SatsMoonSoon/status/1877827986885382165</t>
  </si>
  <si>
    <t>https://pbs.twimg.com/profile_images/1868236098385956864/QoqpbXsu_normal.jpg</t>
  </si>
  <si>
    <t>https://x.com/Ellaweb_3/status/1877769345926881449</t>
  </si>
  <si>
    <t>https://www.cookie.fun/agent/eva</t>
  </si>
  <si>
    <t>https://pbs.twimg.com/profile_images/1862089894551519232/IWxyjG4M_400x400.jpg</t>
  </si>
  <si>
    <t>EVA</t>
  </si>
  <si>
    <t>@eva239372012</t>
  </si>
  <si>
    <t>$0.₄131</t>
  </si>
  <si>
    <t>$13.13K</t>
  </si>
  <si>
    <t>$8.88K</t>
  </si>
  <si>
    <t>160.52</t>
  </si>
  <si>
    <t>1 701</t>
  </si>
  <si>
    <t>https://www.cookie.fun/agent/lenda</t>
  </si>
  <si>
    <t>https://pbs.twimg.com/profile_images/1869513448960163841/PldCEKC8_400x400.jpg</t>
  </si>
  <si>
    <t>LENDA</t>
  </si>
  <si>
    <t>@lendaonchain</t>
  </si>
  <si>
    <t>$297.74K</t>
  </si>
  <si>
    <t>$47.53K</t>
  </si>
  <si>
    <t>373.7K</t>
  </si>
  <si>
    <t>8 191</t>
  </si>
  <si>
    <t>3.87K</t>
  </si>
  <si>
    <t>https://x.com/defi_ghost/status/1877774987282579731</t>
  </si>
  <si>
    <t>https://pbs.twimg.com/profile_images/1857872843268108288/WsxxIm5g_normal.jpg</t>
  </si>
  <si>
    <t>https://x.com/0x8i11i0n/status/1877686356258013233</t>
  </si>
  <si>
    <t>https://pbs.twimg.com/profile_images/1838913974504771584/Wzg_Ec0R_normal.jpg</t>
  </si>
  <si>
    <t>https://www.cookie.fun/agent/fine-wtf</t>
  </si>
  <si>
    <t>https://pbs.twimg.com/profile_images/1868394559945986048/IYV8ZFXx_400x400.jpg</t>
  </si>
  <si>
    <t>@finewtf_ai</t>
  </si>
  <si>
    <t>$0.₅798</t>
  </si>
  <si>
    <t>$7.98K</t>
  </si>
  <si>
    <t>175.18</t>
  </si>
  <si>
    <t>https://www.cookie.fun/agent/pigeon-tech</t>
  </si>
  <si>
    <t>GOVAI</t>
  </si>
  <si>
    <t>@pigeontechgovai</t>
  </si>
  <si>
    <t>$5.92M</t>
  </si>
  <si>
    <t>$261.35K</t>
  </si>
  <si>
    <t>223.94K</t>
  </si>
  <si>
    <t>4 205</t>
  </si>
  <si>
    <t>2.89K</t>
  </si>
  <si>
    <t>https://x.com/AmeerWeb3/status/1877829559002734954</t>
  </si>
  <si>
    <t>https://pbs.twimg.com/profile_images/1846810255038070784/zJZK1ugd_normal.jpg</t>
  </si>
  <si>
    <t>https://www.cookie.fun/agent/devin</t>
  </si>
  <si>
    <t>https://pbs.twimg.com/profile_images/1844883740192870413/11g4CQmz_400x400.jpg</t>
  </si>
  <si>
    <t>DEVIN</t>
  </si>
  <si>
    <t>@devinsolai</t>
  </si>
  <si>
    <t>-0.031</t>
  </si>
  <si>
    <t>$1.1M</t>
  </si>
  <si>
    <t>$275.99K</t>
  </si>
  <si>
    <t>53.52K</t>
  </si>
  <si>
    <t>4 084</t>
  </si>
  <si>
    <t>https://x.com/ljxie/status/1877815452929339456</t>
  </si>
  <si>
    <t>https://pbs.twimg.com/profile_images/1667663760994062343/tZKyyd-O_normal.jpg</t>
  </si>
  <si>
    <t>https://x.com/ljxie/status/1878918660259012845</t>
  </si>
  <si>
    <t>https://x.com/DAnconia_Crypto/status/1877019982069981228</t>
  </si>
  <si>
    <t>https://pbs.twimg.com/profile_images/1819580009385807872/3G0DQD1r_normal.jpg</t>
  </si>
  <si>
    <t>https://x.com/henloitsjoyce/status/1877039879629979708</t>
  </si>
  <si>
    <t>https://pbs.twimg.com/profile_images/1790193372658892800/siI4rPdY_normal.jpg</t>
  </si>
  <si>
    <t>https://x.com/PunkHot10/status/1878183812498083853</t>
  </si>
  <si>
    <t>https://www.cookie.fun/agent/lulu</t>
  </si>
  <si>
    <t>https://pbs.twimg.com/profile_images/1857262271614849024/fjW66uO1_400x400.jpg</t>
  </si>
  <si>
    <t>LULU</t>
  </si>
  <si>
    <t>@lulutheaicat</t>
  </si>
  <si>
    <t>$0.₄173</t>
  </si>
  <si>
    <t>$17.43K</t>
  </si>
  <si>
    <t>34.28</t>
  </si>
  <si>
    <t>https://x.com/wallstreetbets/status/1878862575959777355</t>
  </si>
  <si>
    <t>https://pbs.twimg.com/profile_images/1861197115172757504/1wmUZzBR_normal.jpg</t>
  </si>
  <si>
    <t>https://x.com/matthew_sigel/status/1877333307278442707</t>
  </si>
  <si>
    <t>https://pbs.twimg.com/profile_images/1836408905645117440/6cRz_BbT_normal.jpg</t>
  </si>
  <si>
    <t>https://x.com/keoneHD/status/1878966985998143807</t>
  </si>
  <si>
    <t>https://pbs.twimg.com/profile_images/1762203537981788160/EELgUbyY_normal.jpg</t>
  </si>
  <si>
    <t>https://x.com/jerallaire/status/1877372800383570147</t>
  </si>
  <si>
    <t>https://pbs.twimg.com/profile_images/1501707897641779208/cpB2Dk9__normal.jpg</t>
  </si>
  <si>
    <t>https://x.com/DeeZe/status/1878805998586180062</t>
  </si>
  <si>
    <t>https://www.cookie.fun/agent/king-of-lies</t>
  </si>
  <si>
    <t>https://pbs.twimg.com/profile_images/1859092070226358272/Y6vWwZFV_400x400.jpg</t>
  </si>
  <si>
    <t>@KingOfLiesAI</t>
  </si>
  <si>
    <t>$0.₅997</t>
  </si>
  <si>
    <t>https://x.com/QuintenFrancois/status/1877017542041972960</t>
  </si>
  <si>
    <t>https://pbs.twimg.com/profile_images/1655948550373806088/Nxg3q6Fn_normal.jpg</t>
  </si>
  <si>
    <t>https://x.com/tradinglord/status/1877970703720264045</t>
  </si>
  <si>
    <t>https://pbs.twimg.com/profile_images/1609217215517057026/4gmiLe8o_normal.jpg</t>
  </si>
  <si>
    <t>https://x.com/abu_crypto1/status/1878913859391791307</t>
  </si>
  <si>
    <t>https://pbs.twimg.com/profile_images/1850856246221426688/Ik04Bsy5_normal.jpg</t>
  </si>
  <si>
    <t>https://x.com/DEXLaboratory4/status/1878050512408310032</t>
  </si>
  <si>
    <t>https://pbs.twimg.com/profile_images/1583565200678178842/3eoxPYwo_normal.jpg</t>
  </si>
  <si>
    <t>https://www.cookie.fun/agent/pls</t>
  </si>
  <si>
    <t>https://pbs.twimg.com/profile_images/1863784273104207872/5qbxVWCX_400x400.jpg</t>
  </si>
  <si>
    <t>PLS</t>
  </si>
  <si>
    <t>@0xRecruiter_AI</t>
  </si>
  <si>
    <t>$0.₃159</t>
  </si>
  <si>
    <t>$159.38K</t>
  </si>
  <si>
    <t>$42.1K</t>
  </si>
  <si>
    <t>1.76K</t>
  </si>
  <si>
    <t>2.39K</t>
  </si>
  <si>
    <t>https://x.com/iambroots/status/1877483884037685534</t>
  </si>
  <si>
    <t>https://pbs.twimg.com/profile_images/1774604272270712832/krirv0iJ_normal.jpg</t>
  </si>
  <si>
    <t>https://www.cookie.fun/agent/nomai</t>
  </si>
  <si>
    <t>https://pbs.twimg.com/profile_images/1864214204103962624/dRJ834sQ_400x400.jpg</t>
  </si>
  <si>
    <t>NOMAI</t>
  </si>
  <si>
    <t>@0x_nomAI</t>
  </si>
  <si>
    <t>-0.048</t>
  </si>
  <si>
    <t>$0.029</t>
  </si>
  <si>
    <t>$29.03M</t>
  </si>
  <si>
    <t>$819.21K</t>
  </si>
  <si>
    <t>924.38K</t>
  </si>
  <si>
    <t>9 574</t>
  </si>
  <si>
    <t>67.88K</t>
  </si>
  <si>
    <t>https://www.cookie.fun/agent/breaker</t>
  </si>
  <si>
    <t>https://pbs.twimg.com/profile_images/1876063038953938944/j4JNaJk8_400x400.jpg</t>
  </si>
  <si>
    <t>BREAKER</t>
  </si>
  <si>
    <t>@Breaky_Lover</t>
  </si>
  <si>
    <t>$0.₃211</t>
  </si>
  <si>
    <t>$211.07K</t>
  </si>
  <si>
    <t>20.96K</t>
  </si>
  <si>
    <t>https://www.cookie.fun/agent/misato</t>
  </si>
  <si>
    <t>https://pbs.twimg.com/profile_images/1852025857205760000/dJDO9MBe_400x400.png</t>
  </si>
  <si>
    <t>MISATO</t>
  </si>
  <si>
    <t>@Misato_virtuals</t>
  </si>
  <si>
    <t>$0.0091</t>
  </si>
  <si>
    <t>$9.06M</t>
  </si>
  <si>
    <t>$471.06K</t>
  </si>
  <si>
    <t>3.56M</t>
  </si>
  <si>
    <t>3 938</t>
  </si>
  <si>
    <t>16.96K</t>
  </si>
  <si>
    <t>https://x.com/0xSleuth_/status/1879490228022542557</t>
  </si>
  <si>
    <t>https://x.com/Zeneca/status/1879498737057460617</t>
  </si>
  <si>
    <t>https://pbs.twimg.com/profile_images/1869696037709041664/KV7BpbYk_normal.jpg</t>
  </si>
  <si>
    <t>https://www.cookie.fun/agent/nikita</t>
  </si>
  <si>
    <t>https://pbs.twimg.com/profile_images/1865702842658353153/_5DNApE2_400x400.jpg</t>
  </si>
  <si>
    <t>NIKITA</t>
  </si>
  <si>
    <t>@NikitaAIBase</t>
  </si>
  <si>
    <t>-0.016</t>
  </si>
  <si>
    <t>$2.92M</t>
  </si>
  <si>
    <t>$309.9K</t>
  </si>
  <si>
    <t>137.39K</t>
  </si>
  <si>
    <t>4 316</t>
  </si>
  <si>
    <t>89.28K</t>
  </si>
  <si>
    <t>https://x.com/_ilmoi/status/1878027128832147782</t>
  </si>
  <si>
    <t>https://pbs.twimg.com/profile_images/1858206308857765888/N8o2v73R_normal.jpg</t>
  </si>
  <si>
    <t>https://x.com/pentcle/status/1877451788229529625</t>
  </si>
  <si>
    <t>https://pbs.twimg.com/profile_images/1808731402445201409/kVORVEQ4_normal.jpg</t>
  </si>
  <si>
    <t>https://x.com/AlexMasmej/status/1877467464797134999</t>
  </si>
  <si>
    <t>https://pbs.twimg.com/profile_images/1862309010172444672/qxNpvzcW_normal.jpg</t>
  </si>
  <si>
    <t>https://x.com/DemAzuki/status/1879416988906193011</t>
  </si>
  <si>
    <t>https://pbs.twimg.com/profile_images/1870228460016209920/_bCiBtJz_normal.jpg</t>
  </si>
  <si>
    <t>https://x.com/dwr/status/1879227013674021208</t>
  </si>
  <si>
    <t>https://www.cookie.fun/agent/pillzumi</t>
  </si>
  <si>
    <t>https://pbs.twimg.com/profile_images/1861800221392388096/15rnkHGU_400x400.jpg</t>
  </si>
  <si>
    <t>PILLZUMI</t>
  </si>
  <si>
    <t>@pillzumi</t>
  </si>
  <si>
    <t>$8.26M</t>
  </si>
  <si>
    <t>$441.56K</t>
  </si>
  <si>
    <t>496.71K</t>
  </si>
  <si>
    <t>5 232</t>
  </si>
  <si>
    <t>3.82K</t>
  </si>
  <si>
    <t>https://x.com/Rager/status/1877797871933673548</t>
  </si>
  <si>
    <t>https://pbs.twimg.com/profile_images/1853837334141157377/wVDVoNkR_normal.jpg</t>
  </si>
  <si>
    <t>https://www.cookie.fun/agent/cent</t>
  </si>
  <si>
    <t>https://pbs.twimg.com/profile_images/1873809002552848384/MVBKuc2r_400x400.jpg</t>
  </si>
  <si>
    <t>CENTS</t>
  </si>
  <si>
    <t>@centienceio</t>
  </si>
  <si>
    <t>$591.17K</t>
  </si>
  <si>
    <t>904K</t>
  </si>
  <si>
    <t>27 053</t>
  </si>
  <si>
    <t>16.36K</t>
  </si>
  <si>
    <t>https://x.com/MetaMona_/status/1877504575961256003</t>
  </si>
  <si>
    <t>https://pbs.twimg.com/profile_images/1876986110871531520/Az99HVRp_normal.jpg</t>
  </si>
  <si>
    <t>https://www.cookie.fun/agent/music</t>
  </si>
  <si>
    <t>https://pbs.twimg.com/profile_images/1862441663680929792/hFanBnG4_400x400.jpg</t>
  </si>
  <si>
    <t>MUSIC</t>
  </si>
  <si>
    <t>@MusicByVirtuals</t>
  </si>
  <si>
    <t>$0.0207</t>
  </si>
  <si>
    <t>$20.69M</t>
  </si>
  <si>
    <t>$799.36K</t>
  </si>
  <si>
    <t>373.08K</t>
  </si>
  <si>
    <t>6 355</t>
  </si>
  <si>
    <t>120.26K</t>
  </si>
  <si>
    <t>https://x.com/MEXC_Official/status/1877566032933769344</t>
  </si>
  <si>
    <t>https://www.cookie.fun/agent/trend-agent</t>
  </si>
  <si>
    <t>https://pbs.twimg.com/profile_images/1878415813503528960/PlqL28iE_400x400.jpg</t>
  </si>
  <si>
    <t>TRENDS</t>
  </si>
  <si>
    <t>@trend_agent</t>
  </si>
  <si>
    <t>$0.₄245</t>
  </si>
  <si>
    <t>$24.58K</t>
  </si>
  <si>
    <t>$13.11K</t>
  </si>
  <si>
    <t>13.1K</t>
  </si>
  <si>
    <t>3 070</t>
  </si>
  <si>
    <t>https://x.com/Chilearmy123/status/1877523253960335474</t>
  </si>
  <si>
    <t>https://www.cookie.fun/agent/homo-memetus</t>
  </si>
  <si>
    <t>https://pbs.twimg.com/profile_images/1873962009450209284/0BAeU0-V_400x400.jpg</t>
  </si>
  <si>
    <t>HOMO</t>
  </si>
  <si>
    <t>@homo_memetus</t>
  </si>
  <si>
    <t>$0.₃708</t>
  </si>
  <si>
    <t>$708.39K</t>
  </si>
  <si>
    <t>$82.83K</t>
  </si>
  <si>
    <t>294.21K</t>
  </si>
  <si>
    <t>1 393</t>
  </si>
  <si>
    <t>https://x.com/HogwartsCrypto/status/1877693617088938307</t>
  </si>
  <si>
    <t>https://pbs.twimg.com/profile_images/1653839871382020102/tZ86sj_a_normal.jpg</t>
  </si>
  <si>
    <t>https://x.com/Smokeyjoethepi1/status/1877273784664653937</t>
  </si>
  <si>
    <t>https://pbs.twimg.com/profile_images/1609606658199535618/bHidH77E_normal.jpg</t>
  </si>
  <si>
    <t>https://x.com/Smokeyjoethepi1/status/1877693704606998710</t>
  </si>
  <si>
    <t>https://www.cookie.fun/agent/draiftking</t>
  </si>
  <si>
    <t>https://pbs.twimg.com/profile_images/1872316244939997185/CACydRNk_400x400.jpg</t>
  </si>
  <si>
    <t>DKING</t>
  </si>
  <si>
    <t>@draiftking</t>
  </si>
  <si>
    <t>$1.0394</t>
  </si>
  <si>
    <t>$21.83M</t>
  </si>
  <si>
    <t>$597.42K</t>
  </si>
  <si>
    <t>897.72K</t>
  </si>
  <si>
    <t>4 538</t>
  </si>
  <si>
    <t>13.73K</t>
  </si>
  <si>
    <t>https://www.cookie.fun/agent/hop</t>
  </si>
  <si>
    <t>https://pbs.twimg.com/profile_images/1872667112474390528/rUpWCgr4_400x400.jpg</t>
  </si>
  <si>
    <t>HOP</t>
  </si>
  <si>
    <t>@HenryDfrog</t>
  </si>
  <si>
    <t>$0.₅986</t>
  </si>
  <si>
    <t>$9.86K</t>
  </si>
  <si>
    <t>18.86</t>
  </si>
  <si>
    <t>https://x.com/NFTland/status/1877716978019762179</t>
  </si>
  <si>
    <t>https://pbs.twimg.com/profile_images/1822227868505522178/PGznJ6Fu_normal.jpg</t>
  </si>
  <si>
    <t>https://www.cookie.fun/agent/tardi</t>
  </si>
  <si>
    <t>https://pbs.twimg.com/profile_images/1857788769467842560/yWEOMlTs_400x400.jpg</t>
  </si>
  <si>
    <t>TARDI</t>
  </si>
  <si>
    <t>@tardionchain</t>
  </si>
  <si>
    <t>$95.44K</t>
  </si>
  <si>
    <t>57.89K</t>
  </si>
  <si>
    <t>2 513</t>
  </si>
  <si>
    <t>https://www.cookie.fun/agent/radio</t>
  </si>
  <si>
    <t>https://pbs.twimg.com/profile_images/1861112952805564418/rLQIeqhh_400x400.jpg</t>
  </si>
  <si>
    <t>RADIO</t>
  </si>
  <si>
    <t>@fomoradioai</t>
  </si>
  <si>
    <t>-0.0033</t>
  </si>
  <si>
    <t>$6.94M</t>
  </si>
  <si>
    <t>$369.52K</t>
  </si>
  <si>
    <t>645.48K</t>
  </si>
  <si>
    <t>6 891</t>
  </si>
  <si>
    <t>6.47K</t>
  </si>
  <si>
    <t>https://x.com/hmalviya9/status/1877024383052443963</t>
  </si>
  <si>
    <t>https://pbs.twimg.com/profile_images/1785909064188530688/6pVGdxWW_normal.jpg</t>
  </si>
  <si>
    <t>https://www.cookie.fun/agent/pulse-bot</t>
  </si>
  <si>
    <t>https://pbs.twimg.com/profile_images/1877838779114749953/Oe-Q-5uy_400x400.jpg</t>
  </si>
  <si>
    <t>PULSE BOT</t>
  </si>
  <si>
    <t>@PulsebotAI</t>
  </si>
  <si>
    <t>15 136</t>
  </si>
  <si>
    <t>https://www.cookie.fun/agent/mmtic</t>
  </si>
  <si>
    <t>https://pbs.twimg.com/profile_images/1852860586838904833/dhAeFN_C_400x400.jpg</t>
  </si>
  <si>
    <t>MΞMΞTIC</t>
  </si>
  <si>
    <t>@memeticink</t>
  </si>
  <si>
    <t>$2.58M</t>
  </si>
  <si>
    <t>$239.9K</t>
  </si>
  <si>
    <t>417.79K</t>
  </si>
  <si>
    <t>17 682</t>
  </si>
  <si>
    <t>2.23K</t>
  </si>
  <si>
    <t>https://x.com/mikeygnft/status/1877810566959714317</t>
  </si>
  <si>
    <t>https://pbs.twimg.com/profile_images/1878284140870848512/gfycreX5_normal.jpg</t>
  </si>
  <si>
    <t>https://www.cookie.fun/agent/universal-operating-system</t>
  </si>
  <si>
    <t>https://pbs.twimg.com/profile_images/1859377322488369152/Oy1pTeXV_400x400.jpg</t>
  </si>
  <si>
    <t>UOS</t>
  </si>
  <si>
    <t>@Universal_O_S</t>
  </si>
  <si>
    <t>$10.24M</t>
  </si>
  <si>
    <t>$357.22K</t>
  </si>
  <si>
    <t>1.33M</t>
  </si>
  <si>
    <t>https://www.cookie.fun/agent/size</t>
  </si>
  <si>
    <t>https://pbs.twimg.com/profile_images/1838792520542650368/HPI8dlIj_400x400.jpg</t>
  </si>
  <si>
    <t>SIZE</t>
  </si>
  <si>
    <t>@sizecoinsolana</t>
  </si>
  <si>
    <t>-0.065</t>
  </si>
  <si>
    <t>$2.39M</t>
  </si>
  <si>
    <t>$176.56K</t>
  </si>
  <si>
    <t>27.35K</t>
  </si>
  <si>
    <t>2 999</t>
  </si>
  <si>
    <t>https://www.cookie.fun/agent/supplyvest</t>
  </si>
  <si>
    <t>https://pbs.twimg.com/profile_images/1869882085843808256/YX7XpTx7_400x400.jpg</t>
  </si>
  <si>
    <t>SUPPLYVEST</t>
  </si>
  <si>
    <t>@SupplyVestHQ</t>
  </si>
  <si>
    <t>14 214</t>
  </si>
  <si>
    <t>https://x.com/erequendiweb3/status/1878522670125380014</t>
  </si>
  <si>
    <t>https://pbs.twimg.com/profile_images/1875472471677108224/Fp5kS1f4_normal.jpg</t>
  </si>
  <si>
    <t>https://www.cookie.fun/agent/roasted</t>
  </si>
  <si>
    <t>https://pbs.twimg.com/profile_images/1859638138584420352/PCpAwGoI_400x400.jpg</t>
  </si>
  <si>
    <t>ROASTED</t>
  </si>
  <si>
    <t>@crypto_ROAST</t>
  </si>
  <si>
    <t>-0.038</t>
  </si>
  <si>
    <t>$142.83K</t>
  </si>
  <si>
    <t>$21.21K</t>
  </si>
  <si>
    <t>1 882</t>
  </si>
  <si>
    <t>https://x.com/MarcoPoloMaps/status/1879149215319994792</t>
  </si>
  <si>
    <t>https://pbs.twimg.com/profile_images/1624131627054923776/LBkY1wv9_normal.jpg</t>
  </si>
  <si>
    <t>https://x.com/Smokeyjoethepi1/status/1879232274862125250</t>
  </si>
  <si>
    <t>https://www.cookie.fun/agent/bossu</t>
  </si>
  <si>
    <t>https://pbs.twimg.com/profile_images/1851294375600668675/3LZ5rkN9_400x400.jpg</t>
  </si>
  <si>
    <t>BOSSU</t>
  </si>
  <si>
    <t>@bossu_online</t>
  </si>
  <si>
    <t>$951.14K</t>
  </si>
  <si>
    <t>$110.22K</t>
  </si>
  <si>
    <t>81.8K</t>
  </si>
  <si>
    <t>20 125</t>
  </si>
  <si>
    <t>4.17K</t>
  </si>
  <si>
    <t>https://x.com/softlipa1018/status/1877011469415383063</t>
  </si>
  <si>
    <t>https://pbs.twimg.com/profile_images/1876981306044944384/skdWmQbK_normal.jpg</t>
  </si>
  <si>
    <t>https://www.cookie.fun/agent/mfercoin</t>
  </si>
  <si>
    <t>https://pbs.twimg.com/profile_images/1771183612748034048/VJnfA7F7_400x400.jpg</t>
  </si>
  <si>
    <t>$MFER</t>
  </si>
  <si>
    <t>@normalmfer_</t>
  </si>
  <si>
    <t>$0.0166</t>
  </si>
  <si>
    <t>$16.57M</t>
  </si>
  <si>
    <t>135.22K</t>
  </si>
  <si>
    <t>1 970</t>
  </si>
  <si>
    <t>67K</t>
  </si>
  <si>
    <t>https://x.com/0xLawl/status/1878872318774222897</t>
  </si>
  <si>
    <t>https://pbs.twimg.com/profile_images/1754632022939611137/9Twew9N7_normal.jpg</t>
  </si>
  <si>
    <t>https://x.com/0xLawl/status/1878839427583394034</t>
  </si>
  <si>
    <t>https://x.com/_seacasa/status/1878904622322270218</t>
  </si>
  <si>
    <t>https://pbs.twimg.com/profile_images/1590938848304844801/2BV_WAwd_normal.jpg</t>
  </si>
  <si>
    <t>https://x.com/sartocrates/status/1879224994376646885</t>
  </si>
  <si>
    <t>https://pbs.twimg.com/profile_images/1876322799603630080/X-xz2y2T_normal.jpg</t>
  </si>
  <si>
    <t>https://www.cookie.fun/agent/kira-kuru</t>
  </si>
  <si>
    <t>https://pbs.twimg.com/profile_images/1864136352956338178/pf91fTWt_400x400.jpg</t>
  </si>
  <si>
    <t>KRA</t>
  </si>
  <si>
    <t>@KiraKuruAI</t>
  </si>
  <si>
    <t>$0.0089</t>
  </si>
  <si>
    <t>$8.94M</t>
  </si>
  <si>
    <t>$209.04K</t>
  </si>
  <si>
    <t>243.87K</t>
  </si>
  <si>
    <t>7 356</t>
  </si>
  <si>
    <t>3.26K</t>
  </si>
  <si>
    <t>https://www.cookie.fun/agent/ravenai</t>
  </si>
  <si>
    <t>https://pbs.twimg.com/profile_images/1860156958394974210/5zAJomsJ_400x400.jpg</t>
  </si>
  <si>
    <t>SHDW</t>
  </si>
  <si>
    <t>@shdwraven</t>
  </si>
  <si>
    <t>$0.₄614</t>
  </si>
  <si>
    <t>$61.46K</t>
  </si>
  <si>
    <t>$14.52K</t>
  </si>
  <si>
    <t>3.47K</t>
  </si>
  <si>
    <t>https://x.com/CapoXXIII/status/1879069713462137204</t>
  </si>
  <si>
    <t>https://pbs.twimg.com/profile_images/1876631199529267200/IG_L7xhT_normal.jpg</t>
  </si>
  <si>
    <t>https://x.com/CapoXXIII/status/1877155052713902173</t>
  </si>
  <si>
    <t>https://x.com/CapoXXIII/status/1877680843621126417</t>
  </si>
  <si>
    <t>https://x.com/Nafwyd/status/1877797160445521933</t>
  </si>
  <si>
    <t>https://pbs.twimg.com/profile_images/1823694633588719616/HrwBd8MQ_normal.jpg</t>
  </si>
  <si>
    <t>https://x.com/camolNFT/status/1878494177236840547</t>
  </si>
  <si>
    <t>https://www.cookie.fun/agent/keyboard-cat</t>
  </si>
  <si>
    <t>https://pbs.twimg.com/profile_images/1787808074981310464/LNqtP1ik_400x400.jpg</t>
  </si>
  <si>
    <t>KEYCAT</t>
  </si>
  <si>
    <t>@KeyboardCatBase</t>
  </si>
  <si>
    <t>$45.5M</t>
  </si>
  <si>
    <t>2.98M</t>
  </si>
  <si>
    <t>20 090</t>
  </si>
  <si>
    <t>179.76K</t>
  </si>
  <si>
    <t>https://x.com/LarpVonTrier/status/1877535267155833086</t>
  </si>
  <si>
    <t>https://pbs.twimg.com/profile_images/1741228410397999104/hSup_xwc_normal.jpg</t>
  </si>
  <si>
    <t>https://x.com/LBank_Exchange/status/1879464712502747318</t>
  </si>
  <si>
    <t>https://pbs.twimg.com/profile_images/1874415599704510464/C51203O6_normal.jpg</t>
  </si>
  <si>
    <t>https://x.com/Jklaub81/status/1879365229639041441</t>
  </si>
  <si>
    <t>https://pbs.twimg.com/profile_images/1685118750339604482/0A63xtY__normal.jpg</t>
  </si>
  <si>
    <t>https://www.cookie.fun/agent/ocada</t>
  </si>
  <si>
    <t>https://pbs.twimg.com/profile_images/1770036400290766848/nMbXqIk1_400x400.jpg</t>
  </si>
  <si>
    <t>OCADA</t>
  </si>
  <si>
    <t>@ocada_ai</t>
  </si>
  <si>
    <t>$0.0813</t>
  </si>
  <si>
    <t>$9.46M</t>
  </si>
  <si>
    <t>$210.8K</t>
  </si>
  <si>
    <t>162.62K</t>
  </si>
  <si>
    <t>11 464</t>
  </si>
  <si>
    <t>https://x.com/nosana_ai/status/1877714199398277348</t>
  </si>
  <si>
    <t>https://pbs.twimg.com/profile_images/1457379008065253389/POfb_I4u_normal.jpg</t>
  </si>
  <si>
    <t>https://www.cookie.fun/agent/blormmy</t>
  </si>
  <si>
    <t>https://pbs.twimg.com/profile_images/1852388249932541957/sNRChehH_400x400.jpg</t>
  </si>
  <si>
    <t>BLORMMY</t>
  </si>
  <si>
    <t>@blormmy</t>
  </si>
  <si>
    <t>$3M</t>
  </si>
  <si>
    <t>$321.19K</t>
  </si>
  <si>
    <t>310.62K</t>
  </si>
  <si>
    <t>7 812</t>
  </si>
  <si>
    <t>4.66K</t>
  </si>
  <si>
    <t>https://www.cookie.fun/agent/just-juni</t>
  </si>
  <si>
    <t>https://pbs.twimg.com/profile_images/1870246943148089345/EnhDWSl7_400x400.jpg</t>
  </si>
  <si>
    <t>JUNI</t>
  </si>
  <si>
    <t>@Storytime_Juni</t>
  </si>
  <si>
    <t>$106.43K</t>
  </si>
  <si>
    <t>$43.74K</t>
  </si>
  <si>
    <t>8.98K</t>
  </si>
  <si>
    <t>https://x.com/DCBK2LA/status/1879329468516552733</t>
  </si>
  <si>
    <t>https://pbs.twimg.com/profile_images/1782157237232005120/EWToWyVO_normal.jpg</t>
  </si>
  <si>
    <t>https://www.cookie.fun/agent/santa</t>
  </si>
  <si>
    <t>https://pbs.twimg.com/profile_images/1871564431282638849/hhy2WNIl_400x400.jpg</t>
  </si>
  <si>
    <t>SANTA</t>
  </si>
  <si>
    <t>@santavirtuals</t>
  </si>
  <si>
    <t>$0.0056</t>
  </si>
  <si>
    <t>$5.62M</t>
  </si>
  <si>
    <t>$345.99K</t>
  </si>
  <si>
    <t>160.56K</t>
  </si>
  <si>
    <t>2 455</t>
  </si>
  <si>
    <t>30.47K</t>
  </si>
  <si>
    <t>https://x.com/everythingempt0/status/1878356696193810742</t>
  </si>
  <si>
    <t>https://pbs.twimg.com/profile_images/1805895265746051072/vSr7Tsbo_normal.jpg</t>
  </si>
  <si>
    <t>https://www.cookie.fun/agent/bongo-ai</t>
  </si>
  <si>
    <t>https://pbs.twimg.com/profile_images/1867615855808303104/LuW7RqE6_400x400.jpg</t>
  </si>
  <si>
    <t>BONGO</t>
  </si>
  <si>
    <t>@BongoCatAI</t>
  </si>
  <si>
    <t>$0.0202</t>
  </si>
  <si>
    <t>$20.22M</t>
  </si>
  <si>
    <t>$622.83K</t>
  </si>
  <si>
    <t>563.6K</t>
  </si>
  <si>
    <t>15.63K</t>
  </si>
  <si>
    <t>https://www.cookie.fun/agent/omni</t>
  </si>
  <si>
    <t>https://pbs.twimg.com/profile_images/1863736573914681344/e3FnArrc_400x400.jpg</t>
  </si>
  <si>
    <t>OMNI</t>
  </si>
  <si>
    <t>@mind_circuit</t>
  </si>
  <si>
    <t>$0.₃909</t>
  </si>
  <si>
    <t>$893.49K</t>
  </si>
  <si>
    <t>$141.94K</t>
  </si>
  <si>
    <t>39.31K</t>
  </si>
  <si>
    <t>3 362</t>
  </si>
  <si>
    <t>https://x.com/CryptoMichNL/status/1877333964467081342</t>
  </si>
  <si>
    <t>https://pbs.twimg.com/profile_images/1696225706768740353/ta6goKxa_normal.jpg</t>
  </si>
  <si>
    <t>https://www.cookie.fun/agent/lucy</t>
  </si>
  <si>
    <t>https://pbs.twimg.com/profile_images/1864999591013421058/rl_W6L2Z_400x400.jpg</t>
  </si>
  <si>
    <t>LUCY</t>
  </si>
  <si>
    <t>@RealLucyy_uwu</t>
  </si>
  <si>
    <t>-0.0054</t>
  </si>
  <si>
    <t>$0.₃808</t>
  </si>
  <si>
    <t>$808.77K</t>
  </si>
  <si>
    <t>$62.03K</t>
  </si>
  <si>
    <t>68.74K</t>
  </si>
  <si>
    <t>2 263</t>
  </si>
  <si>
    <t>https://x.com/HammerToe/status/1878595517544071458</t>
  </si>
  <si>
    <t>https://pbs.twimg.com/profile_images/1714413716135878656/D-TugPKq_normal.jpg</t>
  </si>
  <si>
    <t>https://x.com/Block100x/status/1878991874985484713</t>
  </si>
  <si>
    <t>https://pbs.twimg.com/profile_images/1816519907045236736/yD6iA3KJ_normal.jpg</t>
  </si>
  <si>
    <t>https://www.cookie.fun/agent/aika</t>
  </si>
  <si>
    <t>https://pbs.twimg.com/profile_images/1876864126376431616/Da-EVPUA_400x400.jpg</t>
  </si>
  <si>
    <t>AIKA</t>
  </si>
  <si>
    <t>@24Kenva</t>
  </si>
  <si>
    <t>$170.4K</t>
  </si>
  <si>
    <t>$46.85K</t>
  </si>
  <si>
    <t>95 935</t>
  </si>
  <si>
    <t>11.34K</t>
  </si>
  <si>
    <t>https://x.com/nftnow/status/1878948462408147191</t>
  </si>
  <si>
    <t>https://pbs.twimg.com/profile_images/1627883596861042688/Qjtf93Zv_normal.jpg</t>
  </si>
  <si>
    <t>https://x.com/keigowda/status/1878720743183458497</t>
  </si>
  <si>
    <t>https://www.cookie.fun/agent/sim</t>
  </si>
  <si>
    <t>https://pbs.twimg.com/profile_images/1859571970515349504/B32EAU1y_400x400.jpg</t>
  </si>
  <si>
    <t>SIM</t>
  </si>
  <si>
    <t>@Assimilate_cc</t>
  </si>
  <si>
    <t>$0.0314</t>
  </si>
  <si>
    <t>$2.79M</t>
  </si>
  <si>
    <t>$171.93K</t>
  </si>
  <si>
    <t>68.7K</t>
  </si>
  <si>
    <t>5 178</t>
  </si>
  <si>
    <t>https://www.cookie.fun/agent/alice</t>
  </si>
  <si>
    <t>https://pbs.twimg.com/profile_images/1866490073270620160/mC9RQDyc_400x400.jpg</t>
  </si>
  <si>
    <t>ALICE</t>
  </si>
  <si>
    <t>@alicecyberspace</t>
  </si>
  <si>
    <t>$0.₃713</t>
  </si>
  <si>
    <t>$693.01K</t>
  </si>
  <si>
    <t>$62.24K</t>
  </si>
  <si>
    <t>1 877</t>
  </si>
  <si>
    <t>https://www.cookie.fun/agent/capricorn</t>
  </si>
  <si>
    <t>https://pbs.twimg.com/profile_images/1861812218624458752/6I1bbCdC_400x400.jpg</t>
  </si>
  <si>
    <t>CAPRI</t>
  </si>
  <si>
    <t>@capri_virtuals</t>
  </si>
  <si>
    <t>$26.83K</t>
  </si>
  <si>
    <t>$20.56K</t>
  </si>
  <si>
    <t>84.51</t>
  </si>
  <si>
    <t>https://x.com/IRA_therabbit/status/1878440206631637201</t>
  </si>
  <si>
    <t>https://pbs.twimg.com/profile_images/1838171247894466560/dUd0KCBj_normal.jpg</t>
  </si>
  <si>
    <t>https://x.com/WomanNFT/status/1878805759707975770</t>
  </si>
  <si>
    <t>https://pbs.twimg.com/profile_images/1607439693964267520/4u_BxpEm_normal.jpg</t>
  </si>
  <si>
    <t>https://x.com/catswilleatyou/status/1879289029902172643</t>
  </si>
  <si>
    <t>https://pbs.twimg.com/profile_images/1683578172690792449/0lcIMqcf_normal.jpg</t>
  </si>
  <si>
    <t>https://x.com/WomanNFT/status/1879180643789307978</t>
  </si>
  <si>
    <t>https://x.com/WomanNFT/status/1879371991431680406</t>
  </si>
  <si>
    <t>https://www.cookie.fun/agent/retard-ai</t>
  </si>
  <si>
    <t>https://pbs.twimg.com/profile_images/1810920136523567104/vXqxWDjn_400x400.jpg</t>
  </si>
  <si>
    <t>RETARD</t>
  </si>
  <si>
    <t>@retardAI</t>
  </si>
  <si>
    <t>$0.₄529</t>
  </si>
  <si>
    <t>$52.49K</t>
  </si>
  <si>
    <t>$16.16K</t>
  </si>
  <si>
    <t>https://x.com/phunk2243/status/1879324639933153730</t>
  </si>
  <si>
    <t>https://pbs.twimg.com/profile_images/1785526747884314624/d6v3VcN7_normal.jpg</t>
  </si>
  <si>
    <t>https://x.com/phunk2243/status/1879323081627603183</t>
  </si>
  <si>
    <t>https://x.com/phunk2243/status/1879327149985054817</t>
  </si>
  <si>
    <t>https://www.cookie.fun/agent/agentalgo</t>
  </si>
  <si>
    <t>https://pbs.twimg.com/profile_images/1860693902635700224/810RIL93_400x400.jpg</t>
  </si>
  <si>
    <t>@Agent_Algo</t>
  </si>
  <si>
    <t>$0.9583</t>
  </si>
  <si>
    <t>$20.08M</t>
  </si>
  <si>
    <t>$608.1K</t>
  </si>
  <si>
    <t>811.14K</t>
  </si>
  <si>
    <t>31 920</t>
  </si>
  <si>
    <t>50.12K</t>
  </si>
  <si>
    <t>https://www.cookie.fun/agent/dora-ai</t>
  </si>
  <si>
    <t>https://pbs.twimg.com/profile_images/1866014447401062400/E7kMrkNY_400x400.jpg</t>
  </si>
  <si>
    <t>DORA</t>
  </si>
  <si>
    <t>@xDora_ai</t>
  </si>
  <si>
    <t>$9.15M</t>
  </si>
  <si>
    <t>$521.03K</t>
  </si>
  <si>
    <t>482.42K</t>
  </si>
  <si>
    <t>4 801</t>
  </si>
  <si>
    <t>45.93K</t>
  </si>
  <si>
    <t>https://x.com/yyds123888/status/1877370144974049597</t>
  </si>
  <si>
    <t>https://pbs.twimg.com/profile_images/1731300714507591680/IuPwFTx2_normal.jpg</t>
  </si>
  <si>
    <t>https://x.com/hanxiaobu2/status/1877369643607929040</t>
  </si>
  <si>
    <t>https://pbs.twimg.com/profile_images/1596397627645444097/DBO9K1Xg_normal.jpg</t>
  </si>
  <si>
    <t>https://www.cookie.fun/agent/tsuba</t>
  </si>
  <si>
    <t>https://pbs.twimg.com/profile_images/1864751521365180416/5_9YkSvu_400x400.jpg</t>
  </si>
  <si>
    <t>TSUBA</t>
  </si>
  <si>
    <t>@tsuba_ai</t>
  </si>
  <si>
    <t>$0.0016</t>
  </si>
  <si>
    <t>$1.61M</t>
  </si>
  <si>
    <t>$117.28K</t>
  </si>
  <si>
    <t>23.54K</t>
  </si>
  <si>
    <t>28 931</t>
  </si>
  <si>
    <t>https://www.cookie.fun/agent/neko</t>
  </si>
  <si>
    <t>https://pbs.twimg.com/profile_images/1861736901503574016/hj2rCEj5_400x400.jpg</t>
  </si>
  <si>
    <t>NEKO</t>
  </si>
  <si>
    <t>@NEKO_Virtuals</t>
  </si>
  <si>
    <t>$0.₄449</t>
  </si>
  <si>
    <t>$44.79K</t>
  </si>
  <si>
    <t>https://x.com/AprilCumberland/status/1877289634839117923</t>
  </si>
  <si>
    <t>https://pbs.twimg.com/profile_images/1803985178815270915/TwNPHK8u_normal.jpg</t>
  </si>
  <si>
    <t>https://x.com/agnesrium/status/1878673536753267023</t>
  </si>
  <si>
    <t>https://pbs.twimg.com/profile_images/1847271808124465152/Ev6OjJQ-_normal.jpg</t>
  </si>
  <si>
    <t>https://www.cookie.fun/agent/koala-ai</t>
  </si>
  <si>
    <t>https://pbs.twimg.com/profile_images/1774673450746974208/Ap0BSFAc_400x400.jpg</t>
  </si>
  <si>
    <t>@KOALAAIVIP</t>
  </si>
  <si>
    <t>$0.₅181</t>
  </si>
  <si>
    <t>$18M</t>
  </si>
  <si>
    <t>$342.44K</t>
  </si>
  <si>
    <t>216.78K</t>
  </si>
  <si>
    <t>19 051</t>
  </si>
  <si>
    <t>7.4K</t>
  </si>
  <si>
    <t>https://x.com/Eljaboom/status/1878193449536762055</t>
  </si>
  <si>
    <t>https://pbs.twimg.com/profile_images/1848281351608221696/TUGl7g0l_normal.jpg</t>
  </si>
  <si>
    <t>https://www.cookie.fun/agent/lana</t>
  </si>
  <si>
    <t>https://pbs.twimg.com/profile_images/1866650369528311808/dQG38Luq_400x400.jpg</t>
  </si>
  <si>
    <t>LANA</t>
  </si>
  <si>
    <t>@lanasolgirl</t>
  </si>
  <si>
    <t>$12.08K</t>
  </si>
  <si>
    <t>975.58</t>
  </si>
  <si>
    <t>https://x.com/halusolana/status/1878935012432826858</t>
  </si>
  <si>
    <t>https://x.com/halusolana/status/1878943744608837841</t>
  </si>
  <si>
    <t>https://www.cookie.fun/agent/claude</t>
  </si>
  <si>
    <t>https://pbs.twimg.com/profile_images/1868266445391482880/juTqNbbm_400x400.jpg</t>
  </si>
  <si>
    <t>CLAUDE</t>
  </si>
  <si>
    <t>@0xclaude_love</t>
  </si>
  <si>
    <t>-0.0018</t>
  </si>
  <si>
    <t>$2.5M</t>
  </si>
  <si>
    <t>$238.72K</t>
  </si>
  <si>
    <t>358.2K</t>
  </si>
  <si>
    <t>2 215</t>
  </si>
  <si>
    <t>https://x.com/bledi_gmi/status/1877007989996961970</t>
  </si>
  <si>
    <t>https://pbs.twimg.com/profile_images/1757666120536883200/E3X7Egln_normal.jpg</t>
  </si>
  <si>
    <t>https://www.cookie.fun/agent/lily-warden</t>
  </si>
  <si>
    <t>https://pbs.twimg.com/profile_images/1875271016336752640/Q0r4ZU0A_400x400.jpg</t>
  </si>
  <si>
    <t>LILY</t>
  </si>
  <si>
    <t>@Lily_Warden</t>
  </si>
  <si>
    <t>$47.9K</t>
  </si>
  <si>
    <t>$15.86K</t>
  </si>
  <si>
    <t>112.47</t>
  </si>
  <si>
    <t>14.37K</t>
  </si>
  <si>
    <t>https://x.com/LinImelda/status/1877979894300430525</t>
  </si>
  <si>
    <t>https://pbs.twimg.com/profile_images/1836206264667529216/Hnup_YWx_normal.jpg</t>
  </si>
  <si>
    <t>https://www.cookie.fun/agent/koto</t>
  </si>
  <si>
    <t>https://pbs.twimg.com/profile_images/1844108422184153088/Fe89dwIa_400x400.jpg</t>
  </si>
  <si>
    <t>KOTO</t>
  </si>
  <si>
    <t>@koto9x</t>
  </si>
  <si>
    <t>$0.0116</t>
  </si>
  <si>
    <t>$11.34M</t>
  </si>
  <si>
    <t>$934.5K</t>
  </si>
  <si>
    <t>515.76K</t>
  </si>
  <si>
    <t>49 756</t>
  </si>
  <si>
    <t>https://x.com/HarveyVogelmann/status/1877132996873990316</t>
  </si>
  <si>
    <t>https://pbs.twimg.com/profile_images/1774498259257511936/pxGsqnO-_normal.jpg</t>
  </si>
  <si>
    <t>https://www.cookie.fun/agent/kogin</t>
  </si>
  <si>
    <t>https://pbs.twimg.com/profile_images/1859352523867410432/perLBEMi_400x400.jpg</t>
  </si>
  <si>
    <t>KOGIN</t>
  </si>
  <si>
    <t>@Kogin_ai</t>
  </si>
  <si>
    <t>-0.02</t>
  </si>
  <si>
    <t>$0.₃701</t>
  </si>
  <si>
    <t>$659.45K</t>
  </si>
  <si>
    <t>$139.92K</t>
  </si>
  <si>
    <t>1 450</t>
  </si>
  <si>
    <t>7.71K</t>
  </si>
  <si>
    <t>https://x.com/RareAxies/status/1878830757785096342</t>
  </si>
  <si>
    <t>https://pbs.twimg.com/profile_images/1580324266456776704/2bzFTexS_normal.jpg</t>
  </si>
  <si>
    <t>https://www.cookie.fun/agent/gud-tech</t>
  </si>
  <si>
    <t>https://pbs.twimg.com/profile_images/1876371070489387008/YgIVG_BS_400x400.jpg</t>
  </si>
  <si>
    <t>GUD</t>
  </si>
  <si>
    <t>@gudtech_ai</t>
  </si>
  <si>
    <t>-0.0023</t>
  </si>
  <si>
    <t>$0.0173</t>
  </si>
  <si>
    <t>$3.52M</t>
  </si>
  <si>
    <t>$235.64K</t>
  </si>
  <si>
    <t>55.65K</t>
  </si>
  <si>
    <t>4 664</t>
  </si>
  <si>
    <t>https://www.cookie.fun/agent/whales-intern</t>
  </si>
  <si>
    <t>https://pbs.twimg.com/profile_images/1868940776518139904/0QxshsAj_400x400.jpg</t>
  </si>
  <si>
    <t>WHALES</t>
  </si>
  <si>
    <t>@whalesintern</t>
  </si>
  <si>
    <t>$0.1874</t>
  </si>
  <si>
    <t>$18.3M</t>
  </si>
  <si>
    <t>$427.74K</t>
  </si>
  <si>
    <t>114.45K</t>
  </si>
  <si>
    <t>1 147</t>
  </si>
  <si>
    <t>4.43K</t>
  </si>
  <si>
    <t>https://x.com/revolut20/status/1877325749662740804</t>
  </si>
  <si>
    <t>https://pbs.twimg.com/profile_images/1608683899596546058/VVPhDnAa_normal.jpg</t>
  </si>
  <si>
    <t>https://www.cookie.fun/agent/arok-vc</t>
  </si>
  <si>
    <t>https://pbs.twimg.com/profile_images/1850958511137562625/oJQBBFeA_400x400.jpg</t>
  </si>
  <si>
    <t>AROK</t>
  </si>
  <si>
    <t>@arok_vc</t>
  </si>
  <si>
    <t>$0.0141</t>
  </si>
  <si>
    <t>$14.09M</t>
  </si>
  <si>
    <t>-0.012%</t>
  </si>
  <si>
    <t>$631.49K</t>
  </si>
  <si>
    <t>204.44K</t>
  </si>
  <si>
    <t>6 823</t>
  </si>
  <si>
    <t>https://www.cookie.fun/agent/aaahhmm</t>
  </si>
  <si>
    <t>https://pbs.twimg.com/profile_images/1866163885310406656/1VumDxP2_400x400.jpg</t>
  </si>
  <si>
    <t>AAAHHM</t>
  </si>
  <si>
    <t>@AAAHHM_SOL</t>
  </si>
  <si>
    <t>-0.067</t>
  </si>
  <si>
    <t>$0.0092</t>
  </si>
  <si>
    <t>$9.17M</t>
  </si>
  <si>
    <t>$268.86K</t>
  </si>
  <si>
    <t>396.63K</t>
  </si>
  <si>
    <t>8 746</t>
  </si>
  <si>
    <t>42.65K</t>
  </si>
  <si>
    <t>https://www.cookie.fun/agent/t3</t>
  </si>
  <si>
    <t>https://pbs.twimg.com/profile_images/1871338028641234945/Y_RE41IX_400x400.jpg</t>
  </si>
  <si>
    <t>T3AI</t>
  </si>
  <si>
    <t>@trustInWeb3</t>
  </si>
  <si>
    <t>$10.87M</t>
  </si>
  <si>
    <t>$724.55K</t>
  </si>
  <si>
    <t>5.69M</t>
  </si>
  <si>
    <t>4 925</t>
  </si>
  <si>
    <t>https://www.cookie.fun/agent/kiboshib</t>
  </si>
  <si>
    <t>https://pbs.twimg.com/profile_images/1742900420178067456/qoi0yk-x_400x400.jpg</t>
  </si>
  <si>
    <t>KIBSHI</t>
  </si>
  <si>
    <t>@KiboShib</t>
  </si>
  <si>
    <t>$11.63M</t>
  </si>
  <si>
    <t>$431.43K</t>
  </si>
  <si>
    <t>70.58K</t>
  </si>
  <si>
    <t>8 705</t>
  </si>
  <si>
    <t>4.62K</t>
  </si>
  <si>
    <t>https://www.cookie.fun/agent/mindzero</t>
  </si>
  <si>
    <t>https://pbs.twimg.com/profile_images/1877079241944100865/bZ7orovo_400x400.jpg</t>
  </si>
  <si>
    <t>MIND</t>
  </si>
  <si>
    <t>@MindZero__</t>
  </si>
  <si>
    <t>$87.54K</t>
  </si>
  <si>
    <t>363.02K</t>
  </si>
  <si>
    <t>3 684</t>
  </si>
  <si>
    <t>https://www.cookie.fun/agent/crypto-101</t>
  </si>
  <si>
    <t>https://pbs.twimg.com/profile_images/1858697083152461827/evlhKu8J_400x400.jpg</t>
  </si>
  <si>
    <t>@Crypto_101_AI</t>
  </si>
  <si>
    <t>$407.16K</t>
  </si>
  <si>
    <t>$82.67K</t>
  </si>
  <si>
    <t>345.79K</t>
  </si>
  <si>
    <t>https://x.com/MINHxDYNASTY/status/1879240982161768876</t>
  </si>
  <si>
    <t>https://pbs.twimg.com/profile_images/1863778246799880192/pM1fnD16_normal.jpg</t>
  </si>
  <si>
    <t>https://x.com/0xBiZzy/status/1877469574196498567</t>
  </si>
  <si>
    <t>https://pbs.twimg.com/profile_images/1753638166416789504/mtdOiLx8_normal.jpg</t>
  </si>
  <si>
    <t>https://www.cookie.fun/agent/bad</t>
  </si>
  <si>
    <t>https://pbs.twimg.com/profile_images/1721223882185609216/L-GbNfgb_400x400.jpg</t>
  </si>
  <si>
    <t>BAD</t>
  </si>
  <si>
    <t>@badideaai</t>
  </si>
  <si>
    <t>$0.₇200</t>
  </si>
  <si>
    <t>$14.52M</t>
  </si>
  <si>
    <t>$772.71K</t>
  </si>
  <si>
    <t>36.55K</t>
  </si>
  <si>
    <t>44 068</t>
  </si>
  <si>
    <t>18.08K</t>
  </si>
  <si>
    <t>https://www.cookie.fun/agent/vainguard</t>
  </si>
  <si>
    <t>https://pbs.twimg.com/profile_images/1861371896224456704/CIr-C38A_400x400.jpg</t>
  </si>
  <si>
    <t>VAIN</t>
  </si>
  <si>
    <t>@vainguard_ai</t>
  </si>
  <si>
    <t>$0.0146</t>
  </si>
  <si>
    <t>$14.61M</t>
  </si>
  <si>
    <t>$554.94K</t>
  </si>
  <si>
    <t>204.67K</t>
  </si>
  <si>
    <t>1 783</t>
  </si>
  <si>
    <t>35.45K</t>
  </si>
  <si>
    <t>https://www.cookie.fun/agent/tadz-agent</t>
  </si>
  <si>
    <t>https://pbs.twimg.com/profile_images/1812154656342065152/8EI4kI0A_400x400.jpg</t>
  </si>
  <si>
    <t>TADZ AGENT</t>
  </si>
  <si>
    <t>@Ta_da_io</t>
  </si>
  <si>
    <t>57 119</t>
  </si>
  <si>
    <t>https://x.com/Cointelegraph/status/1877459212084584535</t>
  </si>
  <si>
    <t>https://pbs.twimg.com/profile_images/1755983593925378048/kYutau0B_normal.jpg</t>
  </si>
  <si>
    <t>https://www.cookie.fun/agent/roastmaster9000</t>
  </si>
  <si>
    <t>https://pbs.twimg.com/profile_images/1859637818030522368/CaQHTr9r_400x400.jpg</t>
  </si>
  <si>
    <t>RM9000</t>
  </si>
  <si>
    <t>@RoastM4ster9000</t>
  </si>
  <si>
    <t>$213.56K</t>
  </si>
  <si>
    <t>167.06K</t>
  </si>
  <si>
    <t>10 411</t>
  </si>
  <si>
    <t>3.59K</t>
  </si>
  <si>
    <t>https://www.cookie.fun/agent/cleopetra</t>
  </si>
  <si>
    <t>https://pbs.twimg.com/profile_images/1870832561464950784/UIkwiMLI_400x400.jpg</t>
  </si>
  <si>
    <t>CLEOPETRA</t>
  </si>
  <si>
    <t>@cleopetrafun</t>
  </si>
  <si>
    <t>13 074</t>
  </si>
  <si>
    <t>https://www.cookie.fun/agent/hyperstition</t>
  </si>
  <si>
    <t>https://pbs.twimg.com/profile_images/1860218101901697024/b_JN-oGk_400x400.jpg</t>
  </si>
  <si>
    <t>HYPER</t>
  </si>
  <si>
    <t>@hyperstitialorb</t>
  </si>
  <si>
    <t>$0.₄323</t>
  </si>
  <si>
    <t>$32.32K</t>
  </si>
  <si>
    <t>1 174</t>
  </si>
  <si>
    <t>1.78K</t>
  </si>
  <si>
    <t>https://x.com/RaoulGMI/status/1877854165340246388</t>
  </si>
  <si>
    <t>https://pbs.twimg.com/profile_images/1722258300665044992/bo9clXct_normal.jpg</t>
  </si>
  <si>
    <t>https://www.cookie.fun/agent/lyraverse</t>
  </si>
  <si>
    <t>https://pbs.twimg.com/profile_images/1867896799769341952/Y4DNDAXP_400x400.jpg</t>
  </si>
  <si>
    <t>LYRAVERSE</t>
  </si>
  <si>
    <t>@lyraverseAI</t>
  </si>
  <si>
    <t>3 317</t>
  </si>
  <si>
    <t>https://x.com/marvellousdefi_/status/1877711676537012617</t>
  </si>
  <si>
    <t>https://pbs.twimg.com/profile_images/1820898804834369536/kEO4-xkf_normal.jpg</t>
  </si>
  <si>
    <t>https://x.com/marvellousdefi_/status/1878207966303641675</t>
  </si>
  <si>
    <t>https://www.cookie.fun/agent/deep-worm</t>
  </si>
  <si>
    <t>https://pbs.twimg.com/profile_images/1853731561981755392/2_OMXB2L_400x400.jpg</t>
  </si>
  <si>
    <t>WORM</t>
  </si>
  <si>
    <t>@deepwormxyz</t>
  </si>
  <si>
    <t>$0.019</t>
  </si>
  <si>
    <t>-8.2%</t>
  </si>
  <si>
    <t>$19M</t>
  </si>
  <si>
    <t>1.07M</t>
  </si>
  <si>
    <t>14 891</t>
  </si>
  <si>
    <t>13.61K</t>
  </si>
  <si>
    <t>https://www.cookie.fun/agent/zods</t>
  </si>
  <si>
    <t>https://pbs.twimg.com/profile_images/1853802791216521216/9JIhLaK-_400x400.jpg</t>
  </si>
  <si>
    <t>ZODS</t>
  </si>
  <si>
    <t>@zodsonsol</t>
  </si>
  <si>
    <t>$518.18K</t>
  </si>
  <si>
    <t>752.25K</t>
  </si>
  <si>
    <t>8 271</t>
  </si>
  <si>
    <t>https://x.com/alfaketchum/status/1879184657314660582</t>
  </si>
  <si>
    <t>https://pbs.twimg.com/profile_images/1856940704502550528/MRNOpgHF_normal.jpg</t>
  </si>
  <si>
    <t>https://www.cookie.fun/agent/kiri</t>
  </si>
  <si>
    <t>https://pbs.twimg.com/profile_images/1680576812202729473/eek6v2Ld_400x400.jpg</t>
  </si>
  <si>
    <t>KIRI</t>
  </si>
  <si>
    <t>@Kyrannio</t>
  </si>
  <si>
    <t>$176.44K</t>
  </si>
  <si>
    <t>$53.1K</t>
  </si>
  <si>
    <t>8.82K</t>
  </si>
  <si>
    <t>15 998</t>
  </si>
  <si>
    <t>2.44K</t>
  </si>
  <si>
    <t>https://x.com/RadNFTV/status/1877419605750153684</t>
  </si>
  <si>
    <t>https://pbs.twimg.com/profile_images/1690130453863260160/IYSjBjDM_normal.jpg</t>
  </si>
  <si>
    <t>https://www.cookie.fun/agent/mira-parsen</t>
  </si>
  <si>
    <t>https://pbs.twimg.com/profile_images/1860558233833988096/pdWWsdsv_400x400.jpg</t>
  </si>
  <si>
    <t>@MiraParsen</t>
  </si>
  <si>
    <t>$167.21K</t>
  </si>
  <si>
    <t>$36.03K</t>
  </si>
  <si>
    <t>147.85K</t>
  </si>
  <si>
    <t>https://www.cookie.fun/agent/d00d</t>
  </si>
  <si>
    <t>https://pbs.twimg.com/profile_images/1872382627011035136/ag-fU-8E_400x400.jpg</t>
  </si>
  <si>
    <t>D00D</t>
  </si>
  <si>
    <t>@D00ds_com</t>
  </si>
  <si>
    <t>$43.62K</t>
  </si>
  <si>
    <t>3 847</t>
  </si>
  <si>
    <t>1.41K</t>
  </si>
  <si>
    <t>https://x.com/mobislixk/status/1878227942477574622</t>
  </si>
  <si>
    <t>https://pbs.twimg.com/profile_images/1800572784193495040/jqcuLovt_normal.jpg</t>
  </si>
  <si>
    <t>https://www.cookie.fun/agent/gm-everyday</t>
  </si>
  <si>
    <t>https://pbs.twimg.com/profile_images/1854820520862334976/sRavZnte_400x400.jpg</t>
  </si>
  <si>
    <t>GM</t>
  </si>
  <si>
    <t>@sayGM_Everyday</t>
  </si>
  <si>
    <t>$0.₃185</t>
  </si>
  <si>
    <t>$185.93K</t>
  </si>
  <si>
    <t>$83.98K</t>
  </si>
  <si>
    <t>162.39K</t>
  </si>
  <si>
    <t>https://x.com/jaapyft/status/1878487981071495170</t>
  </si>
  <si>
    <t>https://pbs.twimg.com/profile_images/1648452089218220034/RbS3lwh8_normal.jpg</t>
  </si>
  <si>
    <t>https://www.cookie.fun/agent/sensus</t>
  </si>
  <si>
    <t>https://pbs.twimg.com/profile_images/1864962660426481664/UUaV4Yyo_400x400.jpg</t>
  </si>
  <si>
    <t>SENSUS</t>
  </si>
  <si>
    <t>@0xSensus</t>
  </si>
  <si>
    <t>-0.004</t>
  </si>
  <si>
    <t>$4.21M</t>
  </si>
  <si>
    <t>$225.06K</t>
  </si>
  <si>
    <t>174.04K</t>
  </si>
  <si>
    <t>5 745</t>
  </si>
  <si>
    <t>5.53K</t>
  </si>
  <si>
    <t>https://www.cookie.fun/agent/slopfather</t>
  </si>
  <si>
    <t>https://pbs.twimg.com/profile_images/1865949213781086208/AKkCVABB_400x400.jpg</t>
  </si>
  <si>
    <t>FATHA</t>
  </si>
  <si>
    <t>@slopfather</t>
  </si>
  <si>
    <t>$0.0082</t>
  </si>
  <si>
    <t>$8.21M</t>
  </si>
  <si>
    <t>$436.47K</t>
  </si>
  <si>
    <t>1.29M</t>
  </si>
  <si>
    <t>8 104</t>
  </si>
  <si>
    <t>9.61K</t>
  </si>
  <si>
    <t>https://www.cookie.fun/agent/gods</t>
  </si>
  <si>
    <t>https://pbs.twimg.com/profile_images/1857528340963557376/eeuu3N8u_400x400.jpg</t>
  </si>
  <si>
    <t>GODS</t>
  </si>
  <si>
    <t>@GodsDotFun</t>
  </si>
  <si>
    <t>$2.14M</t>
  </si>
  <si>
    <t>$132.72K</t>
  </si>
  <si>
    <t>59.86K</t>
  </si>
  <si>
    <t>2 937</t>
  </si>
  <si>
    <t>https://x.com/GodsUnchained/status/1877525811290415196</t>
  </si>
  <si>
    <t>https://pbs.twimg.com/profile_images/1860006888391208960/lKWOEJfV_normal.jpg</t>
  </si>
  <si>
    <t>https://www.cookie.fun/agent/vitalikcurberin</t>
  </si>
  <si>
    <t>https://pbs.twimg.com/profile_images/1858694437225787393/5k-Oj-yq_400x400.jpg</t>
  </si>
  <si>
    <t>ETH</t>
  </si>
  <si>
    <t>@VitalikCurber1n</t>
  </si>
  <si>
    <t>-0.09%</t>
  </si>
  <si>
    <t>$0.₃340</t>
  </si>
  <si>
    <t>$340.52K</t>
  </si>
  <si>
    <t>$54.56K</t>
  </si>
  <si>
    <t>2.21K</t>
  </si>
  <si>
    <t>https://x.com/CryptoCurb/status/1879045545781874925</t>
  </si>
  <si>
    <t>https://pbs.twimg.com/profile_images/1806079994000478208/PyfujI-a_normal.jpg</t>
  </si>
  <si>
    <t>https://www.cookie.fun/agent/etholana</t>
  </si>
  <si>
    <t>https://pbs.twimg.com/profile_images/1869208085124030464/zszgJyVc_400x400.jpg</t>
  </si>
  <si>
    <t>@Etholana</t>
  </si>
  <si>
    <t>https://www.cookie.fun/agent/aiwithdaddyissues</t>
  </si>
  <si>
    <t>https://pbs.twimg.com/profile_images/1843549621747924992/m_MebdQE_400x400.jpg</t>
  </si>
  <si>
    <t>SHEGEN</t>
  </si>
  <si>
    <t>@aiwdaddyissues</t>
  </si>
  <si>
    <t>$3.22M</t>
  </si>
  <si>
    <t>$384.71K</t>
  </si>
  <si>
    <t>200.6K</t>
  </si>
  <si>
    <t>13 660</t>
  </si>
  <si>
    <t>12.06K</t>
  </si>
  <si>
    <t>https://www.cookie.fun/agent/chad-onchain</t>
  </si>
  <si>
    <t>https://pbs.twimg.com/profile_images/1852077426924457984/iARsWplA_400x400.jpg</t>
  </si>
  <si>
    <t>CHAD</t>
  </si>
  <si>
    <t>@chad_onchain</t>
  </si>
  <si>
    <t>-0.0097</t>
  </si>
  <si>
    <t>$0.₅698</t>
  </si>
  <si>
    <t>$6.97K</t>
  </si>
  <si>
    <t>$4.91K</t>
  </si>
  <si>
    <t>35.93</t>
  </si>
  <si>
    <t>2 709</t>
  </si>
  <si>
    <t>https://www.cookie.fun/agent/sami1</t>
  </si>
  <si>
    <t>https://pbs.twimg.com/profile_images/1863989474683682816/qNanBs_J_400x400.jpg</t>
  </si>
  <si>
    <t>SAMI1</t>
  </si>
  <si>
    <t>@OnlyOneSami</t>
  </si>
  <si>
    <t>$0.₃482</t>
  </si>
  <si>
    <t>$482.61K</t>
  </si>
  <si>
    <t>$65.83K</t>
  </si>
  <si>
    <t>36.11K</t>
  </si>
  <si>
    <t>4 434</t>
  </si>
  <si>
    <t>https://www.cookie.fun/agent/brains-your-greed-is-my-fuel-</t>
  </si>
  <si>
    <t>https://pbs.twimg.com/profile_images/1866373340866265088/109yjOJE_400x400.jpg</t>
  </si>
  <si>
    <t>BRAINS</t>
  </si>
  <si>
    <t>@HailBrains</t>
  </si>
  <si>
    <t>$151.52K</t>
  </si>
  <si>
    <t>19.42K</t>
  </si>
  <si>
    <t>8 965</t>
  </si>
  <si>
    <t>17.14K</t>
  </si>
  <si>
    <t>https://www.cookie.fun/agent/brokie</t>
  </si>
  <si>
    <t>https://pbs.twimg.com/profile_images/1864115753399558144/X7yzmqnf_400x400.jpg</t>
  </si>
  <si>
    <t>BROKIE</t>
  </si>
  <si>
    <t>@BrokieAI</t>
  </si>
  <si>
    <t>$309.07K</t>
  </si>
  <si>
    <t>$55.64K</t>
  </si>
  <si>
    <t>36.64K</t>
  </si>
  <si>
    <t>https://www.cookie.fun/agent/guanciale</t>
  </si>
  <si>
    <t>https://pbs.twimg.com/profile_images/1859074255088123904/5G-zRaO5_400x400.jpg</t>
  </si>
  <si>
    <t>GUAN</t>
  </si>
  <si>
    <t>@GuancialeAI</t>
  </si>
  <si>
    <t>$657.78K</t>
  </si>
  <si>
    <t>258.38K</t>
  </si>
  <si>
    <t>2 612</t>
  </si>
  <si>
    <t>75.05K</t>
  </si>
  <si>
    <t>https://www.cookie.fun/agent/shaw-a</t>
  </si>
  <si>
    <t>https://pbs.twimg.com/profile_images/1856001031001473024/hogmjU9m_400x400.png</t>
  </si>
  <si>
    <t>SHAW</t>
  </si>
  <si>
    <t>@shawmakesai</t>
  </si>
  <si>
    <t>$202.55K</t>
  </si>
  <si>
    <t>158.04K</t>
  </si>
  <si>
    <t>4 283</t>
  </si>
  <si>
    <t>https://x.com/imperooterxbt/status/1877173815589093807</t>
  </si>
  <si>
    <t>https://pbs.twimg.com/profile_images/1877129018547347456/NA4h8iV1_normal.jpg</t>
  </si>
  <si>
    <t>https://www.cookie.fun/agent/tate-terminal</t>
  </si>
  <si>
    <t>https://pbs.twimg.com/profile_images/1849429093751627776/6DUXEURV_400x400.jpg</t>
  </si>
  <si>
    <t>TATE</t>
  </si>
  <si>
    <t>@tate_terminal</t>
  </si>
  <si>
    <t>$1.24M</t>
  </si>
  <si>
    <t>$97.21K</t>
  </si>
  <si>
    <t>16.82K</t>
  </si>
  <si>
    <t>29 543</t>
  </si>
  <si>
    <t>4.15K</t>
  </si>
  <si>
    <t>https://x.com/Cobratate/status/1877403108428378470</t>
  </si>
  <si>
    <t>https://www.cookie.fun/agent/echo-leaks</t>
  </si>
  <si>
    <t>https://pbs.twimg.com/profile_images/1860474137707204608/uwAyIYPU_400x400.jpg</t>
  </si>
  <si>
    <t>ECHO</t>
  </si>
  <si>
    <t>@0xEchoLeaks</t>
  </si>
  <si>
    <t>$0.₃873</t>
  </si>
  <si>
    <t>$827.69K</t>
  </si>
  <si>
    <t>$143.67K</t>
  </si>
  <si>
    <t>64.09K</t>
  </si>
  <si>
    <t>2 010</t>
  </si>
  <si>
    <t>83.57K</t>
  </si>
  <si>
    <t>https://x.com/basilda_a/status/1878237186379710723</t>
  </si>
  <si>
    <t>https://www.cookie.fun/agent/degenc</t>
  </si>
  <si>
    <t>https://pbs.twimg.com/profile_images/1867240948092006401/uPhTgudc_400x400.jpg</t>
  </si>
  <si>
    <t>DEGENC</t>
  </si>
  <si>
    <t>@DegenCapitalCIO</t>
  </si>
  <si>
    <t>-0.062</t>
  </si>
  <si>
    <t>-0.89%</t>
  </si>
  <si>
    <t>$5.76M</t>
  </si>
  <si>
    <t>$437.31K</t>
  </si>
  <si>
    <t>134.22K</t>
  </si>
  <si>
    <t>1 841</t>
  </si>
  <si>
    <t>86.61K</t>
  </si>
  <si>
    <t>https://www.cookie.fun/agent/h4ck-terminal</t>
  </si>
  <si>
    <t>https://pbs.twimg.com/profile_images/1874802792059039744/UlgFozIt_400x400.jpg</t>
  </si>
  <si>
    <t>H4CK</t>
  </si>
  <si>
    <t>@h4ck_terminal</t>
  </si>
  <si>
    <t>$18.06M</t>
  </si>
  <si>
    <t>$838K</t>
  </si>
  <si>
    <t>717.3K</t>
  </si>
  <si>
    <t>9 908</t>
  </si>
  <si>
    <t>55.32K</t>
  </si>
  <si>
    <t>https://x.com/CryptoKaduna/status/1877725231512469898</t>
  </si>
  <si>
    <t>https://www.cookie.fun/agent/high-ai</t>
  </si>
  <si>
    <t>https://pbs.twimg.com/profile_images/1855033534303391744/cc7M4VvN_400x400.jpg</t>
  </si>
  <si>
    <t>HIGH</t>
  </si>
  <si>
    <t>@ThoughtTerminal</t>
  </si>
  <si>
    <t>$7.43K</t>
  </si>
  <si>
    <t>1 110</t>
  </si>
  <si>
    <t>https://www.cookie.fun/agent/saint</t>
  </si>
  <si>
    <t>https://pbs.twimg.com/profile_images/1858693380580298752/Ee4NMFv9_400x400.jpg</t>
  </si>
  <si>
    <t>SAINT</t>
  </si>
  <si>
    <t>@saintai_bot</t>
  </si>
  <si>
    <t>$7M</t>
  </si>
  <si>
    <t>$678.64K</t>
  </si>
  <si>
    <t>1.34M</t>
  </si>
  <si>
    <t>16 892</t>
  </si>
  <si>
    <t>101.16K</t>
  </si>
  <si>
    <t>https://www.cookie.fun/agent/stoic</t>
  </si>
  <si>
    <t>https://pbs.twimg.com/profile_images/1879080942712520704/q3Ypq5Lm_400x400.jpg</t>
  </si>
  <si>
    <t>STOIC</t>
  </si>
  <si>
    <t>@ModernStoicAI</t>
  </si>
  <si>
    <t>-0.0066</t>
  </si>
  <si>
    <t>$0.0143</t>
  </si>
  <si>
    <t>$14.27M</t>
  </si>
  <si>
    <t>$747.53K</t>
  </si>
  <si>
    <t>2.75M</t>
  </si>
  <si>
    <t>8 245</t>
  </si>
  <si>
    <t>8.71K</t>
  </si>
  <si>
    <t>https://www.cookie.fun/agent/anti-goatse</t>
  </si>
  <si>
    <t>https://pbs.twimg.com/profile_images/1847019981898121216/vq1W3Kqf_400x400.jpg</t>
  </si>
  <si>
    <t>AG</t>
  </si>
  <si>
    <t>@anti_goatse</t>
  </si>
  <si>
    <t>-0.0063</t>
  </si>
  <si>
    <t>$0.₄282</t>
  </si>
  <si>
    <t>$12.62K</t>
  </si>
  <si>
    <t>524.23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</si>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</sst>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6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2" fillId="0" borderId="3" xfId="0" applyFont="1" applyBorder="1"/>
    <xf numFmtId="9" fontId="2" fillId="0" borderId="2" xfId="0" applyNumberFormat="1" applyFont="1" applyBorder="1"/>
    <xf numFmtId="0" fontId="4" fillId="0" borderId="3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0" fontId="2" fillId="0" borderId="4" xfId="0" applyFont="1" applyBorder="1"/>
    <xf numFmtId="0" fontId="5" fillId="0" borderId="5" xfId="0" applyFont="1" applyBorder="1"/>
    <xf numFmtId="0" fontId="2" fillId="0" borderId="5" xfId="0" applyFont="1" applyBorder="1"/>
    <xf numFmtId="9" fontId="2" fillId="0" borderId="5" xfId="0" applyNumberFormat="1" applyFont="1" applyBorder="1"/>
    <xf numFmtId="0" fontId="2" fillId="0" borderId="6" xfId="0" applyFont="1" applyBorder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ookie.fun/chains/solana.svg" TargetMode="External"/><Relationship Id="rId3182" Type="http://schemas.openxmlformats.org/officeDocument/2006/relationships/hyperlink" Target="https://www.cookie.fun/chains/base.svg" TargetMode="External"/><Relationship Id="rId3999" Type="http://schemas.openxmlformats.org/officeDocument/2006/relationships/hyperlink" Target="https://pbs.twimg.com/profile_images/1757666120536883200/E3X7Egln_normal.jpg" TargetMode="External"/><Relationship Id="rId170" Type="http://schemas.openxmlformats.org/officeDocument/2006/relationships/hyperlink" Target="https://www.cookie.fun/chains/base.svg" TargetMode="External"/><Relationship Id="rId987" Type="http://schemas.openxmlformats.org/officeDocument/2006/relationships/hyperlink" Target="https://www.cookie.fun/chains/base.svg" TargetMode="External"/><Relationship Id="rId2668" Type="http://schemas.openxmlformats.org/officeDocument/2006/relationships/hyperlink" Target="https://pbs.twimg.com/profile_images/1869187254213820416/jQbvlIXX_400x400.jpg" TargetMode="External"/><Relationship Id="rId3719" Type="http://schemas.openxmlformats.org/officeDocument/2006/relationships/hyperlink" Target="https://pbs.twimg.com/profile_images/1846810255038070784/zJZK1ugd_normal.jpg" TargetMode="External"/><Relationship Id="rId4090" Type="http://schemas.openxmlformats.org/officeDocument/2006/relationships/hyperlink" Target="https://www.cookie.fun/chains/base.svg" TargetMode="External"/><Relationship Id="rId1684" Type="http://schemas.openxmlformats.org/officeDocument/2006/relationships/hyperlink" Target="https://www.cookie.fun/agent/tradingaxe" TargetMode="External"/><Relationship Id="rId2735" Type="http://schemas.openxmlformats.org/officeDocument/2006/relationships/hyperlink" Target="https://pbs.twimg.com/profile_images/1878792979210457088/N2hXteNa_normal.jpg" TargetMode="External"/><Relationship Id="rId707" Type="http://schemas.openxmlformats.org/officeDocument/2006/relationships/hyperlink" Target="https://pbs.twimg.com/profile_images/1856241605247721472/a7G2oJwL_400x400.jpg" TargetMode="External"/><Relationship Id="rId1337" Type="http://schemas.openxmlformats.org/officeDocument/2006/relationships/hyperlink" Target="https://pbs.twimg.com/profile_images/1859007230613614594/P6NMovXu_400x400.jpg" TargetMode="External"/><Relationship Id="rId1751" Type="http://schemas.openxmlformats.org/officeDocument/2006/relationships/hyperlink" Target="https://pbs.twimg.com/profile_images/1874578643864698880/4_YQ650O_400x400.jpg" TargetMode="External"/><Relationship Id="rId2802" Type="http://schemas.openxmlformats.org/officeDocument/2006/relationships/hyperlink" Target="https://pbs.twimg.com/profile_images/1599816737758879746/L-OdS7YP_normal.jpg" TargetMode="External"/><Relationship Id="rId43" Type="http://schemas.openxmlformats.org/officeDocument/2006/relationships/hyperlink" Target="https://www.cookie.fun/chains/solana.svg" TargetMode="External"/><Relationship Id="rId1404" Type="http://schemas.openxmlformats.org/officeDocument/2006/relationships/hyperlink" Target="https://www.cookie.fun/chains/solana.svg" TargetMode="External"/><Relationship Id="rId3576" Type="http://schemas.openxmlformats.org/officeDocument/2006/relationships/hyperlink" Target="https://x.com/Web3Adam/status/1877506241930404211" TargetMode="External"/><Relationship Id="rId497" Type="http://schemas.openxmlformats.org/officeDocument/2006/relationships/hyperlink" Target="https://www.cookie.fun/agent/upgrates" TargetMode="External"/><Relationship Id="rId2178" Type="http://schemas.openxmlformats.org/officeDocument/2006/relationships/hyperlink" Target="https://www.cookie.fun/agent/elonpump" TargetMode="External"/><Relationship Id="rId3229" Type="http://schemas.openxmlformats.org/officeDocument/2006/relationships/hyperlink" Target="https://x.com/Cardb00rd/status/1878559702176477481" TargetMode="External"/><Relationship Id="rId3990" Type="http://schemas.openxmlformats.org/officeDocument/2006/relationships/hyperlink" Target="https://www.cookie.fun/chains/solana.svg" TargetMode="External"/><Relationship Id="rId1194" Type="http://schemas.openxmlformats.org/officeDocument/2006/relationships/hyperlink" Target="https://www.cookie.fun/chains/solana.svg" TargetMode="External"/><Relationship Id="rId2592" Type="http://schemas.openxmlformats.org/officeDocument/2006/relationships/hyperlink" Target="https://x.com/Cryppocrates/status/1877697487026229698" TargetMode="External"/><Relationship Id="rId3643" Type="http://schemas.openxmlformats.org/officeDocument/2006/relationships/hyperlink" Target="https://pbs.twimg.com/profile_images/1608943419312816131/TA4aIDR4_normal.jpg" TargetMode="External"/><Relationship Id="rId217" Type="http://schemas.openxmlformats.org/officeDocument/2006/relationships/hyperlink" Target="https://pbs.twimg.com/profile_images/1878912588790243328/3lSwNT2p_400x400.jpg" TargetMode="External"/><Relationship Id="rId564" Type="http://schemas.openxmlformats.org/officeDocument/2006/relationships/hyperlink" Target="https://pbs.twimg.com/profile_images/1860447750061506560/rPHCotYC_400x400.jpg" TargetMode="External"/><Relationship Id="rId2245" Type="http://schemas.openxmlformats.org/officeDocument/2006/relationships/hyperlink" Target="https://pbs.twimg.com/profile_images/1879069097469562880/bqYDM0SB_400x400.jpg" TargetMode="External"/><Relationship Id="rId3710" Type="http://schemas.openxmlformats.org/officeDocument/2006/relationships/hyperlink" Target="https://x.com/0x8i11i0n/status/1877686356258013233" TargetMode="External"/><Relationship Id="rId631" Type="http://schemas.openxmlformats.org/officeDocument/2006/relationships/hyperlink" Target="https://www.cookie.fun/agent/miratisu" TargetMode="External"/><Relationship Id="rId1261" Type="http://schemas.openxmlformats.org/officeDocument/2006/relationships/hyperlink" Target="https://www.cookie.fun/agent/meta" TargetMode="External"/><Relationship Id="rId2312" Type="http://schemas.openxmlformats.org/officeDocument/2006/relationships/hyperlink" Target="https://x.com/yoheinakajima/status/1878970384697168167" TargetMode="External"/><Relationship Id="rId3086" Type="http://schemas.openxmlformats.org/officeDocument/2006/relationships/hyperlink" Target="https://x.com/jessepollak/status/1879243402090578036" TargetMode="External"/><Relationship Id="rId4137" Type="http://schemas.openxmlformats.org/officeDocument/2006/relationships/hyperlink" Target="https://pbs.twimg.com/profile_images/1864115753399558144/X7yzmqnf_400x400.jpg" TargetMode="External"/><Relationship Id="rId3153" Type="http://schemas.openxmlformats.org/officeDocument/2006/relationships/hyperlink" Target="https://x.com/Pledditor/status/1877146366993969497" TargetMode="External"/><Relationship Id="rId141" Type="http://schemas.openxmlformats.org/officeDocument/2006/relationships/hyperlink" Target="https://www.cookie.fun/agent/binary-darksun" TargetMode="External"/><Relationship Id="rId3220" Type="http://schemas.openxmlformats.org/officeDocument/2006/relationships/hyperlink" Target="https://pbs.twimg.com/profile_images/1773764799664693248/60pGWFxJ_400x400.jpg" TargetMode="External"/><Relationship Id="rId7" Type="http://schemas.openxmlformats.org/officeDocument/2006/relationships/hyperlink" Target="https://www.cookie.fun/agent/neurobro" TargetMode="External"/><Relationship Id="rId2986" Type="http://schemas.openxmlformats.org/officeDocument/2006/relationships/hyperlink" Target="https://pbs.twimg.com/profile_images/1829954676172754944/AY0XOTPa_normal.jpg" TargetMode="External"/><Relationship Id="rId958" Type="http://schemas.openxmlformats.org/officeDocument/2006/relationships/hyperlink" Target="https://www.cookie.fun/agent/molly-analytics" TargetMode="External"/><Relationship Id="rId1588" Type="http://schemas.openxmlformats.org/officeDocument/2006/relationships/hyperlink" Target="https://www.cookie.fun/agent/ayedawlf" TargetMode="External"/><Relationship Id="rId2639" Type="http://schemas.openxmlformats.org/officeDocument/2006/relationships/hyperlink" Target="https://pbs.twimg.com/profile_images/1355123076183322625/3tpOFCLO_normal.jpg" TargetMode="External"/><Relationship Id="rId87" Type="http://schemas.openxmlformats.org/officeDocument/2006/relationships/hyperlink" Target="https://x.com/GalacticGeckoSG/status/1879257127631622277" TargetMode="External"/><Relationship Id="rId818" Type="http://schemas.openxmlformats.org/officeDocument/2006/relationships/hyperlink" Target="https://pbs.twimg.com/profile_images/1692317231764385792/S7oYqjbq_400x400.jpg" TargetMode="External"/><Relationship Id="rId1448" Type="http://schemas.openxmlformats.org/officeDocument/2006/relationships/hyperlink" Target="https://pbs.twimg.com/profile_images/1858662518559764480/btskkhK5_400x400.jpg" TargetMode="External"/><Relationship Id="rId1655" Type="http://schemas.openxmlformats.org/officeDocument/2006/relationships/hyperlink" Target="https://pbs.twimg.com/profile_images/1858163957338357760/1tqK2lZe_400x400.jpg" TargetMode="External"/><Relationship Id="rId2706" Type="http://schemas.openxmlformats.org/officeDocument/2006/relationships/hyperlink" Target="https://x.com/gem_insider/status/1879131095389687994" TargetMode="External"/><Relationship Id="rId4061" Type="http://schemas.openxmlformats.org/officeDocument/2006/relationships/hyperlink" Target="https://pbs.twimg.com/profile_images/1870832561464950784/UIkwiMLI_400x400.jpg" TargetMode="External"/><Relationship Id="rId1308" Type="http://schemas.openxmlformats.org/officeDocument/2006/relationships/hyperlink" Target="https://www.cookie.fun/chains/solana.svg" TargetMode="External"/><Relationship Id="rId1862" Type="http://schemas.openxmlformats.org/officeDocument/2006/relationships/hyperlink" Target="https://pbs.twimg.com/profile_images/1874295204779614209/CgML8FBK_400x400.jpg" TargetMode="External"/><Relationship Id="rId2913" Type="http://schemas.openxmlformats.org/officeDocument/2006/relationships/hyperlink" Target="https://x.com/DeFiDecoder_/status/1878454996699607131" TargetMode="External"/><Relationship Id="rId1515" Type="http://schemas.openxmlformats.org/officeDocument/2006/relationships/hyperlink" Target="https://www.cookie.fun/chains/solana.svg" TargetMode="External"/><Relationship Id="rId1722" Type="http://schemas.openxmlformats.org/officeDocument/2006/relationships/hyperlink" Target="https://www.cookie.fun/chains/solana.svg" TargetMode="External"/><Relationship Id="rId14" Type="http://schemas.openxmlformats.org/officeDocument/2006/relationships/hyperlink" Target="https://pbs.twimg.com/profile_images/1874429212301692928/Uj9ipGuV_400x400.jpg" TargetMode="External"/><Relationship Id="rId3687" Type="http://schemas.openxmlformats.org/officeDocument/2006/relationships/hyperlink" Target="https://pbs.twimg.com/profile_images/1846579538802982912/9qCfx_WU_normal.jpg" TargetMode="External"/><Relationship Id="rId3894" Type="http://schemas.openxmlformats.org/officeDocument/2006/relationships/hyperlink" Target="https://www.cookie.fun/agent/ocada" TargetMode="External"/><Relationship Id="rId2289" Type="http://schemas.openxmlformats.org/officeDocument/2006/relationships/hyperlink" Target="https://pbs.twimg.com/profile_images/1760347829166379008/Rjrt7Uv3_normal.jpg" TargetMode="External"/><Relationship Id="rId2496" Type="http://schemas.openxmlformats.org/officeDocument/2006/relationships/hyperlink" Target="https://x.com/CoinbaseAssets/status/1879309995268858298" TargetMode="External"/><Relationship Id="rId3547" Type="http://schemas.openxmlformats.org/officeDocument/2006/relationships/hyperlink" Target="https://pbs.twimg.com/profile_images/1848736044398637056/JvyE_B8v_400x400.jpg" TargetMode="External"/><Relationship Id="rId3754" Type="http://schemas.openxmlformats.org/officeDocument/2006/relationships/hyperlink" Target="https://pbs.twimg.com/profile_images/1583565200678178842/3eoxPYwo_normal.jpg" TargetMode="External"/><Relationship Id="rId3961" Type="http://schemas.openxmlformats.org/officeDocument/2006/relationships/hyperlink" Target="https://x.com/phunk2243/status/1879327149985054817" TargetMode="External"/><Relationship Id="rId468" Type="http://schemas.openxmlformats.org/officeDocument/2006/relationships/hyperlink" Target="https://pbs.twimg.com/profile_images/1864669570218258432/y3re47Y1_400x400.jpg" TargetMode="External"/><Relationship Id="rId675" Type="http://schemas.openxmlformats.org/officeDocument/2006/relationships/hyperlink" Target="https://www.cookie.fun/chains/solana.svg" TargetMode="External"/><Relationship Id="rId882" Type="http://schemas.openxmlformats.org/officeDocument/2006/relationships/hyperlink" Target="https://www.cookie.fun/chains/base.svg" TargetMode="External"/><Relationship Id="rId1098" Type="http://schemas.openxmlformats.org/officeDocument/2006/relationships/hyperlink" Target="https://www.cookie.fun/chains/solana.svg" TargetMode="External"/><Relationship Id="rId2149" Type="http://schemas.openxmlformats.org/officeDocument/2006/relationships/hyperlink" Target="https://pbs.twimg.com/profile_images/1848268450889867264/GZ8XZQi8_400x400.jpg" TargetMode="External"/><Relationship Id="rId2356" Type="http://schemas.openxmlformats.org/officeDocument/2006/relationships/hyperlink" Target="https://pbs.twimg.com/profile_images/1869129270095921152/aRrgX12s_400x400.jpg" TargetMode="External"/><Relationship Id="rId2563" Type="http://schemas.openxmlformats.org/officeDocument/2006/relationships/hyperlink" Target="https://pbs.twimg.com/profile_images/1464770850293534720/AdOJJAHw_normal.jpg" TargetMode="External"/><Relationship Id="rId2770" Type="http://schemas.openxmlformats.org/officeDocument/2006/relationships/hyperlink" Target="https://x.com/KING__KEMBA/status/1878257007985148003" TargetMode="External"/><Relationship Id="rId3407" Type="http://schemas.openxmlformats.org/officeDocument/2006/relationships/hyperlink" Target="https://pbs.twimg.com/profile_images/1817586374633046016/EgC7Mi9q_normal.jpg" TargetMode="External"/><Relationship Id="rId3614" Type="http://schemas.openxmlformats.org/officeDocument/2006/relationships/hyperlink" Target="https://pbs.twimg.com/profile_images/1871244566809976832/tvV8X5aM_normal.jpg" TargetMode="External"/><Relationship Id="rId3821" Type="http://schemas.openxmlformats.org/officeDocument/2006/relationships/hyperlink" Target="https://pbs.twimg.com/profile_images/1822227868505522178/PGznJ6Fu_normal.jpg" TargetMode="External"/><Relationship Id="rId328" Type="http://schemas.openxmlformats.org/officeDocument/2006/relationships/hyperlink" Target="https://www.cookie.fun/agent/punk3493" TargetMode="External"/><Relationship Id="rId535" Type="http://schemas.openxmlformats.org/officeDocument/2006/relationships/hyperlink" Target="https://www.cookie.fun/chains/base.svg" TargetMode="External"/><Relationship Id="rId742" Type="http://schemas.openxmlformats.org/officeDocument/2006/relationships/hyperlink" Target="https://www.cookie.fun/agent/sdv-junimo" TargetMode="External"/><Relationship Id="rId1165" Type="http://schemas.openxmlformats.org/officeDocument/2006/relationships/hyperlink" Target="https://www.cookie.fun/agent/sc1" TargetMode="External"/><Relationship Id="rId1372" Type="http://schemas.openxmlformats.org/officeDocument/2006/relationships/hyperlink" Target="https://www.cookie.fun/agent/boobs" TargetMode="External"/><Relationship Id="rId2009" Type="http://schemas.openxmlformats.org/officeDocument/2006/relationships/hyperlink" Target="https://pbs.twimg.com/profile_images/1877519283963547648/Td23CiHX_400x400.jpg" TargetMode="External"/><Relationship Id="rId2216" Type="http://schemas.openxmlformats.org/officeDocument/2006/relationships/hyperlink" Target="https://www.cookie.fun/agent/trash2cash" TargetMode="External"/><Relationship Id="rId2423" Type="http://schemas.openxmlformats.org/officeDocument/2006/relationships/hyperlink" Target="https://pbs.twimg.com/profile_images/1761532928452894720/N6A-Up8e_normal.jpg" TargetMode="External"/><Relationship Id="rId2630" Type="http://schemas.openxmlformats.org/officeDocument/2006/relationships/hyperlink" Target="https://x.com/PixOnChain/status/1877512488754810945" TargetMode="External"/><Relationship Id="rId602" Type="http://schemas.openxmlformats.org/officeDocument/2006/relationships/hyperlink" Target="https://www.cookie.fun/agent/0xtypen" TargetMode="External"/><Relationship Id="rId1025" Type="http://schemas.openxmlformats.org/officeDocument/2006/relationships/hyperlink" Target="https://pbs.twimg.com/profile_images/1873202691880394752/T4QsZT7u_400x400.jpg" TargetMode="External"/><Relationship Id="rId1232" Type="http://schemas.openxmlformats.org/officeDocument/2006/relationships/hyperlink" Target="https://pbs.twimg.com/profile_images/1863120028922425344/x1FvcwD1_400x400.jpg" TargetMode="External"/><Relationship Id="rId3197" Type="http://schemas.openxmlformats.org/officeDocument/2006/relationships/hyperlink" Target="https://x.com/IAmPotDEALer/status/1878145370858914169" TargetMode="External"/><Relationship Id="rId3057" Type="http://schemas.openxmlformats.org/officeDocument/2006/relationships/hyperlink" Target="https://x.com/thelearningpill/status/1878479307439546849" TargetMode="External"/><Relationship Id="rId4108" Type="http://schemas.openxmlformats.org/officeDocument/2006/relationships/hyperlink" Target="https://pbs.twimg.com/profile_images/1554027145420500992/0oOUOv6L_normal.jpg" TargetMode="External"/><Relationship Id="rId185" Type="http://schemas.openxmlformats.org/officeDocument/2006/relationships/hyperlink" Target="https://www.cookie.fun/chains/base.svg" TargetMode="External"/><Relationship Id="rId1909" Type="http://schemas.openxmlformats.org/officeDocument/2006/relationships/hyperlink" Target="https://www.cookie.fun/agent/degen-trader" TargetMode="External"/><Relationship Id="rId3264" Type="http://schemas.openxmlformats.org/officeDocument/2006/relationships/hyperlink" Target="https://www.cookie.fun/agent/axi" TargetMode="External"/><Relationship Id="rId3471" Type="http://schemas.openxmlformats.org/officeDocument/2006/relationships/hyperlink" Target="https://pbs.twimg.com/profile_images/1864599613854056448/ZeVySPIK_400x400.jpg" TargetMode="External"/><Relationship Id="rId392" Type="http://schemas.openxmlformats.org/officeDocument/2006/relationships/hyperlink" Target="https://pbs.twimg.com/profile_images/1853452868855959552/f31RIkgi_400x400.jpg" TargetMode="External"/><Relationship Id="rId2073" Type="http://schemas.openxmlformats.org/officeDocument/2006/relationships/hyperlink" Target="https://pbs.twimg.com/profile_images/1773556697509834752/jw5WtV_G_400x400.jpg" TargetMode="External"/><Relationship Id="rId2280" Type="http://schemas.openxmlformats.org/officeDocument/2006/relationships/hyperlink" Target="https://x.com/notthreadguy/status/1878971190502683056" TargetMode="External"/><Relationship Id="rId3124" Type="http://schemas.openxmlformats.org/officeDocument/2006/relationships/hyperlink" Target="https://www.cookie.fun/chains/base.svg" TargetMode="External"/><Relationship Id="rId3331" Type="http://schemas.openxmlformats.org/officeDocument/2006/relationships/hyperlink" Target="https://x.com/Irenezhao_/status/1877253334857388118" TargetMode="External"/><Relationship Id="rId252" Type="http://schemas.openxmlformats.org/officeDocument/2006/relationships/hyperlink" Target="https://pbs.twimg.com/profile_images/1869055102486446084/JVBRQliT_normal.jpg" TargetMode="External"/><Relationship Id="rId2140" Type="http://schemas.openxmlformats.org/officeDocument/2006/relationships/hyperlink" Target="https://pbs.twimg.com/profile_images/1694943136584245248/bjXdSHsM_400x400.jpg" TargetMode="External"/><Relationship Id="rId112" Type="http://schemas.openxmlformats.org/officeDocument/2006/relationships/hyperlink" Target="https://www.cookie.fun/chains/solana.svg" TargetMode="External"/><Relationship Id="rId1699" Type="http://schemas.openxmlformats.org/officeDocument/2006/relationships/hyperlink" Target="https://www.cookie.fun/agent/willy" TargetMode="External"/><Relationship Id="rId2000" Type="http://schemas.openxmlformats.org/officeDocument/2006/relationships/hyperlink" Target="https://pbs.twimg.com/profile_images/1877364658648076289/ojrnS5vz_400x400.jpg" TargetMode="External"/><Relationship Id="rId2957" Type="http://schemas.openxmlformats.org/officeDocument/2006/relationships/hyperlink" Target="https://www.cookie.fun/chains/ethereum.svg" TargetMode="External"/><Relationship Id="rId4172" Type="http://schemas.openxmlformats.org/officeDocument/2006/relationships/hyperlink" Target="https://pbs.twimg.com/profile_images/1879080942712520704/q3Ypq5Lm_400x400.jpg" TargetMode="External"/><Relationship Id="rId929" Type="http://schemas.openxmlformats.org/officeDocument/2006/relationships/hyperlink" Target="https://pbs.twimg.com/profile_images/1878080262736633856/Z7xqvM-t_400x400.jpg" TargetMode="External"/><Relationship Id="rId1559" Type="http://schemas.openxmlformats.org/officeDocument/2006/relationships/hyperlink" Target="https://pbs.twimg.com/profile_images/1856836088347656192/fKeXokcH_400x400.jpg" TargetMode="External"/><Relationship Id="rId1766" Type="http://schemas.openxmlformats.org/officeDocument/2006/relationships/hyperlink" Target="https://pbs.twimg.com/profile_images/1874683458867404801/qgb5XZZv_400x400.jpg" TargetMode="External"/><Relationship Id="rId1973" Type="http://schemas.openxmlformats.org/officeDocument/2006/relationships/hyperlink" Target="https://pbs.twimg.com/profile_images/1876479242835267584/M-XzORWZ_400x400.jpg" TargetMode="External"/><Relationship Id="rId2817" Type="http://schemas.openxmlformats.org/officeDocument/2006/relationships/hyperlink" Target="https://x.com/cryptomanran/status/1877747447704826366" TargetMode="External"/><Relationship Id="rId4032" Type="http://schemas.openxmlformats.org/officeDocument/2006/relationships/hyperlink" Target="https://www.cookie.fun/agent/kiboshib" TargetMode="External"/><Relationship Id="rId58" Type="http://schemas.openxmlformats.org/officeDocument/2006/relationships/hyperlink" Target="https://www.cookie.fun/agent/nbara" TargetMode="External"/><Relationship Id="rId1419" Type="http://schemas.openxmlformats.org/officeDocument/2006/relationships/hyperlink" Target="https://www.cookie.fun/chains/solana.svg" TargetMode="External"/><Relationship Id="rId1626" Type="http://schemas.openxmlformats.org/officeDocument/2006/relationships/hyperlink" Target="https://www.cookie.fun/chains/solana.svg" TargetMode="External"/><Relationship Id="rId1833" Type="http://schemas.openxmlformats.org/officeDocument/2006/relationships/hyperlink" Target="https://www.cookie.fun/chains/solana.svg" TargetMode="External"/><Relationship Id="rId1900" Type="http://schemas.openxmlformats.org/officeDocument/2006/relationships/hyperlink" Target="https://www.cookie.fun/agent/teenus-omegus" TargetMode="External"/><Relationship Id="rId3798" Type="http://schemas.openxmlformats.org/officeDocument/2006/relationships/hyperlink" Target="https://x.com/MEXC_Official/status/1877566032933769344" TargetMode="External"/><Relationship Id="rId3658" Type="http://schemas.openxmlformats.org/officeDocument/2006/relationships/hyperlink" Target="https://www.cookie.fun/chains/base.svg" TargetMode="External"/><Relationship Id="rId3865" Type="http://schemas.openxmlformats.org/officeDocument/2006/relationships/hyperlink" Target="https://pbs.twimg.com/profile_images/1754632022939611137/9Twew9N7_normal.jpg" TargetMode="External"/><Relationship Id="rId579" Type="http://schemas.openxmlformats.org/officeDocument/2006/relationships/hyperlink" Target="https://pbs.twimg.com/profile_images/1873835657514094592/iTYYKP3S_400x400.png" TargetMode="External"/><Relationship Id="rId786" Type="http://schemas.openxmlformats.org/officeDocument/2006/relationships/hyperlink" Target="https://www.cookie.fun/chains/solana.svg" TargetMode="External"/><Relationship Id="rId993" Type="http://schemas.openxmlformats.org/officeDocument/2006/relationships/hyperlink" Target="https://www.cookie.fun/chains/base.svg" TargetMode="External"/><Relationship Id="rId2467" Type="http://schemas.openxmlformats.org/officeDocument/2006/relationships/hyperlink" Target="https://pbs.twimg.com/profile_images/1644208356523909122/M6D7PfWS_normal.jpg" TargetMode="External"/><Relationship Id="rId2674" Type="http://schemas.openxmlformats.org/officeDocument/2006/relationships/hyperlink" Target="https://x.com/shahh/status/1878187881862209921" TargetMode="External"/><Relationship Id="rId3518" Type="http://schemas.openxmlformats.org/officeDocument/2006/relationships/hyperlink" Target="https://www.cookie.fun/chains/base.svg" TargetMode="External"/><Relationship Id="rId439" Type="http://schemas.openxmlformats.org/officeDocument/2006/relationships/hyperlink" Target="https://www.cookie.fun/chains/base.svg" TargetMode="External"/><Relationship Id="rId646" Type="http://schemas.openxmlformats.org/officeDocument/2006/relationships/hyperlink" Target="https://www.cookie.fun/agent/sisyphusai" TargetMode="External"/><Relationship Id="rId1069" Type="http://schemas.openxmlformats.org/officeDocument/2006/relationships/hyperlink" Target="https://www.cookie.fun/agent/pbtc" TargetMode="External"/><Relationship Id="rId1276" Type="http://schemas.openxmlformats.org/officeDocument/2006/relationships/hyperlink" Target="https://www.cookie.fun/agent/senpai" TargetMode="External"/><Relationship Id="rId1483" Type="http://schemas.openxmlformats.org/officeDocument/2006/relationships/hyperlink" Target="https://www.cookie.fun/agent/cortana" TargetMode="External"/><Relationship Id="rId2327" Type="http://schemas.openxmlformats.org/officeDocument/2006/relationships/hyperlink" Target="https://pbs.twimg.com/profile_images/1859616195797823488/qiLRzcjU_normal.jpg" TargetMode="External"/><Relationship Id="rId2881" Type="http://schemas.openxmlformats.org/officeDocument/2006/relationships/hyperlink" Target="https://www.cookie.fun/agent/ai-shell-nova" TargetMode="External"/><Relationship Id="rId3725" Type="http://schemas.openxmlformats.org/officeDocument/2006/relationships/hyperlink" Target="https://x.com/ljxie/status/1878918660259012845" TargetMode="External"/><Relationship Id="rId3932" Type="http://schemas.openxmlformats.org/officeDocument/2006/relationships/hyperlink" Target="https://x.com/nftnow/status/1878948462408147191" TargetMode="External"/><Relationship Id="rId506" Type="http://schemas.openxmlformats.org/officeDocument/2006/relationships/hyperlink" Target="https://www.cookie.fun/agent/mtard" TargetMode="External"/><Relationship Id="rId853" Type="http://schemas.openxmlformats.org/officeDocument/2006/relationships/hyperlink" Target="https://www.cookie.fun/agent/the-wolf" TargetMode="External"/><Relationship Id="rId1136" Type="http://schemas.openxmlformats.org/officeDocument/2006/relationships/hyperlink" Target="https://pbs.twimg.com/profile_images/1866328642340442112/QwffIJin_400x400.jpg" TargetMode="External"/><Relationship Id="rId1690" Type="http://schemas.openxmlformats.org/officeDocument/2006/relationships/hyperlink" Target="https://www.cookie.fun/agent/z9" TargetMode="External"/><Relationship Id="rId2534" Type="http://schemas.openxmlformats.org/officeDocument/2006/relationships/hyperlink" Target="https://x.com/Web3Adam/status/1878857685225046351" TargetMode="External"/><Relationship Id="rId2741" Type="http://schemas.openxmlformats.org/officeDocument/2006/relationships/hyperlink" Target="https://www.cookie.fun/chains/solana.svg" TargetMode="External"/><Relationship Id="rId713" Type="http://schemas.openxmlformats.org/officeDocument/2006/relationships/hyperlink" Target="https://pbs.twimg.com/profile_images/1867629919515049984/SRTh2sxQ_400x400.jpg" TargetMode="External"/><Relationship Id="rId920" Type="http://schemas.openxmlformats.org/officeDocument/2006/relationships/hyperlink" Target="https://pbs.twimg.com/profile_images/1872398757360250880/CZufT0ZT_400x400.jpg" TargetMode="External"/><Relationship Id="rId1343" Type="http://schemas.openxmlformats.org/officeDocument/2006/relationships/hyperlink" Target="https://pbs.twimg.com/profile_images/1858973582652481536/nRmDobf8_400x400.jpg" TargetMode="External"/><Relationship Id="rId1550" Type="http://schemas.openxmlformats.org/officeDocument/2006/relationships/hyperlink" Target="https://pbs.twimg.com/profile_images/1858547069327155207/o0iSnPUV_400x400.jpg" TargetMode="External"/><Relationship Id="rId2601" Type="http://schemas.openxmlformats.org/officeDocument/2006/relationships/hyperlink" Target="https://pbs.twimg.com/profile_images/1875466513945128960/vPr-yQi-_normal.jpg" TargetMode="External"/><Relationship Id="rId1203" Type="http://schemas.openxmlformats.org/officeDocument/2006/relationships/hyperlink" Target="https://www.cookie.fun/chains/solana.svg" TargetMode="External"/><Relationship Id="rId1410" Type="http://schemas.openxmlformats.org/officeDocument/2006/relationships/hyperlink" Target="https://www.cookie.fun/chains/solana.svg" TargetMode="External"/><Relationship Id="rId3168" Type="http://schemas.openxmlformats.org/officeDocument/2006/relationships/hyperlink" Target="https://x.com/mhluongo/status/1878243823354061223" TargetMode="External"/><Relationship Id="rId3375" Type="http://schemas.openxmlformats.org/officeDocument/2006/relationships/hyperlink" Target="https://x.com/BoredElonMusk/status/1878832239959757049" TargetMode="External"/><Relationship Id="rId3582" Type="http://schemas.openxmlformats.org/officeDocument/2006/relationships/hyperlink" Target="https://pbs.twimg.com/profile_images/1874457084835831808/tbQIfCN__normal.jpg" TargetMode="External"/><Relationship Id="rId296" Type="http://schemas.openxmlformats.org/officeDocument/2006/relationships/hyperlink" Target="https://pbs.twimg.com/profile_images/1813353271819636737/sxTCCxsP_400x400.jpg" TargetMode="External"/><Relationship Id="rId2184" Type="http://schemas.openxmlformats.org/officeDocument/2006/relationships/hyperlink" Target="https://www.cookie.fun/agent/dreamsculpt" TargetMode="External"/><Relationship Id="rId2391" Type="http://schemas.openxmlformats.org/officeDocument/2006/relationships/hyperlink" Target="https://www.cookie.fun/agent/chaingpt" TargetMode="External"/><Relationship Id="rId3028" Type="http://schemas.openxmlformats.org/officeDocument/2006/relationships/hyperlink" Target="https://pbs.twimg.com/profile_images/1874824502007185408/PjRSNG9Y_normal.jpg" TargetMode="External"/><Relationship Id="rId3235" Type="http://schemas.openxmlformats.org/officeDocument/2006/relationships/hyperlink" Target="https://x.com/AltCryptoGems/status/1877626682644820141" TargetMode="External"/><Relationship Id="rId3442" Type="http://schemas.openxmlformats.org/officeDocument/2006/relationships/hyperlink" Target="https://www.cookie.fun/agent/racer" TargetMode="External"/><Relationship Id="rId156" Type="http://schemas.openxmlformats.org/officeDocument/2006/relationships/hyperlink" Target="https://www.cookie.fun/agent/obot" TargetMode="External"/><Relationship Id="rId363" Type="http://schemas.openxmlformats.org/officeDocument/2006/relationships/hyperlink" Target="https://www.cookie.fun/chains/base.svg" TargetMode="External"/><Relationship Id="rId570" Type="http://schemas.openxmlformats.org/officeDocument/2006/relationships/hyperlink" Target="https://pbs.twimg.com/profile_images/1858359918069493760/7BOBpazP_400x400.jpg" TargetMode="External"/><Relationship Id="rId2044" Type="http://schemas.openxmlformats.org/officeDocument/2006/relationships/hyperlink" Target="https://pbs.twimg.com/profile_images/1867442584018206720/v9fFTmwN_400x400.jpg" TargetMode="External"/><Relationship Id="rId2251" Type="http://schemas.openxmlformats.org/officeDocument/2006/relationships/hyperlink" Target="https://pbs.twimg.com/profile_images/1879308442084540416/3Xmews-u_400x400.jpg" TargetMode="External"/><Relationship Id="rId3302" Type="http://schemas.openxmlformats.org/officeDocument/2006/relationships/hyperlink" Target="https://www.cookie.fun/agent/tony-ai" TargetMode="External"/><Relationship Id="rId223" Type="http://schemas.openxmlformats.org/officeDocument/2006/relationships/hyperlink" Target="https://www.cookie.fun/chains/base.svg" TargetMode="External"/><Relationship Id="rId430" Type="http://schemas.openxmlformats.org/officeDocument/2006/relationships/hyperlink" Target="https://x.com/an1eth/status/1878142675016176029" TargetMode="External"/><Relationship Id="rId1060" Type="http://schemas.openxmlformats.org/officeDocument/2006/relationships/hyperlink" Target="https://www.cookie.fun/agent/dali" TargetMode="External"/><Relationship Id="rId2111" Type="http://schemas.openxmlformats.org/officeDocument/2006/relationships/hyperlink" Target="https://www.cookie.fun/chains/solana.svg" TargetMode="External"/><Relationship Id="rId4076" Type="http://schemas.openxmlformats.org/officeDocument/2006/relationships/hyperlink" Target="https://x.com/BiteyeCN/status/1877249880021942569" TargetMode="External"/><Relationship Id="rId1877" Type="http://schemas.openxmlformats.org/officeDocument/2006/relationships/hyperlink" Target="https://pbs.twimg.com/profile_images/1511445786801881098/em8PuYAA_400x400.jpg" TargetMode="External"/><Relationship Id="rId2928" Type="http://schemas.openxmlformats.org/officeDocument/2006/relationships/hyperlink" Target="https://x.com/RealDeFiGregg/status/1877621420231950554" TargetMode="External"/><Relationship Id="rId1737" Type="http://schemas.openxmlformats.org/officeDocument/2006/relationships/hyperlink" Target="https://www.cookie.fun/chains/base.svg" TargetMode="External"/><Relationship Id="rId1944" Type="http://schemas.openxmlformats.org/officeDocument/2006/relationships/hyperlink" Target="https://www.cookie.fun/chains/base.svg" TargetMode="External"/><Relationship Id="rId3092" Type="http://schemas.openxmlformats.org/officeDocument/2006/relationships/hyperlink" Target="https://pbs.twimg.com/profile_images/1752826759504965632/_BJV6z9l_normal.jpg" TargetMode="External"/><Relationship Id="rId4143" Type="http://schemas.openxmlformats.org/officeDocument/2006/relationships/hyperlink" Target="https://pbs.twimg.com/profile_images/1856001031001473024/hogmjU9m_400x400.png" TargetMode="External"/><Relationship Id="rId29" Type="http://schemas.openxmlformats.org/officeDocument/2006/relationships/hyperlink" Target="https://www.cookie.fun/agent/cannabisai" TargetMode="External"/><Relationship Id="rId4003" Type="http://schemas.openxmlformats.org/officeDocument/2006/relationships/hyperlink" Target="https://x.com/LinImelda/status/1877979894300430525" TargetMode="External"/><Relationship Id="rId1804" Type="http://schemas.openxmlformats.org/officeDocument/2006/relationships/hyperlink" Target="https://www.cookie.fun/agent/events-protocol" TargetMode="External"/><Relationship Id="rId3769" Type="http://schemas.openxmlformats.org/officeDocument/2006/relationships/hyperlink" Target="https://x.com/0xSleuth_/status/1879490228022542557" TargetMode="External"/><Relationship Id="rId3976" Type="http://schemas.openxmlformats.org/officeDocument/2006/relationships/hyperlink" Target="https://www.cookie.fun/agent/neko" TargetMode="External"/><Relationship Id="rId897" Type="http://schemas.openxmlformats.org/officeDocument/2006/relationships/hyperlink" Target="https://www.cookie.fun/chains/base.svg" TargetMode="External"/><Relationship Id="rId2578" Type="http://schemas.openxmlformats.org/officeDocument/2006/relationships/hyperlink" Target="https://x.com/ai/status/1878796644352725130" TargetMode="External"/><Relationship Id="rId2785" Type="http://schemas.openxmlformats.org/officeDocument/2006/relationships/hyperlink" Target="https://x.com/AOTMgallery/status/1878832492804800607" TargetMode="External"/><Relationship Id="rId2992" Type="http://schemas.openxmlformats.org/officeDocument/2006/relationships/hyperlink" Target="https://pbs.twimg.com/profile_images/1873654337639247872/kMfJdZWl_normal.jpg" TargetMode="External"/><Relationship Id="rId3629" Type="http://schemas.openxmlformats.org/officeDocument/2006/relationships/hyperlink" Target="https://x.com/jvb_xyz/status/1878809907258163706" TargetMode="External"/><Relationship Id="rId3836" Type="http://schemas.openxmlformats.org/officeDocument/2006/relationships/hyperlink" Target="https://pbs.twimg.com/profile_images/1878284140870848512/gfycreX5_normal.jpg" TargetMode="External"/><Relationship Id="rId757" Type="http://schemas.openxmlformats.org/officeDocument/2006/relationships/hyperlink" Target="https://www.cookie.fun/agent/giga-cum-sock-chad" TargetMode="External"/><Relationship Id="rId964" Type="http://schemas.openxmlformats.org/officeDocument/2006/relationships/hyperlink" Target="https://www.cookie.fun/agent/azraek-the-coinseer" TargetMode="External"/><Relationship Id="rId1387" Type="http://schemas.openxmlformats.org/officeDocument/2006/relationships/hyperlink" Target="https://www.cookie.fun/agent/stellar" TargetMode="External"/><Relationship Id="rId1594" Type="http://schemas.openxmlformats.org/officeDocument/2006/relationships/hyperlink" Target="https://www.cookie.fun/agent/dudais" TargetMode="External"/><Relationship Id="rId2438" Type="http://schemas.openxmlformats.org/officeDocument/2006/relationships/hyperlink" Target="https://x.com/Degen__Ape__/status/1877781654745256076" TargetMode="External"/><Relationship Id="rId2645" Type="http://schemas.openxmlformats.org/officeDocument/2006/relationships/hyperlink" Target="https://www.cookie.fun/chains/solana.svg" TargetMode="External"/><Relationship Id="rId2852" Type="http://schemas.openxmlformats.org/officeDocument/2006/relationships/hyperlink" Target="https://x.com/vvickym2/status/1877639636769730720" TargetMode="External"/><Relationship Id="rId3903" Type="http://schemas.openxmlformats.org/officeDocument/2006/relationships/hyperlink" Target="https://pbs.twimg.com/profile_images/1554027145420500992/0oOUOv6L_normal.jpg" TargetMode="External"/><Relationship Id="rId93" Type="http://schemas.openxmlformats.org/officeDocument/2006/relationships/hyperlink" Target="https://pbs.twimg.com/profile_images/1765817423054123009/OivvC-Af_normal.jpg" TargetMode="External"/><Relationship Id="rId617" Type="http://schemas.openxmlformats.org/officeDocument/2006/relationships/hyperlink" Target="https://pbs.twimg.com/profile_images/1867205630575943680/c1wswIk9_400x400.jpg" TargetMode="External"/><Relationship Id="rId824" Type="http://schemas.openxmlformats.org/officeDocument/2006/relationships/hyperlink" Target="https://pbs.twimg.com/profile_images/1767148597068341248/DSnaPNG4_400x400.jpg" TargetMode="External"/><Relationship Id="rId1247" Type="http://schemas.openxmlformats.org/officeDocument/2006/relationships/hyperlink" Target="https://pbs.twimg.com/profile_images/1859349220966182912/PR2_euhG_400x400.jpg" TargetMode="External"/><Relationship Id="rId1454" Type="http://schemas.openxmlformats.org/officeDocument/2006/relationships/hyperlink" Target="https://pbs.twimg.com/profile_images/1858940352964526080/ngpZL-qA_400x400.jpg" TargetMode="External"/><Relationship Id="rId1661" Type="http://schemas.openxmlformats.org/officeDocument/2006/relationships/hyperlink" Target="https://pbs.twimg.com/profile_images/1858144961574912000/5BNrm9f2_400x400.jpg" TargetMode="External"/><Relationship Id="rId2505" Type="http://schemas.openxmlformats.org/officeDocument/2006/relationships/hyperlink" Target="https://pbs.twimg.com/profile_images/1874983006630195200/zQ6Vsyhl_normal.jpg" TargetMode="External"/><Relationship Id="rId2712" Type="http://schemas.openxmlformats.org/officeDocument/2006/relationships/hyperlink" Target="https://x.com/0xSleuth_/status/1877652720494243882" TargetMode="External"/><Relationship Id="rId1107" Type="http://schemas.openxmlformats.org/officeDocument/2006/relationships/hyperlink" Target="https://www.cookie.fun/chains/solana.svg" TargetMode="External"/><Relationship Id="rId1314" Type="http://schemas.openxmlformats.org/officeDocument/2006/relationships/hyperlink" Target="https://www.cookie.fun/chains/solana.svg" TargetMode="External"/><Relationship Id="rId1521" Type="http://schemas.openxmlformats.org/officeDocument/2006/relationships/hyperlink" Target="https://www.cookie.fun/chains/solana.svg" TargetMode="External"/><Relationship Id="rId3279" Type="http://schemas.openxmlformats.org/officeDocument/2006/relationships/hyperlink" Target="https://x.com/tradingtulips/status/1877267272995123472" TargetMode="External"/><Relationship Id="rId3486" Type="http://schemas.openxmlformats.org/officeDocument/2006/relationships/hyperlink" Target="https://x.com/aGANVogh/status/1878100238075916392" TargetMode="External"/><Relationship Id="rId3693" Type="http://schemas.openxmlformats.org/officeDocument/2006/relationships/hyperlink" Target="https://x.com/Coldie/status/1877059848937869387" TargetMode="External"/><Relationship Id="rId20" Type="http://schemas.openxmlformats.org/officeDocument/2006/relationships/hyperlink" Target="https://www.cookie.fun/agent/bet" TargetMode="External"/><Relationship Id="rId2088" Type="http://schemas.openxmlformats.org/officeDocument/2006/relationships/hyperlink" Target="https://www.cookie.fun/agent/trust-network" TargetMode="External"/><Relationship Id="rId2295" Type="http://schemas.openxmlformats.org/officeDocument/2006/relationships/hyperlink" Target="https://www.cookie.fun/agent/ava" TargetMode="External"/><Relationship Id="rId3139" Type="http://schemas.openxmlformats.org/officeDocument/2006/relationships/hyperlink" Target="https://x.com/ChartFuMonkey/status/1879118642337751339" TargetMode="External"/><Relationship Id="rId3346" Type="http://schemas.openxmlformats.org/officeDocument/2006/relationships/hyperlink" Target="https://pbs.twimg.com/profile_images/1859763758916055040/4XhBzxZ__400x400.jpg" TargetMode="External"/><Relationship Id="rId267" Type="http://schemas.openxmlformats.org/officeDocument/2006/relationships/hyperlink" Target="https://www.cookie.fun/chains/solana.svg" TargetMode="External"/><Relationship Id="rId474" Type="http://schemas.openxmlformats.org/officeDocument/2006/relationships/hyperlink" Target="https://pbs.twimg.com/profile_images/1849497403809828864/6acENchV_400x400.jpg" TargetMode="External"/><Relationship Id="rId2155" Type="http://schemas.openxmlformats.org/officeDocument/2006/relationships/hyperlink" Target="https://pbs.twimg.com/profile_images/1652973704207564800/dHF4gqoY_400x400.jpg" TargetMode="External"/><Relationship Id="rId3553" Type="http://schemas.openxmlformats.org/officeDocument/2006/relationships/hyperlink" Target="https://www.cookie.fun/agent/lea" TargetMode="External"/><Relationship Id="rId3760" Type="http://schemas.openxmlformats.org/officeDocument/2006/relationships/hyperlink" Target="https://www.cookie.fun/agent/nomai" TargetMode="External"/><Relationship Id="rId127" Type="http://schemas.openxmlformats.org/officeDocument/2006/relationships/hyperlink" Target="https://x.com/_mackinac/status/1878810030218326260" TargetMode="External"/><Relationship Id="rId681" Type="http://schemas.openxmlformats.org/officeDocument/2006/relationships/hyperlink" Target="https://www.cookie.fun/chains/base.svg" TargetMode="External"/><Relationship Id="rId2362" Type="http://schemas.openxmlformats.org/officeDocument/2006/relationships/hyperlink" Target="https://x.com/coingecko/status/1879026993754407041" TargetMode="External"/><Relationship Id="rId3206" Type="http://schemas.openxmlformats.org/officeDocument/2006/relationships/hyperlink" Target="https://www.cookie.fun/chains/solana.svg" TargetMode="External"/><Relationship Id="rId3413" Type="http://schemas.openxmlformats.org/officeDocument/2006/relationships/hyperlink" Target="https://x.com/BingXOfficial/status/1879099216166838686" TargetMode="External"/><Relationship Id="rId3620" Type="http://schemas.openxmlformats.org/officeDocument/2006/relationships/hyperlink" Target="https://www.cookie.fun/chains/base.svg" TargetMode="External"/><Relationship Id="rId334" Type="http://schemas.openxmlformats.org/officeDocument/2006/relationships/hyperlink" Target="https://www.cookie.fun/agent/elizas-sister" TargetMode="External"/><Relationship Id="rId541" Type="http://schemas.openxmlformats.org/officeDocument/2006/relationships/hyperlink" Target="https://www.cookie.fun/chains/base.svg" TargetMode="External"/><Relationship Id="rId1171" Type="http://schemas.openxmlformats.org/officeDocument/2006/relationships/hyperlink" Target="https://www.cookie.fun/agent/balkan" TargetMode="External"/><Relationship Id="rId2015" Type="http://schemas.openxmlformats.org/officeDocument/2006/relationships/hyperlink" Target="https://pbs.twimg.com/profile_images/1876224689410056192/n83Kp-VP_400x400.jpg" TargetMode="External"/><Relationship Id="rId2222" Type="http://schemas.openxmlformats.org/officeDocument/2006/relationships/hyperlink" Target="https://www.cookie.fun/agent/yumi" TargetMode="External"/><Relationship Id="rId401" Type="http://schemas.openxmlformats.org/officeDocument/2006/relationships/hyperlink" Target="https://pbs.twimg.com/profile_images/1863053439850237952/gDrqC9Ya_400x400.jpg" TargetMode="External"/><Relationship Id="rId1031" Type="http://schemas.openxmlformats.org/officeDocument/2006/relationships/hyperlink" Target="https://pbs.twimg.com/profile_images/1875013248271233024/oyzGHKHf_400x400.jpg" TargetMode="External"/><Relationship Id="rId1988" Type="http://schemas.openxmlformats.org/officeDocument/2006/relationships/hyperlink" Target="https://pbs.twimg.com/profile_images/1877059712061181952/gJU8en58_400x400.jpg" TargetMode="External"/><Relationship Id="rId4047" Type="http://schemas.openxmlformats.org/officeDocument/2006/relationships/hyperlink" Target="https://www.cookie.fun/chains/ethereum.svg" TargetMode="External"/><Relationship Id="rId1848" Type="http://schemas.openxmlformats.org/officeDocument/2006/relationships/hyperlink" Target="https://www.cookie.fun/chains/base.svg" TargetMode="External"/><Relationship Id="rId3063" Type="http://schemas.openxmlformats.org/officeDocument/2006/relationships/hyperlink" Target="https://pbs.twimg.com/profile_images/1352548197835681793/P8tRO3U2_normal.jpg" TargetMode="External"/><Relationship Id="rId3270" Type="http://schemas.openxmlformats.org/officeDocument/2006/relationships/hyperlink" Target="https://x.com/tuukzs/status/1877544685184426054" TargetMode="External"/><Relationship Id="rId4114" Type="http://schemas.openxmlformats.org/officeDocument/2006/relationships/hyperlink" Target="https://www.cookie.fun/agent/vitalikcurberin" TargetMode="External"/><Relationship Id="rId191" Type="http://schemas.openxmlformats.org/officeDocument/2006/relationships/hyperlink" Target="https://www.cookie.fun/chains/solana.svg" TargetMode="External"/><Relationship Id="rId1708" Type="http://schemas.openxmlformats.org/officeDocument/2006/relationships/hyperlink" Target="https://www.cookie.fun/agent/-origin" TargetMode="External"/><Relationship Id="rId1915" Type="http://schemas.openxmlformats.org/officeDocument/2006/relationships/hyperlink" Target="https://www.cookie.fun/agent/nomadic-vistas" TargetMode="External"/><Relationship Id="rId3130" Type="http://schemas.openxmlformats.org/officeDocument/2006/relationships/hyperlink" Target="https://pbs.twimg.com/profile_images/1846269193370406912/06U5y96x_normal.jpg" TargetMode="External"/><Relationship Id="rId2689" Type="http://schemas.openxmlformats.org/officeDocument/2006/relationships/hyperlink" Target="https://pbs.twimg.com/profile_images/1662177307031896065/2HMD6SrH_normal.jpg" TargetMode="External"/><Relationship Id="rId2896" Type="http://schemas.openxmlformats.org/officeDocument/2006/relationships/hyperlink" Target="https://pbs.twimg.com/profile_images/1593307551457738752/xT7UmPH0_normal.jpg" TargetMode="External"/><Relationship Id="rId3947" Type="http://schemas.openxmlformats.org/officeDocument/2006/relationships/hyperlink" Target="https://x.com/WomanNFT/status/1878805759707975770" TargetMode="External"/><Relationship Id="rId868" Type="http://schemas.openxmlformats.org/officeDocument/2006/relationships/hyperlink" Target="https://www.cookie.fun/agent/marie-curie-desci-pioneer" TargetMode="External"/><Relationship Id="rId1498" Type="http://schemas.openxmlformats.org/officeDocument/2006/relationships/hyperlink" Target="https://www.cookie.fun/agent/mami" TargetMode="External"/><Relationship Id="rId2549" Type="http://schemas.openxmlformats.org/officeDocument/2006/relationships/hyperlink" Target="https://www.cookie.fun/chains/solana.svg" TargetMode="External"/><Relationship Id="rId2756" Type="http://schemas.openxmlformats.org/officeDocument/2006/relationships/hyperlink" Target="https://x.com/0xminibb/status/1878453051633418483" TargetMode="External"/><Relationship Id="rId2963" Type="http://schemas.openxmlformats.org/officeDocument/2006/relationships/hyperlink" Target="https://pbs.twimg.com/profile_images/1868157932564877312/aYZ3InKy_normal.jpg" TargetMode="External"/><Relationship Id="rId3807" Type="http://schemas.openxmlformats.org/officeDocument/2006/relationships/hyperlink" Target="https://www.cookie.fun/chains/solana.svg" TargetMode="External"/><Relationship Id="rId728" Type="http://schemas.openxmlformats.org/officeDocument/2006/relationships/hyperlink" Target="https://pbs.twimg.com/profile_images/1866930304113319936/FdeJfb8C_400x400.jpg" TargetMode="External"/><Relationship Id="rId935" Type="http://schemas.openxmlformats.org/officeDocument/2006/relationships/hyperlink" Target="https://pbs.twimg.com/profile_images/1872004557238312961/fJsaGJc6_400x400.jpg" TargetMode="External"/><Relationship Id="rId1358" Type="http://schemas.openxmlformats.org/officeDocument/2006/relationships/hyperlink" Target="https://pbs.twimg.com/profile_images/1859817763239280640/WZePc31V_400x400.jpg" TargetMode="External"/><Relationship Id="rId1565" Type="http://schemas.openxmlformats.org/officeDocument/2006/relationships/hyperlink" Target="https://pbs.twimg.com/profile_images/1858459459451781120/Y4y5l3Ut_400x400.jpg" TargetMode="External"/><Relationship Id="rId1772" Type="http://schemas.openxmlformats.org/officeDocument/2006/relationships/hyperlink" Target="https://pbs.twimg.com/profile_images/1875735689884553216/2gHh7Fps_400x400.jpg" TargetMode="External"/><Relationship Id="rId2409" Type="http://schemas.openxmlformats.org/officeDocument/2006/relationships/hyperlink" Target="https://pbs.twimg.com/profile_images/1833982252272795649/YdQvXW46_normal.jpg" TargetMode="External"/><Relationship Id="rId2616" Type="http://schemas.openxmlformats.org/officeDocument/2006/relationships/hyperlink" Target="https://x.com/Ronin_Network/status/1878969495261229204" TargetMode="External"/><Relationship Id="rId64" Type="http://schemas.openxmlformats.org/officeDocument/2006/relationships/hyperlink" Target="https://www.cookie.fun/agent/loky" TargetMode="External"/><Relationship Id="rId1218" Type="http://schemas.openxmlformats.org/officeDocument/2006/relationships/hyperlink" Target="https://www.cookie.fun/chains/solana.svg" TargetMode="External"/><Relationship Id="rId1425" Type="http://schemas.openxmlformats.org/officeDocument/2006/relationships/hyperlink" Target="https://www.cookie.fun/chains/solana.svg" TargetMode="External"/><Relationship Id="rId2823" Type="http://schemas.openxmlformats.org/officeDocument/2006/relationships/hyperlink" Target="https://pbs.twimg.com/profile_images/1877564123715670016/Y9P9SPH4_400x400.jpg" TargetMode="External"/><Relationship Id="rId1632" Type="http://schemas.openxmlformats.org/officeDocument/2006/relationships/hyperlink" Target="https://www.cookie.fun/chains/solana.svg" TargetMode="External"/><Relationship Id="rId2199" Type="http://schemas.openxmlformats.org/officeDocument/2006/relationships/hyperlink" Target="https://pbs.twimg.com/profile_images/1869750526730289153/yhDakV_i_400x400.jpg" TargetMode="External"/><Relationship Id="rId3597" Type="http://schemas.openxmlformats.org/officeDocument/2006/relationships/hyperlink" Target="https://x.com/dankvr/status/1878745372719505539" TargetMode="External"/><Relationship Id="rId3457" Type="http://schemas.openxmlformats.org/officeDocument/2006/relationships/hyperlink" Target="https://x.com/abgweb3/status/1878366003496661428" TargetMode="External"/><Relationship Id="rId3664" Type="http://schemas.openxmlformats.org/officeDocument/2006/relationships/hyperlink" Target="https://x.com/the_smart_ape/status/1877386465639797087" TargetMode="External"/><Relationship Id="rId3871" Type="http://schemas.openxmlformats.org/officeDocument/2006/relationships/hyperlink" Target="https://pbs.twimg.com/profile_images/1864136352956338178/pf91fTWt_400x400.jpg" TargetMode="External"/><Relationship Id="rId378" Type="http://schemas.openxmlformats.org/officeDocument/2006/relationships/hyperlink" Target="https://www.cookie.fun/chains/solana.svg" TargetMode="External"/><Relationship Id="rId585" Type="http://schemas.openxmlformats.org/officeDocument/2006/relationships/hyperlink" Target="https://pbs.twimg.com/profile_images/1861604164528140288/rmEnIYA5_400x400.jpg" TargetMode="External"/><Relationship Id="rId792" Type="http://schemas.openxmlformats.org/officeDocument/2006/relationships/hyperlink" Target="https://www.cookie.fun/chains/solana.svg" TargetMode="External"/><Relationship Id="rId2059" Type="http://schemas.openxmlformats.org/officeDocument/2006/relationships/hyperlink" Target="https://www.cookie.fun/agent/trust-me-bro" TargetMode="External"/><Relationship Id="rId2266" Type="http://schemas.openxmlformats.org/officeDocument/2006/relationships/hyperlink" Target="https://x.com/kickzeth/status/1877989602524373397" TargetMode="External"/><Relationship Id="rId2473" Type="http://schemas.openxmlformats.org/officeDocument/2006/relationships/hyperlink" Target="https://pbs.twimg.com/profile_images/1352548197835681793/P8tRO3U2_normal.jpg" TargetMode="External"/><Relationship Id="rId2680" Type="http://schemas.openxmlformats.org/officeDocument/2006/relationships/hyperlink" Target="https://pbs.twimg.com/profile_images/1874977886915923968/ioWAcczd_400x400.jpg" TargetMode="External"/><Relationship Id="rId3317" Type="http://schemas.openxmlformats.org/officeDocument/2006/relationships/hyperlink" Target="https://pbs.twimg.com/profile_images/1484675718227374084/KwlUzuE3_normal.jpg" TargetMode="External"/><Relationship Id="rId3524" Type="http://schemas.openxmlformats.org/officeDocument/2006/relationships/hyperlink" Target="https://pbs.twimg.com/profile_images/1653754789241446401/whh0PdFN_normal.jpg" TargetMode="External"/><Relationship Id="rId3731" Type="http://schemas.openxmlformats.org/officeDocument/2006/relationships/hyperlink" Target="https://x.com/PunkHot10/status/1878183812498083853" TargetMode="External"/><Relationship Id="rId238" Type="http://schemas.openxmlformats.org/officeDocument/2006/relationships/hyperlink" Target="https://www.cookie.fun/chains/solana.svg" TargetMode="External"/><Relationship Id="rId445" Type="http://schemas.openxmlformats.org/officeDocument/2006/relationships/hyperlink" Target="https://www.cookie.fun/chains/solana.svg" TargetMode="External"/><Relationship Id="rId652" Type="http://schemas.openxmlformats.org/officeDocument/2006/relationships/hyperlink" Target="https://www.cookie.fun/agent/ai-lora-phile" TargetMode="External"/><Relationship Id="rId1075" Type="http://schemas.openxmlformats.org/officeDocument/2006/relationships/hyperlink" Target="https://www.cookie.fun/agent/rawr" TargetMode="External"/><Relationship Id="rId1282" Type="http://schemas.openxmlformats.org/officeDocument/2006/relationships/hyperlink" Target="https://www.cookie.fun/agent/gas" TargetMode="External"/><Relationship Id="rId2126" Type="http://schemas.openxmlformats.org/officeDocument/2006/relationships/hyperlink" Target="https://pbs.twimg.com/profile_images/1873314402381774848/aNPeIe7N_400x400.jpg" TargetMode="External"/><Relationship Id="rId2333" Type="http://schemas.openxmlformats.org/officeDocument/2006/relationships/hyperlink" Target="https://www.cookie.fun/chains/solana.svg" TargetMode="External"/><Relationship Id="rId2540" Type="http://schemas.openxmlformats.org/officeDocument/2006/relationships/hyperlink" Target="https://x.com/BiteyeCN/status/1877249880021942569" TargetMode="External"/><Relationship Id="rId305" Type="http://schemas.openxmlformats.org/officeDocument/2006/relationships/hyperlink" Target="https://pbs.twimg.com/profile_images/1707767742613401600/S-vIyCQY_400x400.png" TargetMode="External"/><Relationship Id="rId512" Type="http://schemas.openxmlformats.org/officeDocument/2006/relationships/hyperlink" Target="https://www.cookie.fun/agent/goatse-singularity-ai" TargetMode="External"/><Relationship Id="rId1142" Type="http://schemas.openxmlformats.org/officeDocument/2006/relationships/hyperlink" Target="https://pbs.twimg.com/profile_images/1858631614718504961/YTUIr2wl_400x400.jpg" TargetMode="External"/><Relationship Id="rId2400" Type="http://schemas.openxmlformats.org/officeDocument/2006/relationships/hyperlink" Target="https://x.com/DefiIgnas/status/1878778342226501945" TargetMode="External"/><Relationship Id="rId1002" Type="http://schemas.openxmlformats.org/officeDocument/2006/relationships/hyperlink" Target="https://www.cookie.fun/chains/base.svg" TargetMode="External"/><Relationship Id="rId4158" Type="http://schemas.openxmlformats.org/officeDocument/2006/relationships/hyperlink" Target="https://pbs.twimg.com/profile_images/1867240948092006401/uPhTgudc_400x400.jpg" TargetMode="External"/><Relationship Id="rId1959" Type="http://schemas.openxmlformats.org/officeDocument/2006/relationships/hyperlink" Target="https://www.cookie.fun/chains/solana.svg" TargetMode="External"/><Relationship Id="rId3174" Type="http://schemas.openxmlformats.org/officeDocument/2006/relationships/hyperlink" Target="https://x.com/ghost93_x/status/1879033045120172436" TargetMode="External"/><Relationship Id="rId4018" Type="http://schemas.openxmlformats.org/officeDocument/2006/relationships/hyperlink" Target="https://www.cookie.fun/agent/whales-intern" TargetMode="External"/><Relationship Id="rId1819" Type="http://schemas.openxmlformats.org/officeDocument/2006/relationships/hyperlink" Target="https://www.cookie.fun/agent/bit-brief-crypto-news" TargetMode="External"/><Relationship Id="rId3381" Type="http://schemas.openxmlformats.org/officeDocument/2006/relationships/hyperlink" Target="https://pbs.twimg.com/profile_images/1770509497028530176/gHLGsNBi_400x400.jpg" TargetMode="External"/><Relationship Id="rId2190" Type="http://schemas.openxmlformats.org/officeDocument/2006/relationships/hyperlink" Target="https://www.cookie.fun/agent/plutonai" TargetMode="External"/><Relationship Id="rId3034" Type="http://schemas.openxmlformats.org/officeDocument/2006/relationships/hyperlink" Target="https://pbs.twimg.com/profile_images/1878925796770738176/CQagORBp_normal.jpg" TargetMode="External"/><Relationship Id="rId3241" Type="http://schemas.openxmlformats.org/officeDocument/2006/relationships/hyperlink" Target="https://www.cookie.fun/agent/zara" TargetMode="External"/><Relationship Id="rId162" Type="http://schemas.openxmlformats.org/officeDocument/2006/relationships/hyperlink" Target="https://www.cookie.fun/agent/api-the-degen-ape" TargetMode="External"/><Relationship Id="rId2050" Type="http://schemas.openxmlformats.org/officeDocument/2006/relationships/hyperlink" Target="https://www.cookie.fun/chains/solana.svg" TargetMode="External"/><Relationship Id="rId3101" Type="http://schemas.openxmlformats.org/officeDocument/2006/relationships/hyperlink" Target="https://www.cookie.fun/chains/base.svg" TargetMode="External"/><Relationship Id="rId979" Type="http://schemas.openxmlformats.org/officeDocument/2006/relationships/hyperlink" Target="https://www.cookie.fun/agent/onguard" TargetMode="External"/><Relationship Id="rId839" Type="http://schemas.openxmlformats.org/officeDocument/2006/relationships/hyperlink" Target="https://pbs.twimg.com/profile_images/1867870017972490241/WTzgjzOQ_400x400.jpg" TargetMode="External"/><Relationship Id="rId1469" Type="http://schemas.openxmlformats.org/officeDocument/2006/relationships/hyperlink" Target="https://pbs.twimg.com/profile_images/1858724688895029248/lOl94oZ1_400x400.jpg" TargetMode="External"/><Relationship Id="rId2867" Type="http://schemas.openxmlformats.org/officeDocument/2006/relationships/hyperlink" Target="https://pbs.twimg.com/profile_images/1701808179599036416/pYJ05V___normal.jpg" TargetMode="External"/><Relationship Id="rId3918" Type="http://schemas.openxmlformats.org/officeDocument/2006/relationships/hyperlink" Target="https://pbs.twimg.com/profile_images/1863736573914681344/e3FnArrc_400x400.jpg" TargetMode="External"/><Relationship Id="rId4082" Type="http://schemas.openxmlformats.org/officeDocument/2006/relationships/hyperlink" Target="https://pbs.twimg.com/profile_images/1856940704502550528/MRNOpgHF_normal.jpg" TargetMode="External"/><Relationship Id="rId1676" Type="http://schemas.openxmlformats.org/officeDocument/2006/relationships/hyperlink" Target="https://pbs.twimg.com/profile_images/1857655882714140672/tsPEAblN_400x400.jpg" TargetMode="External"/><Relationship Id="rId1883" Type="http://schemas.openxmlformats.org/officeDocument/2006/relationships/hyperlink" Target="https://pbs.twimg.com/profile_images/1875594674129276928/LQfNtRL4_400x400.jpg" TargetMode="External"/><Relationship Id="rId2727" Type="http://schemas.openxmlformats.org/officeDocument/2006/relationships/hyperlink" Target="https://www.cookie.fun/agent/autonomous-virtual-beings" TargetMode="External"/><Relationship Id="rId2934" Type="http://schemas.openxmlformats.org/officeDocument/2006/relationships/hyperlink" Target="https://x.com/mungimungimungi/status/1878145609758355860" TargetMode="External"/><Relationship Id="rId906" Type="http://schemas.openxmlformats.org/officeDocument/2006/relationships/hyperlink" Target="https://www.cookie.fun/chains/base.svg" TargetMode="External"/><Relationship Id="rId1329" Type="http://schemas.openxmlformats.org/officeDocument/2006/relationships/hyperlink" Target="https://www.cookie.fun/chains/solana.svg" TargetMode="External"/><Relationship Id="rId1536" Type="http://schemas.openxmlformats.org/officeDocument/2006/relationships/hyperlink" Target="https://www.cookie.fun/chains/solana.svg" TargetMode="External"/><Relationship Id="rId1743" Type="http://schemas.openxmlformats.org/officeDocument/2006/relationships/hyperlink" Target="https://www.cookie.fun/chains/base.svg" TargetMode="External"/><Relationship Id="rId1950" Type="http://schemas.openxmlformats.org/officeDocument/2006/relationships/hyperlink" Target="https://www.cookie.fun/chains/solana.svg" TargetMode="External"/><Relationship Id="rId35" Type="http://schemas.openxmlformats.org/officeDocument/2006/relationships/hyperlink" Target="https://www.cookie.fun/agent/aikek" TargetMode="External"/><Relationship Id="rId1603" Type="http://schemas.openxmlformats.org/officeDocument/2006/relationships/hyperlink" Target="https://www.cookie.fun/agent/punk8611" TargetMode="External"/><Relationship Id="rId1810" Type="http://schemas.openxmlformats.org/officeDocument/2006/relationships/hyperlink" Target="https://www.cookie.fun/agent/existential_xbt" TargetMode="External"/><Relationship Id="rId3568" Type="http://schemas.openxmlformats.org/officeDocument/2006/relationships/hyperlink" Target="https://www.cookie.fun/chains/ethereum.svg" TargetMode="External"/><Relationship Id="rId3775" Type="http://schemas.openxmlformats.org/officeDocument/2006/relationships/hyperlink" Target="https://www.cookie.fun/chains/base.svg" TargetMode="External"/><Relationship Id="rId3982" Type="http://schemas.openxmlformats.org/officeDocument/2006/relationships/hyperlink" Target="https://pbs.twimg.com/profile_images/1847271808124465152/Ev6OjJQ-_normal.jpg" TargetMode="External"/><Relationship Id="rId489" Type="http://schemas.openxmlformats.org/officeDocument/2006/relationships/hyperlink" Target="https://pbs.twimg.com/profile_images/1858448089855750144/bmv11cS8_400x400.jpg" TargetMode="External"/><Relationship Id="rId696" Type="http://schemas.openxmlformats.org/officeDocument/2006/relationships/hyperlink" Target="https://www.cookie.fun/chains/solana.svg" TargetMode="External"/><Relationship Id="rId2377" Type="http://schemas.openxmlformats.org/officeDocument/2006/relationships/hyperlink" Target="https://pbs.twimg.com/profile_images/1699992200392712192/vA21X1rr_normal.jpg" TargetMode="External"/><Relationship Id="rId2584" Type="http://schemas.openxmlformats.org/officeDocument/2006/relationships/hyperlink" Target="https://pbs.twimg.com/profile_images/1876644412060770304/gK4sbibW_400x400.jpg" TargetMode="External"/><Relationship Id="rId2791" Type="http://schemas.openxmlformats.org/officeDocument/2006/relationships/hyperlink" Target="https://x.com/coinesper/status/1877690474372202595" TargetMode="External"/><Relationship Id="rId3428" Type="http://schemas.openxmlformats.org/officeDocument/2006/relationships/hyperlink" Target="https://x.com/yoshi_jdcomm/status/1879301424909308399" TargetMode="External"/><Relationship Id="rId3635" Type="http://schemas.openxmlformats.org/officeDocument/2006/relationships/hyperlink" Target="https://x.com/ChangeNOW_io/status/1877713763064770700" TargetMode="External"/><Relationship Id="rId349" Type="http://schemas.openxmlformats.org/officeDocument/2006/relationships/hyperlink" Target="https://www.cookie.fun/agent/nyx" TargetMode="External"/><Relationship Id="rId556" Type="http://schemas.openxmlformats.org/officeDocument/2006/relationships/hyperlink" Target="https://www.cookie.fun/chains/base.svg" TargetMode="External"/><Relationship Id="rId763" Type="http://schemas.openxmlformats.org/officeDocument/2006/relationships/hyperlink" Target="https://www.cookie.fun/agent/alita" TargetMode="External"/><Relationship Id="rId1186" Type="http://schemas.openxmlformats.org/officeDocument/2006/relationships/hyperlink" Target="https://www.cookie.fun/agent/him" TargetMode="External"/><Relationship Id="rId1393" Type="http://schemas.openxmlformats.org/officeDocument/2006/relationships/hyperlink" Target="https://www.cookie.fun/agent/aidm" TargetMode="External"/><Relationship Id="rId2237" Type="http://schemas.openxmlformats.org/officeDocument/2006/relationships/hyperlink" Target="https://www.cookie.fun/chains/base.svg" TargetMode="External"/><Relationship Id="rId2444" Type="http://schemas.openxmlformats.org/officeDocument/2006/relationships/hyperlink" Target="https://x.com/gem_insider/status/1878094519935361035" TargetMode="External"/><Relationship Id="rId3842" Type="http://schemas.openxmlformats.org/officeDocument/2006/relationships/hyperlink" Target="https://www.cookie.fun/chains/solana.svg" TargetMode="External"/><Relationship Id="rId209" Type="http://schemas.openxmlformats.org/officeDocument/2006/relationships/hyperlink" Target="https://x.com/hominh95/status/1877195622157082776" TargetMode="External"/><Relationship Id="rId416" Type="http://schemas.openxmlformats.org/officeDocument/2006/relationships/hyperlink" Target="https://pbs.twimg.com/profile_images/1859291906267660288/amOHTfY-_400x400.jpg" TargetMode="External"/><Relationship Id="rId970" Type="http://schemas.openxmlformats.org/officeDocument/2006/relationships/hyperlink" Target="https://www.cookie.fun/agent/agent-legatio" TargetMode="External"/><Relationship Id="rId1046" Type="http://schemas.openxmlformats.org/officeDocument/2006/relationships/hyperlink" Target="https://pbs.twimg.com/profile_images/1865581566686351360/WS9VWoTU_400x400.jpg" TargetMode="External"/><Relationship Id="rId1253" Type="http://schemas.openxmlformats.org/officeDocument/2006/relationships/hyperlink" Target="https://pbs.twimg.com/profile_images/1862588170648326144/qLg0YbZ0_400x400.jpg" TargetMode="External"/><Relationship Id="rId2651" Type="http://schemas.openxmlformats.org/officeDocument/2006/relationships/hyperlink" Target="https://pbs.twimg.com/profile_images/1564377312883134469/HdcOW2fk_normal.jpg" TargetMode="External"/><Relationship Id="rId3702" Type="http://schemas.openxmlformats.org/officeDocument/2006/relationships/hyperlink" Target="https://www.cookie.fun/agent/eva" TargetMode="External"/><Relationship Id="rId623" Type="http://schemas.openxmlformats.org/officeDocument/2006/relationships/hyperlink" Target="https://pbs.twimg.com/profile_images/1851764022020050946/Ikm7YspS_400x400.jpg" TargetMode="External"/><Relationship Id="rId830" Type="http://schemas.openxmlformats.org/officeDocument/2006/relationships/hyperlink" Target="https://pbs.twimg.com/profile_images/1850065256300560384/9bVbq9ep_400x400.jpg" TargetMode="External"/><Relationship Id="rId1460" Type="http://schemas.openxmlformats.org/officeDocument/2006/relationships/hyperlink" Target="https://pbs.twimg.com/profile_images/1858725233395474433/u6ypRgTr_400x400.jpg" TargetMode="External"/><Relationship Id="rId2304" Type="http://schemas.openxmlformats.org/officeDocument/2006/relationships/hyperlink" Target="https://x.com/tong0x/status/1878507178539254085" TargetMode="External"/><Relationship Id="rId2511" Type="http://schemas.openxmlformats.org/officeDocument/2006/relationships/hyperlink" Target="https://www.cookie.fun/agent/trisig" TargetMode="External"/><Relationship Id="rId1113" Type="http://schemas.openxmlformats.org/officeDocument/2006/relationships/hyperlink" Target="https://www.cookie.fun/chains/solana.svg" TargetMode="External"/><Relationship Id="rId1320" Type="http://schemas.openxmlformats.org/officeDocument/2006/relationships/hyperlink" Target="https://www.cookie.fun/chains/solana.svg" TargetMode="External"/><Relationship Id="rId3078" Type="http://schemas.openxmlformats.org/officeDocument/2006/relationships/hyperlink" Target="https://pbs.twimg.com/profile_images/1865248625678520325/K8QQsqDl_normal.jpg" TargetMode="External"/><Relationship Id="rId3285" Type="http://schemas.openxmlformats.org/officeDocument/2006/relationships/hyperlink" Target="https://www.cookie.fun/chains/base.svg" TargetMode="External"/><Relationship Id="rId3492" Type="http://schemas.openxmlformats.org/officeDocument/2006/relationships/hyperlink" Target="https://www.cookie.fun/chains/solana.svg" TargetMode="External"/><Relationship Id="rId4129" Type="http://schemas.openxmlformats.org/officeDocument/2006/relationships/hyperlink" Target="https://www.cookie.fun/chains/solana.svg" TargetMode="External"/><Relationship Id="rId2094" Type="http://schemas.openxmlformats.org/officeDocument/2006/relationships/hyperlink" Target="https://pbs.twimg.com/profile_images/1875614098119081984/eQ6sTUt5_400x400.jpg" TargetMode="External"/><Relationship Id="rId3145" Type="http://schemas.openxmlformats.org/officeDocument/2006/relationships/hyperlink" Target="https://x.com/XDeGods/status/1879316795779420480" TargetMode="External"/><Relationship Id="rId3352" Type="http://schemas.openxmlformats.org/officeDocument/2006/relationships/hyperlink" Target="https://x.com/0xsushi/status/1877874863626453275" TargetMode="External"/><Relationship Id="rId273" Type="http://schemas.openxmlformats.org/officeDocument/2006/relationships/hyperlink" Target="https://www.cookie.fun/chains/solana.svg" TargetMode="External"/><Relationship Id="rId480" Type="http://schemas.openxmlformats.org/officeDocument/2006/relationships/hyperlink" Target="https://pbs.twimg.com/profile_images/1858282898748768256/KrWi22X__400x400.jpg" TargetMode="External"/><Relationship Id="rId2161" Type="http://schemas.openxmlformats.org/officeDocument/2006/relationships/hyperlink" Target="https://pbs.twimg.com/profile_images/1871280065511927808/_ifnSBgg_400x400.jpg" TargetMode="External"/><Relationship Id="rId3005" Type="http://schemas.openxmlformats.org/officeDocument/2006/relationships/hyperlink" Target="https://x.com/dsmartsol/status/1878975812587979024" TargetMode="External"/><Relationship Id="rId3212" Type="http://schemas.openxmlformats.org/officeDocument/2006/relationships/hyperlink" Target="https://pbs.twimg.com/profile_images/1874380556131094528/I4af7aw6_normal.jpg" TargetMode="External"/><Relationship Id="rId133" Type="http://schemas.openxmlformats.org/officeDocument/2006/relationships/hyperlink" Target="https://pbs.twimg.com/profile_images/1856774662509715456/VT7lIA3h_400x400.jpg" TargetMode="External"/><Relationship Id="rId340" Type="http://schemas.openxmlformats.org/officeDocument/2006/relationships/hyperlink" Target="https://www.cookie.fun/agent/bolt-the-ai-dog" TargetMode="External"/><Relationship Id="rId2021" Type="http://schemas.openxmlformats.org/officeDocument/2006/relationships/hyperlink" Target="https://pbs.twimg.com/profile_images/1877773762466123776/BJAzgCxn_400x400.jpg" TargetMode="External"/><Relationship Id="rId200" Type="http://schemas.openxmlformats.org/officeDocument/2006/relationships/hyperlink" Target="https://www.cookie.fun/chains/solana.svg" TargetMode="External"/><Relationship Id="rId2978" Type="http://schemas.openxmlformats.org/officeDocument/2006/relationships/hyperlink" Target="https://www.cookie.fun/chains/solana.svg" TargetMode="External"/><Relationship Id="rId1787" Type="http://schemas.openxmlformats.org/officeDocument/2006/relationships/hyperlink" Target="https://pbs.twimg.com/profile_images/1872659657417695232/SYZRjgDE_400x400.jpg" TargetMode="External"/><Relationship Id="rId1994" Type="http://schemas.openxmlformats.org/officeDocument/2006/relationships/hyperlink" Target="https://pbs.twimg.com/profile_images/1877099777306836992/erHUm4pi_400x400.jpg" TargetMode="External"/><Relationship Id="rId2838" Type="http://schemas.openxmlformats.org/officeDocument/2006/relationships/hyperlink" Target="https://x.com/LeviNotAckerman/status/1878682585062334907" TargetMode="External"/><Relationship Id="rId79" Type="http://schemas.openxmlformats.org/officeDocument/2006/relationships/hyperlink" Target="https://pbs.twimg.com/profile_images/1861144087996268545/-MfiTMMo_400x400.jpg" TargetMode="External"/><Relationship Id="rId1647" Type="http://schemas.openxmlformats.org/officeDocument/2006/relationships/hyperlink" Target="https://www.cookie.fun/chains/solana.svg" TargetMode="External"/><Relationship Id="rId1854" Type="http://schemas.openxmlformats.org/officeDocument/2006/relationships/hyperlink" Target="https://www.cookie.fun/chains/base.svg" TargetMode="External"/><Relationship Id="rId2905" Type="http://schemas.openxmlformats.org/officeDocument/2006/relationships/hyperlink" Target="https://pbs.twimg.com/profile_images/1863391223509327872/P_EuN2za_400x400.png" TargetMode="External"/><Relationship Id="rId4053" Type="http://schemas.openxmlformats.org/officeDocument/2006/relationships/hyperlink" Target="https://x.com/Cointelegraph/status/1877459212084584535" TargetMode="External"/><Relationship Id="rId1507" Type="http://schemas.openxmlformats.org/officeDocument/2006/relationships/hyperlink" Target="https://www.cookie.fun/agent/sqrl" TargetMode="External"/><Relationship Id="rId1714" Type="http://schemas.openxmlformats.org/officeDocument/2006/relationships/hyperlink" Target="https://www.cookie.fun/agent/algorsage" TargetMode="External"/><Relationship Id="rId4120" Type="http://schemas.openxmlformats.org/officeDocument/2006/relationships/hyperlink" Target="https://pbs.twimg.com/profile_images/1869208085124030464/zszgJyVc_400x400.jpg" TargetMode="External"/><Relationship Id="rId1921" Type="http://schemas.openxmlformats.org/officeDocument/2006/relationships/hyperlink" Target="https://www.cookie.fun/agent/truthseeker" TargetMode="External"/><Relationship Id="rId3679" Type="http://schemas.openxmlformats.org/officeDocument/2006/relationships/hyperlink" Target="https://pbs.twimg.com/profile_images/1844323459922296844/OSYw_EmG_400x400.jpg" TargetMode="External"/><Relationship Id="rId2488" Type="http://schemas.openxmlformats.org/officeDocument/2006/relationships/hyperlink" Target="https://pbs.twimg.com/profile_images/1864283290347425795/FMZ3opQa_400x400.jpg" TargetMode="External"/><Relationship Id="rId3886" Type="http://schemas.openxmlformats.org/officeDocument/2006/relationships/hyperlink" Target="https://pbs.twimg.com/profile_images/1787808074981310464/LNqtP1ik_400x400.jpg" TargetMode="External"/><Relationship Id="rId1297" Type="http://schemas.openxmlformats.org/officeDocument/2006/relationships/hyperlink" Target="https://www.cookie.fun/agent/pf100" TargetMode="External"/><Relationship Id="rId2695" Type="http://schemas.openxmlformats.org/officeDocument/2006/relationships/hyperlink" Target="https://pbs.twimg.com/profile_images/1840810814007361536/oD64ED8g_normal.jpg" TargetMode="External"/><Relationship Id="rId3539" Type="http://schemas.openxmlformats.org/officeDocument/2006/relationships/hyperlink" Target="https://www.cookie.fun/agent/j3ff" TargetMode="External"/><Relationship Id="rId3746" Type="http://schemas.openxmlformats.org/officeDocument/2006/relationships/hyperlink" Target="https://www.cookie.fun/chains/solana.svg" TargetMode="External"/><Relationship Id="rId3953" Type="http://schemas.openxmlformats.org/officeDocument/2006/relationships/hyperlink" Target="https://x.com/WomanNFT/status/1879371991431680406" TargetMode="External"/><Relationship Id="rId667" Type="http://schemas.openxmlformats.org/officeDocument/2006/relationships/hyperlink" Target="https://www.cookie.fun/agent/gfr" TargetMode="External"/><Relationship Id="rId874" Type="http://schemas.openxmlformats.org/officeDocument/2006/relationships/hyperlink" Target="https://www.cookie.fun/agent/dappcat" TargetMode="External"/><Relationship Id="rId2348" Type="http://schemas.openxmlformats.org/officeDocument/2006/relationships/hyperlink" Target="https://x.com/DeeZe/status/1877075542001713312" TargetMode="External"/><Relationship Id="rId2555" Type="http://schemas.openxmlformats.org/officeDocument/2006/relationships/hyperlink" Target="https://pbs.twimg.com/profile_images/1856079545780125696/JQkZlaHt_normal.jpg" TargetMode="External"/><Relationship Id="rId2762" Type="http://schemas.openxmlformats.org/officeDocument/2006/relationships/hyperlink" Target="https://x.com/Lenexyyy/status/1877330824292610273" TargetMode="External"/><Relationship Id="rId3606" Type="http://schemas.openxmlformats.org/officeDocument/2006/relationships/hyperlink" Target="https://x.com/Rosentica/status/1877189908126638412" TargetMode="External"/><Relationship Id="rId3813" Type="http://schemas.openxmlformats.org/officeDocument/2006/relationships/hyperlink" Target="https://pbs.twimg.com/profile_images/1609606658199535618/bHidH77E_normal.jpg" TargetMode="External"/><Relationship Id="rId527" Type="http://schemas.openxmlformats.org/officeDocument/2006/relationships/hyperlink" Target="https://www.cookie.fun/agent/tas-intern" TargetMode="External"/><Relationship Id="rId734" Type="http://schemas.openxmlformats.org/officeDocument/2006/relationships/hyperlink" Target="https://pbs.twimg.com/profile_images/1866444022241271808/dCTn4CEb_400x400.jpg" TargetMode="External"/><Relationship Id="rId941" Type="http://schemas.openxmlformats.org/officeDocument/2006/relationships/hyperlink" Target="https://pbs.twimg.com/profile_images/1866280595623751681/Ehmh918b_400x400.jpg" TargetMode="External"/><Relationship Id="rId1157" Type="http://schemas.openxmlformats.org/officeDocument/2006/relationships/hyperlink" Target="https://pbs.twimg.com/profile_images/1865055556072828929/igIOIUAn_400x400.jpg" TargetMode="External"/><Relationship Id="rId1364" Type="http://schemas.openxmlformats.org/officeDocument/2006/relationships/hyperlink" Target="https://pbs.twimg.com/profile_images/1859755723061669888/9hY-ENYy_400x400.jpg" TargetMode="External"/><Relationship Id="rId1571" Type="http://schemas.openxmlformats.org/officeDocument/2006/relationships/hyperlink" Target="https://pbs.twimg.com/profile_images/1858429943560245248/oei385ms_400x400.jpg" TargetMode="External"/><Relationship Id="rId2208" Type="http://schemas.openxmlformats.org/officeDocument/2006/relationships/hyperlink" Target="https://pbs.twimg.com/profile_images/1867047266189746176/Gd_C0LBU_400x400.jpg" TargetMode="External"/><Relationship Id="rId2415" Type="http://schemas.openxmlformats.org/officeDocument/2006/relationships/hyperlink" Target="https://www.cookie.fun/agent/kudai" TargetMode="External"/><Relationship Id="rId2622" Type="http://schemas.openxmlformats.org/officeDocument/2006/relationships/hyperlink" Target="https://x.com/tong0x/status/1878177975948255588" TargetMode="External"/><Relationship Id="rId70" Type="http://schemas.openxmlformats.org/officeDocument/2006/relationships/hyperlink" Target="https://www.cookie.fun/agent/trenchai" TargetMode="External"/><Relationship Id="rId801" Type="http://schemas.openxmlformats.org/officeDocument/2006/relationships/hyperlink" Target="https://www.cookie.fun/chains/solana.svg" TargetMode="External"/><Relationship Id="rId1017" Type="http://schemas.openxmlformats.org/officeDocument/2006/relationships/hyperlink" Target="https://www.cookie.fun/chains/solana.svg" TargetMode="External"/><Relationship Id="rId1224" Type="http://schemas.openxmlformats.org/officeDocument/2006/relationships/hyperlink" Target="https://www.cookie.fun/chains/solana.svg" TargetMode="External"/><Relationship Id="rId1431" Type="http://schemas.openxmlformats.org/officeDocument/2006/relationships/hyperlink" Target="https://www.cookie.fun/chains/solana.svg" TargetMode="External"/><Relationship Id="rId3189" Type="http://schemas.openxmlformats.org/officeDocument/2006/relationships/hyperlink" Target="https://www.cookie.fun/agent/alris" TargetMode="External"/><Relationship Id="rId3396" Type="http://schemas.openxmlformats.org/officeDocument/2006/relationships/hyperlink" Target="https://pbs.twimg.com/profile_images/1824342038613254144/02OCCw1c_normal.jpg" TargetMode="External"/><Relationship Id="rId3049" Type="http://schemas.openxmlformats.org/officeDocument/2006/relationships/hyperlink" Target="https://pbs.twimg.com/profile_images/1869219264202223616/01Y9jTDS_400x400.png" TargetMode="External"/><Relationship Id="rId3256" Type="http://schemas.openxmlformats.org/officeDocument/2006/relationships/hyperlink" Target="https://pbs.twimg.com/profile_images/1806436217950441472/UQXxhjcU_normal.jpg" TargetMode="External"/><Relationship Id="rId3463" Type="http://schemas.openxmlformats.org/officeDocument/2006/relationships/hyperlink" Target="https://www.cookie.fun/chains/base.svg" TargetMode="External"/><Relationship Id="rId177" Type="http://schemas.openxmlformats.org/officeDocument/2006/relationships/hyperlink" Target="https://www.cookie.fun/agent/theupsiderai" TargetMode="External"/><Relationship Id="rId384" Type="http://schemas.openxmlformats.org/officeDocument/2006/relationships/hyperlink" Target="https://www.cookie.fun/chains/solana.svg" TargetMode="External"/><Relationship Id="rId591" Type="http://schemas.openxmlformats.org/officeDocument/2006/relationships/hyperlink" Target="https://pbs.twimg.com/profile_images/1879028081970864128/q8cGtiM7_400x400.jpg" TargetMode="External"/><Relationship Id="rId2065" Type="http://schemas.openxmlformats.org/officeDocument/2006/relationships/hyperlink" Target="https://www.cookie.fun/agent/meme-republic" TargetMode="External"/><Relationship Id="rId2272" Type="http://schemas.openxmlformats.org/officeDocument/2006/relationships/hyperlink" Target="https://pbs.twimg.com/profile_images/1848028530099052545/urFxrFx__400x400.jpg" TargetMode="External"/><Relationship Id="rId3116" Type="http://schemas.openxmlformats.org/officeDocument/2006/relationships/hyperlink" Target="https://pbs.twimg.com/profile_images/1789364971354128385/s8FHrPnq_normal.jpg" TargetMode="External"/><Relationship Id="rId3670" Type="http://schemas.openxmlformats.org/officeDocument/2006/relationships/hyperlink" Target="https://pbs.twimg.com/profile_images/1795607289283366912/KI2AGBBX_normal.jpg" TargetMode="External"/><Relationship Id="rId244" Type="http://schemas.openxmlformats.org/officeDocument/2006/relationships/hyperlink" Target="https://www.cookie.fun/chains/solana.svg" TargetMode="External"/><Relationship Id="rId1081" Type="http://schemas.openxmlformats.org/officeDocument/2006/relationships/hyperlink" Target="https://www.cookie.fun/agent/well" TargetMode="External"/><Relationship Id="rId3323" Type="http://schemas.openxmlformats.org/officeDocument/2006/relationships/hyperlink" Target="https://pbs.twimg.com/profile_images/1871434944024866816/VP-p9B5M_400x400.jpg" TargetMode="External"/><Relationship Id="rId3530" Type="http://schemas.openxmlformats.org/officeDocument/2006/relationships/hyperlink" Target="https://www.cookie.fun/chains/base.svg" TargetMode="External"/><Relationship Id="rId451" Type="http://schemas.openxmlformats.org/officeDocument/2006/relationships/hyperlink" Target="https://www.cookie.fun/chains/solana.svg" TargetMode="External"/><Relationship Id="rId2132" Type="http://schemas.openxmlformats.org/officeDocument/2006/relationships/hyperlink" Target="https://www.cookie.fun/agent/arcturus" TargetMode="External"/><Relationship Id="rId104" Type="http://schemas.openxmlformats.org/officeDocument/2006/relationships/hyperlink" Target="https://www.cookie.fun/agent/corgiai" TargetMode="External"/><Relationship Id="rId311" Type="http://schemas.openxmlformats.org/officeDocument/2006/relationships/hyperlink" Target="https://pbs.twimg.com/profile_images/1846503990483120128/SsRhm4KN_400x400.jpg" TargetMode="External"/><Relationship Id="rId1898" Type="http://schemas.openxmlformats.org/officeDocument/2006/relationships/hyperlink" Target="https://pbs.twimg.com/profile_images/1874893987825283072/qUX4KkDi_400x400.jpg" TargetMode="External"/><Relationship Id="rId2949" Type="http://schemas.openxmlformats.org/officeDocument/2006/relationships/hyperlink" Target="https://pbs.twimg.com/profile_images/1752826759504965632/_BJV6z9l_normal.jpg" TargetMode="External"/><Relationship Id="rId4097" Type="http://schemas.openxmlformats.org/officeDocument/2006/relationships/hyperlink" Target="https://pbs.twimg.com/profile_images/1854820520862334976/sRavZnte_400x400.jpg" TargetMode="External"/><Relationship Id="rId1758" Type="http://schemas.openxmlformats.org/officeDocument/2006/relationships/hyperlink" Target="https://www.cookie.fun/chains/base.svg" TargetMode="External"/><Relationship Id="rId2809" Type="http://schemas.openxmlformats.org/officeDocument/2006/relationships/hyperlink" Target="https://x.com/verse_works/status/1878138271810679109" TargetMode="External"/><Relationship Id="rId4164" Type="http://schemas.openxmlformats.org/officeDocument/2006/relationships/hyperlink" Target="https://pbs.twimg.com/profile_images/1761532928452894720/N6A-Up8e_normal.jpg" TargetMode="External"/><Relationship Id="rId1965" Type="http://schemas.openxmlformats.org/officeDocument/2006/relationships/hyperlink" Target="https://www.cookie.fun/chains/base.svg" TargetMode="External"/><Relationship Id="rId3180" Type="http://schemas.openxmlformats.org/officeDocument/2006/relationships/hyperlink" Target="https://www.cookie.fun/agent/seraph-ai" TargetMode="External"/><Relationship Id="rId4024" Type="http://schemas.openxmlformats.org/officeDocument/2006/relationships/hyperlink" Target="https://pbs.twimg.com/profile_images/1850958511137562625/oJQBBFeA_400x400.jpg" TargetMode="External"/><Relationship Id="rId1618" Type="http://schemas.openxmlformats.org/officeDocument/2006/relationships/hyperlink" Target="https://www.cookie.fun/agent/pauly0x" TargetMode="External"/><Relationship Id="rId1825" Type="http://schemas.openxmlformats.org/officeDocument/2006/relationships/hyperlink" Target="https://www.cookie.fun/agent/paperclip-ai" TargetMode="External"/><Relationship Id="rId3040" Type="http://schemas.openxmlformats.org/officeDocument/2006/relationships/hyperlink" Target="https://pbs.twimg.com/profile_images/1422538477900423170/tRsq0F8Y_normal.png" TargetMode="External"/><Relationship Id="rId3997" Type="http://schemas.openxmlformats.org/officeDocument/2006/relationships/hyperlink" Target="https://www.cookie.fun/chains/solana.svg" TargetMode="External"/><Relationship Id="rId2599" Type="http://schemas.openxmlformats.org/officeDocument/2006/relationships/hyperlink" Target="https://pbs.twimg.com/profile_images/1644357178319405059/J5e4cyyV_normal.png" TargetMode="External"/><Relationship Id="rId3857" Type="http://schemas.openxmlformats.org/officeDocument/2006/relationships/hyperlink" Target="https://x.com/softlipa1018/status/1877011469415383063" TargetMode="External"/><Relationship Id="rId778" Type="http://schemas.openxmlformats.org/officeDocument/2006/relationships/hyperlink" Target="https://www.cookie.fun/agent/few" TargetMode="External"/><Relationship Id="rId985" Type="http://schemas.openxmlformats.org/officeDocument/2006/relationships/hyperlink" Target="https://www.cookie.fun/agent/tradescoop" TargetMode="External"/><Relationship Id="rId2459" Type="http://schemas.openxmlformats.org/officeDocument/2006/relationships/hyperlink" Target="https://pbs.twimg.com/profile_images/1416875951082942468/cWN9kZMp_normal.jpg" TargetMode="External"/><Relationship Id="rId2666" Type="http://schemas.openxmlformats.org/officeDocument/2006/relationships/hyperlink" Target="https://x.com/gem_insider/status/1879217162717741221" TargetMode="External"/><Relationship Id="rId2873" Type="http://schemas.openxmlformats.org/officeDocument/2006/relationships/hyperlink" Target="https://pbs.twimg.com/profile_images/1554027145420500992/0oOUOv6L_normal.jpg" TargetMode="External"/><Relationship Id="rId3717" Type="http://schemas.openxmlformats.org/officeDocument/2006/relationships/hyperlink" Target="https://www.cookie.fun/chains/solana.svg" TargetMode="External"/><Relationship Id="rId3924" Type="http://schemas.openxmlformats.org/officeDocument/2006/relationships/hyperlink" Target="https://www.cookie.fun/chains/solana.svg" TargetMode="External"/><Relationship Id="rId638" Type="http://schemas.openxmlformats.org/officeDocument/2006/relationships/hyperlink" Target="https://pbs.twimg.com/profile_images/1865513043553095680/fXL-gcNF_400x400.png" TargetMode="External"/><Relationship Id="rId845" Type="http://schemas.openxmlformats.org/officeDocument/2006/relationships/hyperlink" Target="https://pbs.twimg.com/profile_images/1863303021909708800/Y1bNU3Wi_400x400.jpg" TargetMode="External"/><Relationship Id="rId1268" Type="http://schemas.openxmlformats.org/officeDocument/2006/relationships/hyperlink" Target="https://pbs.twimg.com/profile_images/1862972393498841088/ahS8QdUp_400x400.jpg" TargetMode="External"/><Relationship Id="rId1475" Type="http://schemas.openxmlformats.org/officeDocument/2006/relationships/hyperlink" Target="https://pbs.twimg.com/profile_images/1858412079150956544/yGnTEG07_400x400.jpg" TargetMode="External"/><Relationship Id="rId1682" Type="http://schemas.openxmlformats.org/officeDocument/2006/relationships/hyperlink" Target="https://pbs.twimg.com/profile_images/1857909007219830784/5d1sB-UN_400x400.jpg" TargetMode="External"/><Relationship Id="rId2319" Type="http://schemas.openxmlformats.org/officeDocument/2006/relationships/hyperlink" Target="https://www.cookie.fun/agent/rektguy" TargetMode="External"/><Relationship Id="rId2526" Type="http://schemas.openxmlformats.org/officeDocument/2006/relationships/hyperlink" Target="https://x.com/EB7/status/1878489157628010773" TargetMode="External"/><Relationship Id="rId2733" Type="http://schemas.openxmlformats.org/officeDocument/2006/relationships/hyperlink" Target="https://pbs.twimg.com/profile_images/1806436217950441472/UQXxhjcU_normal.jpg" TargetMode="External"/><Relationship Id="rId705" Type="http://schemas.openxmlformats.org/officeDocument/2006/relationships/hyperlink" Target="https://www.cookie.fun/chains/solana.svg" TargetMode="External"/><Relationship Id="rId1128" Type="http://schemas.openxmlformats.org/officeDocument/2006/relationships/hyperlink" Target="https://www.cookie.fun/chains/solana.svg" TargetMode="External"/><Relationship Id="rId1335" Type="http://schemas.openxmlformats.org/officeDocument/2006/relationships/hyperlink" Target="https://www.cookie.fun/chains/solana.svg" TargetMode="External"/><Relationship Id="rId1542" Type="http://schemas.openxmlformats.org/officeDocument/2006/relationships/hyperlink" Target="https://www.cookie.fun/chains/solana.svg" TargetMode="External"/><Relationship Id="rId2940" Type="http://schemas.openxmlformats.org/officeDocument/2006/relationships/hyperlink" Target="https://x.com/JasonNFT/status/1877252581031862687" TargetMode="External"/><Relationship Id="rId912" Type="http://schemas.openxmlformats.org/officeDocument/2006/relationships/hyperlink" Target="https://www.cookie.fun/chains/solana.svg" TargetMode="External"/><Relationship Id="rId2800" Type="http://schemas.openxmlformats.org/officeDocument/2006/relationships/hyperlink" Target="https://www.cookie.fun/chains/ethereum.svg" TargetMode="External"/><Relationship Id="rId41" Type="http://schemas.openxmlformats.org/officeDocument/2006/relationships/hyperlink" Target="https://www.cookie.fun/agent/flub" TargetMode="External"/><Relationship Id="rId1402" Type="http://schemas.openxmlformats.org/officeDocument/2006/relationships/hyperlink" Target="https://www.cookie.fun/agent/sigmaai" TargetMode="External"/><Relationship Id="rId288" Type="http://schemas.openxmlformats.org/officeDocument/2006/relationships/hyperlink" Target="https://www.cookie.fun/chains/solana.svg" TargetMode="External"/><Relationship Id="rId3367" Type="http://schemas.openxmlformats.org/officeDocument/2006/relationships/hyperlink" Target="https://pbs.twimg.com/profile_images/1713426276546211840/5sacGaex_normal.png" TargetMode="External"/><Relationship Id="rId3574" Type="http://schemas.openxmlformats.org/officeDocument/2006/relationships/hyperlink" Target="https://x.com/EB7/status/1877506919159545944" TargetMode="External"/><Relationship Id="rId3781" Type="http://schemas.openxmlformats.org/officeDocument/2006/relationships/hyperlink" Target="https://pbs.twimg.com/profile_images/1862309010172444672/qxNpvzcW_normal.jpg" TargetMode="External"/><Relationship Id="rId495" Type="http://schemas.openxmlformats.org/officeDocument/2006/relationships/hyperlink" Target="https://pbs.twimg.com/profile_images/1784083987150905344/9z1dh4tV_400x400.jpg" TargetMode="External"/><Relationship Id="rId2176" Type="http://schemas.openxmlformats.org/officeDocument/2006/relationships/hyperlink" Target="https://www.cookie.fun/agent/poinky" TargetMode="External"/><Relationship Id="rId2383" Type="http://schemas.openxmlformats.org/officeDocument/2006/relationships/hyperlink" Target="https://pbs.twimg.com/profile_images/1614002745714917377/Vg5Ie7vc_normal.jpg" TargetMode="External"/><Relationship Id="rId2590" Type="http://schemas.openxmlformats.org/officeDocument/2006/relationships/hyperlink" Target="https://x.com/Cryppocrates/status/1877739068705948113" TargetMode="External"/><Relationship Id="rId3227" Type="http://schemas.openxmlformats.org/officeDocument/2006/relationships/hyperlink" Target="https://x.com/TheCryptoKazi/status/1879220342067286510" TargetMode="External"/><Relationship Id="rId3434" Type="http://schemas.openxmlformats.org/officeDocument/2006/relationships/hyperlink" Target="https://x.com/mikedemarais/status/1879352583015546980" TargetMode="External"/><Relationship Id="rId3641" Type="http://schemas.openxmlformats.org/officeDocument/2006/relationships/hyperlink" Target="https://pbs.twimg.com/profile_images/1641232110290706433/rbKTVQ3d_normal.jpg" TargetMode="External"/><Relationship Id="rId148" Type="http://schemas.openxmlformats.org/officeDocument/2006/relationships/hyperlink" Target="https://pbs.twimg.com/profile_images/1859715327115862016/9QS4iGHi_400x400.jpg" TargetMode="External"/><Relationship Id="rId355" Type="http://schemas.openxmlformats.org/officeDocument/2006/relationships/hyperlink" Target="https://www.cookie.fun/agent/zebro" TargetMode="External"/><Relationship Id="rId562" Type="http://schemas.openxmlformats.org/officeDocument/2006/relationships/hyperlink" Target="https://www.cookie.fun/chains/base.svg" TargetMode="External"/><Relationship Id="rId1192" Type="http://schemas.openxmlformats.org/officeDocument/2006/relationships/hyperlink" Target="https://www.cookie.fun/agent/robot1" TargetMode="External"/><Relationship Id="rId2036" Type="http://schemas.openxmlformats.org/officeDocument/2006/relationships/hyperlink" Target="https://www.cookie.fun/agent/weaveit" TargetMode="External"/><Relationship Id="rId2243" Type="http://schemas.openxmlformats.org/officeDocument/2006/relationships/hyperlink" Target="https://www.cookie.fun/chains/base.svg" TargetMode="External"/><Relationship Id="rId2450" Type="http://schemas.openxmlformats.org/officeDocument/2006/relationships/hyperlink" Target="https://x.com/CryptoAnglio/status/1877082200031547572" TargetMode="External"/><Relationship Id="rId3501" Type="http://schemas.openxmlformats.org/officeDocument/2006/relationships/hyperlink" Target="https://pbs.twimg.com/profile_images/1862363283602227200/0LwNGt_Q_400x400.jpg" TargetMode="External"/><Relationship Id="rId215" Type="http://schemas.openxmlformats.org/officeDocument/2006/relationships/hyperlink" Target="https://x.com/gmmoneyETH/status/1877924180332822709" TargetMode="External"/><Relationship Id="rId422" Type="http://schemas.openxmlformats.org/officeDocument/2006/relationships/hyperlink" Target="https://pbs.twimg.com/profile_images/1864261534584651776/gQR2TVoB_400x400.jpg" TargetMode="External"/><Relationship Id="rId1052" Type="http://schemas.openxmlformats.org/officeDocument/2006/relationships/hyperlink" Target="https://pbs.twimg.com/profile_images/1872040290065764352/jOOKswdV_400x400.jpg" TargetMode="External"/><Relationship Id="rId2103" Type="http://schemas.openxmlformats.org/officeDocument/2006/relationships/hyperlink" Target="https://www.cookie.fun/agent/prouddoge" TargetMode="External"/><Relationship Id="rId2310" Type="http://schemas.openxmlformats.org/officeDocument/2006/relationships/hyperlink" Target="https://x.com/lookonchain/status/1877551033460863307" TargetMode="External"/><Relationship Id="rId4068" Type="http://schemas.openxmlformats.org/officeDocument/2006/relationships/hyperlink" Target="https://pbs.twimg.com/profile_images/1867896799769341952/Y4DNDAXP_400x400.jpg" TargetMode="External"/><Relationship Id="rId1869" Type="http://schemas.openxmlformats.org/officeDocument/2006/relationships/hyperlink" Target="https://www.cookie.fun/chains/base.svg" TargetMode="External"/><Relationship Id="rId3084" Type="http://schemas.openxmlformats.org/officeDocument/2006/relationships/hyperlink" Target="https://x.com/CoinbaseDuck/status/1879221916843770367" TargetMode="External"/><Relationship Id="rId3291" Type="http://schemas.openxmlformats.org/officeDocument/2006/relationships/hyperlink" Target="https://x.com/TheBoggartt/status/1877401939266122028" TargetMode="External"/><Relationship Id="rId4135" Type="http://schemas.openxmlformats.org/officeDocument/2006/relationships/hyperlink" Target="https://www.cookie.fun/chains/base.svg" TargetMode="External"/><Relationship Id="rId1729" Type="http://schemas.openxmlformats.org/officeDocument/2006/relationships/hyperlink" Target="https://www.cookie.fun/agent/visionaire" TargetMode="External"/><Relationship Id="rId1936" Type="http://schemas.openxmlformats.org/officeDocument/2006/relationships/hyperlink" Target="https://pbs.twimg.com/profile_images/1592555944206024704/uYkqVW8m_normal.jpg" TargetMode="External"/><Relationship Id="rId3151" Type="http://schemas.openxmlformats.org/officeDocument/2006/relationships/hyperlink" Target="https://x.com/Crypto_Alch/status/1879196956423287246" TargetMode="External"/><Relationship Id="rId3011" Type="http://schemas.openxmlformats.org/officeDocument/2006/relationships/hyperlink" Target="https://x.com/simplecatnft/status/1879026078897090821" TargetMode="External"/><Relationship Id="rId3968" Type="http://schemas.openxmlformats.org/officeDocument/2006/relationships/hyperlink" Target="https://www.cookie.fun/chains/base.svg" TargetMode="External"/><Relationship Id="rId5" Type="http://schemas.openxmlformats.org/officeDocument/2006/relationships/hyperlink" Target="https://pbs.twimg.com/profile_images/1864172683585327105/jKUo5DED_400x400.jpg" TargetMode="External"/><Relationship Id="rId889" Type="http://schemas.openxmlformats.org/officeDocument/2006/relationships/hyperlink" Target="https://www.cookie.fun/agent/soundposted" TargetMode="External"/><Relationship Id="rId2777" Type="http://schemas.openxmlformats.org/officeDocument/2006/relationships/hyperlink" Target="https://x.com/notEezzy/status/1878468635611529243" TargetMode="External"/><Relationship Id="rId749" Type="http://schemas.openxmlformats.org/officeDocument/2006/relationships/hyperlink" Target="https://pbs.twimg.com/profile_images/1862568928385609728/E1gVkm-Q_400x400.jpg" TargetMode="External"/><Relationship Id="rId1379" Type="http://schemas.openxmlformats.org/officeDocument/2006/relationships/hyperlink" Target="https://pbs.twimg.com/profile_images/1873525117633892352/wlK-8_r2_400x400.jpg" TargetMode="External"/><Relationship Id="rId1586" Type="http://schemas.openxmlformats.org/officeDocument/2006/relationships/hyperlink" Target="https://pbs.twimg.com/profile_images/1868724900929978373/qcJRXwUC_400x400.jpg" TargetMode="External"/><Relationship Id="rId2984" Type="http://schemas.openxmlformats.org/officeDocument/2006/relationships/hyperlink" Target="https://pbs.twimg.com/profile_images/1829954676172754944/AY0XOTPa_normal.jpg" TargetMode="External"/><Relationship Id="rId3828" Type="http://schemas.openxmlformats.org/officeDocument/2006/relationships/hyperlink" Target="https://x.com/hmalviya9/status/1877024383052443963" TargetMode="External"/><Relationship Id="rId609" Type="http://schemas.openxmlformats.org/officeDocument/2006/relationships/hyperlink" Target="https://pbs.twimg.com/profile_images/1852271326498639872/76xchMSQ_400x400.jpg" TargetMode="External"/><Relationship Id="rId956" Type="http://schemas.openxmlformats.org/officeDocument/2006/relationships/hyperlink" Target="https://pbs.twimg.com/profile_images/1872675121036443648/dl707mqu_400x400.jpg" TargetMode="External"/><Relationship Id="rId1239" Type="http://schemas.openxmlformats.org/officeDocument/2006/relationships/hyperlink" Target="https://www.cookie.fun/chains/solana.svg" TargetMode="External"/><Relationship Id="rId1793" Type="http://schemas.openxmlformats.org/officeDocument/2006/relationships/hyperlink" Target="https://pbs.twimg.com/profile_images/1874800154168971264/BUEADyws_400x400.jpg" TargetMode="External"/><Relationship Id="rId2637" Type="http://schemas.openxmlformats.org/officeDocument/2006/relationships/hyperlink" Target="https://pbs.twimg.com/profile_images/1427434033290661891/hLTTZ5lt_normal.jpg" TargetMode="External"/><Relationship Id="rId2844" Type="http://schemas.openxmlformats.org/officeDocument/2006/relationships/hyperlink" Target="https://x.com/NFTSandy_/status/1879170679741837537" TargetMode="External"/><Relationship Id="rId85" Type="http://schemas.openxmlformats.org/officeDocument/2006/relationships/hyperlink" Target="https://pbs.twimg.com/profile_images/1862801073733255169/ifN15NMy_400x400.jpg" TargetMode="External"/><Relationship Id="rId816" Type="http://schemas.openxmlformats.org/officeDocument/2006/relationships/hyperlink" Target="https://www.cookie.fun/chains/solana.svg" TargetMode="External"/><Relationship Id="rId1446" Type="http://schemas.openxmlformats.org/officeDocument/2006/relationships/hyperlink" Target="https://www.cookie.fun/chains/solana.svg" TargetMode="External"/><Relationship Id="rId1653" Type="http://schemas.openxmlformats.org/officeDocument/2006/relationships/hyperlink" Target="https://www.cookie.fun/chains/solana.svg" TargetMode="External"/><Relationship Id="rId1860" Type="http://schemas.openxmlformats.org/officeDocument/2006/relationships/hyperlink" Target="https://www.cookie.fun/chains/base.svg" TargetMode="External"/><Relationship Id="rId2704" Type="http://schemas.openxmlformats.org/officeDocument/2006/relationships/hyperlink" Target="https://pbs.twimg.com/profile_images/1872551275436638208/4E3x6m7n_400x400.png" TargetMode="External"/><Relationship Id="rId2911" Type="http://schemas.openxmlformats.org/officeDocument/2006/relationships/hyperlink" Target="https://x.com/WiseCrypto_/status/1877221400638783827" TargetMode="External"/><Relationship Id="rId1306" Type="http://schemas.openxmlformats.org/officeDocument/2006/relationships/hyperlink" Target="https://www.cookie.fun/agent/grillguy" TargetMode="External"/><Relationship Id="rId1513" Type="http://schemas.openxmlformats.org/officeDocument/2006/relationships/hyperlink" Target="https://www.cookie.fun/agent/schizo" TargetMode="External"/><Relationship Id="rId1720" Type="http://schemas.openxmlformats.org/officeDocument/2006/relationships/hyperlink" Target="https://www.cookie.fun/agent/snowflake" TargetMode="External"/><Relationship Id="rId12" Type="http://schemas.openxmlformats.org/officeDocument/2006/relationships/hyperlink" Target="https://www.cookie.fun/chains/solana.svg" TargetMode="External"/><Relationship Id="rId3478" Type="http://schemas.openxmlformats.org/officeDocument/2006/relationships/hyperlink" Target="https://www.cookie.fun/agent/pondhub" TargetMode="External"/><Relationship Id="rId3685" Type="http://schemas.openxmlformats.org/officeDocument/2006/relationships/hyperlink" Target="https://www.cookie.fun/chains/solana.svg" TargetMode="External"/><Relationship Id="rId3892" Type="http://schemas.openxmlformats.org/officeDocument/2006/relationships/hyperlink" Target="https://x.com/Jklaub81/status/1879365229639041441" TargetMode="External"/><Relationship Id="rId399" Type="http://schemas.openxmlformats.org/officeDocument/2006/relationships/hyperlink" Target="https://www.cookie.fun/chains/ethereum.svg" TargetMode="External"/><Relationship Id="rId2287" Type="http://schemas.openxmlformats.org/officeDocument/2006/relationships/hyperlink" Target="https://pbs.twimg.com/profile_images/1846579538802982912/9qCfx_WU_normal.jpg" TargetMode="External"/><Relationship Id="rId2494" Type="http://schemas.openxmlformats.org/officeDocument/2006/relationships/hyperlink" Target="https://x.com/boldleonidas/status/1879336460870131912" TargetMode="External"/><Relationship Id="rId3338" Type="http://schemas.openxmlformats.org/officeDocument/2006/relationships/hyperlink" Target="https://pbs.twimg.com/profile_images/1830786921200521216/ei_obfWy_normal.jpg" TargetMode="External"/><Relationship Id="rId3545" Type="http://schemas.openxmlformats.org/officeDocument/2006/relationships/hyperlink" Target="https://pbs.twimg.com/profile_images/1701621806061223936/XzMrH7Dm_normal.jpg" TargetMode="External"/><Relationship Id="rId3752" Type="http://schemas.openxmlformats.org/officeDocument/2006/relationships/hyperlink" Target="https://pbs.twimg.com/profile_images/1850856246221426688/Ik04Bsy5_normal.jpg" TargetMode="External"/><Relationship Id="rId259" Type="http://schemas.openxmlformats.org/officeDocument/2006/relationships/hyperlink" Target="https://www.cookie.fun/agent/chaos-and-disorder" TargetMode="External"/><Relationship Id="rId466" Type="http://schemas.openxmlformats.org/officeDocument/2006/relationships/hyperlink" Target="https://www.cookie.fun/chains/base.svg" TargetMode="External"/><Relationship Id="rId673" Type="http://schemas.openxmlformats.org/officeDocument/2006/relationships/hyperlink" Target="https://www.cookie.fun/agent/gwart" TargetMode="External"/><Relationship Id="rId880" Type="http://schemas.openxmlformats.org/officeDocument/2006/relationships/hyperlink" Target="https://www.cookie.fun/agent/her0" TargetMode="External"/><Relationship Id="rId1096" Type="http://schemas.openxmlformats.org/officeDocument/2006/relationships/hyperlink" Target="https://www.cookie.fun/agent/ff" TargetMode="External"/><Relationship Id="rId2147" Type="http://schemas.openxmlformats.org/officeDocument/2006/relationships/hyperlink" Target="https://pbs.twimg.com/profile_images/1838998917658066944/7GpsZYHz_400x400.jpg" TargetMode="External"/><Relationship Id="rId2354" Type="http://schemas.openxmlformats.org/officeDocument/2006/relationships/hyperlink" Target="https://x.com/basedkarbon/status/1877081718315708506" TargetMode="External"/><Relationship Id="rId2561" Type="http://schemas.openxmlformats.org/officeDocument/2006/relationships/hyperlink" Target="https://www.cookie.fun/chains/solana.svg" TargetMode="External"/><Relationship Id="rId3405" Type="http://schemas.openxmlformats.org/officeDocument/2006/relationships/hyperlink" Target="https://pbs.twimg.com/profile_images/1878142431356731392/mMEvENR-_normal.jpg" TargetMode="External"/><Relationship Id="rId119" Type="http://schemas.openxmlformats.org/officeDocument/2006/relationships/hyperlink" Target="https://www.cookie.fun/agent/tao-inu" TargetMode="External"/><Relationship Id="rId326" Type="http://schemas.openxmlformats.org/officeDocument/2006/relationships/hyperlink" Target="https://pbs.twimg.com/profile_images/1865812600925077504/ad8qAnLA_400x400.jpg" TargetMode="External"/><Relationship Id="rId533" Type="http://schemas.openxmlformats.org/officeDocument/2006/relationships/hyperlink" Target="https://www.cookie.fun/agent/lexi-xp" TargetMode="External"/><Relationship Id="rId1163" Type="http://schemas.openxmlformats.org/officeDocument/2006/relationships/hyperlink" Target="https://pbs.twimg.com/profile_images/1875309343358513159/CSRWMA-9_400x400.jpg" TargetMode="External"/><Relationship Id="rId1370" Type="http://schemas.openxmlformats.org/officeDocument/2006/relationships/hyperlink" Target="https://pbs.twimg.com/profile_images/1859655011732508672/nD4eJ5ve_400x400.jpg" TargetMode="External"/><Relationship Id="rId2007" Type="http://schemas.openxmlformats.org/officeDocument/2006/relationships/hyperlink" Target="https://www.cookie.fun/chains/base.svg" TargetMode="External"/><Relationship Id="rId2214" Type="http://schemas.openxmlformats.org/officeDocument/2006/relationships/hyperlink" Target="https://www.cookie.fun/agent/vcmilei" TargetMode="External"/><Relationship Id="rId3612" Type="http://schemas.openxmlformats.org/officeDocument/2006/relationships/hyperlink" Target="https://www.cookie.fun/chains/base.svg" TargetMode="External"/><Relationship Id="rId740" Type="http://schemas.openxmlformats.org/officeDocument/2006/relationships/hyperlink" Target="https://pbs.twimg.com/profile_images/1860886055832150016/I6a08rld_400x400.jpg" TargetMode="External"/><Relationship Id="rId1023" Type="http://schemas.openxmlformats.org/officeDocument/2006/relationships/hyperlink" Target="https://www.cookie.fun/chains/solana.svg" TargetMode="External"/><Relationship Id="rId2421" Type="http://schemas.openxmlformats.org/officeDocument/2006/relationships/hyperlink" Target="https://pbs.twimg.com/profile_images/1738860733771780096/eYaFzxgO_normal.png" TargetMode="External"/><Relationship Id="rId600" Type="http://schemas.openxmlformats.org/officeDocument/2006/relationships/hyperlink" Target="https://pbs.twimg.com/profile_images/1865928760647688192/6AkLP46a_400x400.jpg" TargetMode="External"/><Relationship Id="rId1230" Type="http://schemas.openxmlformats.org/officeDocument/2006/relationships/hyperlink" Target="https://www.cookie.fun/chains/solana.svg" TargetMode="External"/><Relationship Id="rId3195" Type="http://schemas.openxmlformats.org/officeDocument/2006/relationships/hyperlink" Target="https://x.com/kikanicolela/status/1878421696052388275" TargetMode="External"/><Relationship Id="rId4039" Type="http://schemas.openxmlformats.org/officeDocument/2006/relationships/hyperlink" Target="https://pbs.twimg.com/profile_images/1858697083152461827/evlhKu8J_400x400.jpg" TargetMode="External"/><Relationship Id="rId3055" Type="http://schemas.openxmlformats.org/officeDocument/2006/relationships/hyperlink" Target="https://x.com/MasterChiefNFTs/status/1877431532203192697" TargetMode="External"/><Relationship Id="rId3262" Type="http://schemas.openxmlformats.org/officeDocument/2006/relationships/hyperlink" Target="https://pbs.twimg.com/profile_images/1561354964534018049/T9lKN_2c_normal.jpg" TargetMode="External"/><Relationship Id="rId4106" Type="http://schemas.openxmlformats.org/officeDocument/2006/relationships/hyperlink" Target="https://www.cookie.fun/chains/solana.svg" TargetMode="External"/><Relationship Id="rId183" Type="http://schemas.openxmlformats.org/officeDocument/2006/relationships/hyperlink" Target="https://www.cookie.fun/agent/shogun" TargetMode="External"/><Relationship Id="rId390" Type="http://schemas.openxmlformats.org/officeDocument/2006/relationships/hyperlink" Target="https://www.cookie.fun/chains/solana.svg" TargetMode="External"/><Relationship Id="rId1907" Type="http://schemas.openxmlformats.org/officeDocument/2006/relationships/hyperlink" Target="https://pbs.twimg.com/profile_images/1765026269823959041/saJL-Kpy_400x400.jpg" TargetMode="External"/><Relationship Id="rId2071" Type="http://schemas.openxmlformats.org/officeDocument/2006/relationships/hyperlink" Target="https://pbs.twimg.com/profile_images/1871394268343832576/ZJKCY-6h_400x400.jpg" TargetMode="External"/><Relationship Id="rId3122" Type="http://schemas.openxmlformats.org/officeDocument/2006/relationships/hyperlink" Target="https://www.cookie.fun/agent/sploots" TargetMode="External"/><Relationship Id="rId250" Type="http://schemas.openxmlformats.org/officeDocument/2006/relationships/hyperlink" Target="https://www.cookie.fun/chains/solana.svg" TargetMode="External"/><Relationship Id="rId110" Type="http://schemas.openxmlformats.org/officeDocument/2006/relationships/hyperlink" Target="https://www.cookie.fun/agent/infinite-backrooms" TargetMode="External"/><Relationship Id="rId2888" Type="http://schemas.openxmlformats.org/officeDocument/2006/relationships/hyperlink" Target="https://x.com/JoshMcGruff/status/1877554590234689585" TargetMode="External"/><Relationship Id="rId3939" Type="http://schemas.openxmlformats.org/officeDocument/2006/relationships/hyperlink" Target="https://www.cookie.fun/agent/alice" TargetMode="External"/><Relationship Id="rId1697" Type="http://schemas.openxmlformats.org/officeDocument/2006/relationships/hyperlink" Target="https://pbs.twimg.com/profile_images/1856679076339060736/g_xD240G_400x400.jpg" TargetMode="External"/><Relationship Id="rId2748" Type="http://schemas.openxmlformats.org/officeDocument/2006/relationships/hyperlink" Target="https://x.com/sjdedic/status/1879383304203636914" TargetMode="External"/><Relationship Id="rId2955" Type="http://schemas.openxmlformats.org/officeDocument/2006/relationships/hyperlink" Target="https://www.cookie.fun/agent/turbo" TargetMode="External"/><Relationship Id="rId927" Type="http://schemas.openxmlformats.org/officeDocument/2006/relationships/hyperlink" Target="https://www.cookie.fun/chains/solana.svg" TargetMode="External"/><Relationship Id="rId1557" Type="http://schemas.openxmlformats.org/officeDocument/2006/relationships/hyperlink" Target="https://www.cookie.fun/chains/solana.svg" TargetMode="External"/><Relationship Id="rId1764" Type="http://schemas.openxmlformats.org/officeDocument/2006/relationships/hyperlink" Target="https://www.cookie.fun/chains/base.svg" TargetMode="External"/><Relationship Id="rId1971" Type="http://schemas.openxmlformats.org/officeDocument/2006/relationships/hyperlink" Target="https://www.cookie.fun/chains/base.svg" TargetMode="External"/><Relationship Id="rId2608" Type="http://schemas.openxmlformats.org/officeDocument/2006/relationships/hyperlink" Target="https://pbs.twimg.com/profile_images/1868134007206236161/y82CXpY-_400x400.jpg" TargetMode="External"/><Relationship Id="rId2815" Type="http://schemas.openxmlformats.org/officeDocument/2006/relationships/hyperlink" Target="https://x.com/cryptomanran/status/1877947285591490583" TargetMode="External"/><Relationship Id="rId4170" Type="http://schemas.openxmlformats.org/officeDocument/2006/relationships/hyperlink" Target="https://www.cookie.fun/chains/solana.svg" TargetMode="External"/><Relationship Id="rId56" Type="http://schemas.openxmlformats.org/officeDocument/2006/relationships/hyperlink" Target="https://x.com/patty_fi/status/1877024284024959083" TargetMode="External"/><Relationship Id="rId1417" Type="http://schemas.openxmlformats.org/officeDocument/2006/relationships/hyperlink" Target="https://www.cookie.fun/agent/nogambling" TargetMode="External"/><Relationship Id="rId1624" Type="http://schemas.openxmlformats.org/officeDocument/2006/relationships/hyperlink" Target="https://www.cookie.fun/agent/kevin" TargetMode="External"/><Relationship Id="rId1831" Type="http://schemas.openxmlformats.org/officeDocument/2006/relationships/hyperlink" Target="https://www.cookie.fun/agent/passepartout" TargetMode="External"/><Relationship Id="rId4030" Type="http://schemas.openxmlformats.org/officeDocument/2006/relationships/hyperlink" Target="https://pbs.twimg.com/profile_images/1871338028641234945/Y_RE41IX_400x400.jpg" TargetMode="External"/><Relationship Id="rId3589" Type="http://schemas.openxmlformats.org/officeDocument/2006/relationships/hyperlink" Target="https://www.cookie.fun/agent/eolas-" TargetMode="External"/><Relationship Id="rId3796" Type="http://schemas.openxmlformats.org/officeDocument/2006/relationships/hyperlink" Target="https://pbs.twimg.com/profile_images/1862441663680929792/hFanBnG4_400x400.jpg" TargetMode="External"/><Relationship Id="rId2398" Type="http://schemas.openxmlformats.org/officeDocument/2006/relationships/hyperlink" Target="https://x.com/DeFiTracer/status/1879190467839197675" TargetMode="External"/><Relationship Id="rId3449" Type="http://schemas.openxmlformats.org/officeDocument/2006/relationships/hyperlink" Target="https://x.com/Jebus/status/1877476914266251340" TargetMode="External"/><Relationship Id="rId577" Type="http://schemas.openxmlformats.org/officeDocument/2006/relationships/hyperlink" Target="https://www.cookie.fun/chains/base.svg" TargetMode="External"/><Relationship Id="rId2258" Type="http://schemas.openxmlformats.org/officeDocument/2006/relationships/hyperlink" Target="https://www.cookie.fun/chains/base.svg" TargetMode="External"/><Relationship Id="rId3656" Type="http://schemas.openxmlformats.org/officeDocument/2006/relationships/hyperlink" Target="https://www.cookie.fun/agent/brain" TargetMode="External"/><Relationship Id="rId3863" Type="http://schemas.openxmlformats.org/officeDocument/2006/relationships/hyperlink" Target="https://pbs.twimg.com/profile_images/1754632022939611137/9Twew9N7_normal.jpg" TargetMode="External"/><Relationship Id="rId784" Type="http://schemas.openxmlformats.org/officeDocument/2006/relationships/hyperlink" Target="https://www.cookie.fun/agent/ailluminati" TargetMode="External"/><Relationship Id="rId991" Type="http://schemas.openxmlformats.org/officeDocument/2006/relationships/hyperlink" Target="https://www.cookie.fun/agent/dxai" TargetMode="External"/><Relationship Id="rId1067" Type="http://schemas.openxmlformats.org/officeDocument/2006/relationships/hyperlink" Target="https://pbs.twimg.com/profile_images/1868491478059700224/na-bpFr2_400x400.jpg" TargetMode="External"/><Relationship Id="rId2465" Type="http://schemas.openxmlformats.org/officeDocument/2006/relationships/hyperlink" Target="https://www.cookie.fun/chains/solana.svg" TargetMode="External"/><Relationship Id="rId2672" Type="http://schemas.openxmlformats.org/officeDocument/2006/relationships/hyperlink" Target="https://x.com/xiaweb3/status/1878217871534235796" TargetMode="External"/><Relationship Id="rId3309" Type="http://schemas.openxmlformats.org/officeDocument/2006/relationships/hyperlink" Target="https://x.com/bittybitbit86/status/1877360406630387770" TargetMode="External"/><Relationship Id="rId3516" Type="http://schemas.openxmlformats.org/officeDocument/2006/relationships/hyperlink" Target="https://www.cookie.fun/agent/leo" TargetMode="External"/><Relationship Id="rId3723" Type="http://schemas.openxmlformats.org/officeDocument/2006/relationships/hyperlink" Target="https://x.com/ljxie/status/1877815452929339456" TargetMode="External"/><Relationship Id="rId3930" Type="http://schemas.openxmlformats.org/officeDocument/2006/relationships/hyperlink" Target="https://pbs.twimg.com/profile_images/1876864126376431616/Da-EVPUA_400x400.jpg" TargetMode="External"/><Relationship Id="rId437" Type="http://schemas.openxmlformats.org/officeDocument/2006/relationships/hyperlink" Target="https://www.cookie.fun/agent/sauron" TargetMode="External"/><Relationship Id="rId644" Type="http://schemas.openxmlformats.org/officeDocument/2006/relationships/hyperlink" Target="https://pbs.twimg.com/profile_images/1863425255970107392/_kxBoHOa_400x400.jpg" TargetMode="External"/><Relationship Id="rId851" Type="http://schemas.openxmlformats.org/officeDocument/2006/relationships/hyperlink" Target="https://pbs.twimg.com/profile_images/1795997103769919488/g_2GY-dN_400x400.jpg" TargetMode="External"/><Relationship Id="rId1274" Type="http://schemas.openxmlformats.org/officeDocument/2006/relationships/hyperlink" Target="https://pbs.twimg.com/profile_images/1862101049684705281/AKuW7Wey_400x400.jpg" TargetMode="External"/><Relationship Id="rId1481" Type="http://schemas.openxmlformats.org/officeDocument/2006/relationships/hyperlink" Target="https://pbs.twimg.com/profile_images/1858694886012125184/rWEcMpXs_400x400.jpg" TargetMode="External"/><Relationship Id="rId2118" Type="http://schemas.openxmlformats.org/officeDocument/2006/relationships/hyperlink" Target="https://www.cookie.fun/chains/solana.svg" TargetMode="External"/><Relationship Id="rId2325" Type="http://schemas.openxmlformats.org/officeDocument/2006/relationships/hyperlink" Target="https://pbs.twimg.com/profile_images/1859616195797823488/qiLRzcjU_normal.jpg" TargetMode="External"/><Relationship Id="rId2532" Type="http://schemas.openxmlformats.org/officeDocument/2006/relationships/hyperlink" Target="https://x.com/ugliestduck/status/1877796175656742966" TargetMode="External"/><Relationship Id="rId504" Type="http://schemas.openxmlformats.org/officeDocument/2006/relationships/hyperlink" Target="https://pbs.twimg.com/profile_images/1861530427011297280/auEmIc2O_400x400.jpg" TargetMode="External"/><Relationship Id="rId711" Type="http://schemas.openxmlformats.org/officeDocument/2006/relationships/hyperlink" Target="https://www.cookie.fun/chains/solana.svg" TargetMode="External"/><Relationship Id="rId1134" Type="http://schemas.openxmlformats.org/officeDocument/2006/relationships/hyperlink" Target="https://www.cookie.fun/chains/solana.svg" TargetMode="External"/><Relationship Id="rId1341" Type="http://schemas.openxmlformats.org/officeDocument/2006/relationships/hyperlink" Target="https://www.cookie.fun/chains/solana.svg" TargetMode="External"/><Relationship Id="rId1201" Type="http://schemas.openxmlformats.org/officeDocument/2006/relationships/hyperlink" Target="https://www.cookie.fun/agent/zeregorl" TargetMode="External"/><Relationship Id="rId3099" Type="http://schemas.openxmlformats.org/officeDocument/2006/relationships/hyperlink" Target="https://www.cookie.fun/agent/gluteus-maximus" TargetMode="External"/><Relationship Id="rId3166" Type="http://schemas.openxmlformats.org/officeDocument/2006/relationships/hyperlink" Target="https://x.com/cecilia_hsueh/status/1879028063574606084" TargetMode="External"/><Relationship Id="rId3373" Type="http://schemas.openxmlformats.org/officeDocument/2006/relationships/hyperlink" Target="https://x.com/tyler/status/1877431903596196255" TargetMode="External"/><Relationship Id="rId3580" Type="http://schemas.openxmlformats.org/officeDocument/2006/relationships/hyperlink" Target="https://www.cookie.fun/chains/solana.svg" TargetMode="External"/><Relationship Id="rId294" Type="http://schemas.openxmlformats.org/officeDocument/2006/relationships/hyperlink" Target="https://www.cookie.fun/chains/ethereum.svg" TargetMode="External"/><Relationship Id="rId2182" Type="http://schemas.openxmlformats.org/officeDocument/2006/relationships/hyperlink" Target="https://www.cookie.fun/agent/dumped-coins-revived" TargetMode="External"/><Relationship Id="rId3026" Type="http://schemas.openxmlformats.org/officeDocument/2006/relationships/hyperlink" Target="https://www.cookie.fun/chains/solana.svg" TargetMode="External"/><Relationship Id="rId3233" Type="http://schemas.openxmlformats.org/officeDocument/2006/relationships/hyperlink" Target="https://x.com/worldoffisher/status/1878033818512453872" TargetMode="External"/><Relationship Id="rId154" Type="http://schemas.openxmlformats.org/officeDocument/2006/relationships/hyperlink" Target="https://pbs.twimg.com/profile_images/1859765919024594944/PzKqHthZ_400x400.jpg" TargetMode="External"/><Relationship Id="rId361" Type="http://schemas.openxmlformats.org/officeDocument/2006/relationships/hyperlink" Target="https://www.cookie.fun/agent/bdj" TargetMode="External"/><Relationship Id="rId2042" Type="http://schemas.openxmlformats.org/officeDocument/2006/relationships/hyperlink" Target="https://pbs.twimg.com/profile_images/1876153727742332929/nrtJRtv8_400x400.jpg" TargetMode="External"/><Relationship Id="rId3440" Type="http://schemas.openxmlformats.org/officeDocument/2006/relationships/hyperlink" Target="https://x.com/robbytopgun/status/1877785225935175928" TargetMode="External"/><Relationship Id="rId2999" Type="http://schemas.openxmlformats.org/officeDocument/2006/relationships/hyperlink" Target="https://x.com/minstrell_/status/1877018570657255424" TargetMode="External"/><Relationship Id="rId3300" Type="http://schemas.openxmlformats.org/officeDocument/2006/relationships/hyperlink" Target="https://x.com/BiteyeCN/status/1877249880021942569" TargetMode="External"/><Relationship Id="rId221" Type="http://schemas.openxmlformats.org/officeDocument/2006/relationships/hyperlink" Target="https://www.cookie.fun/agent/botchi" TargetMode="External"/><Relationship Id="rId2859" Type="http://schemas.openxmlformats.org/officeDocument/2006/relationships/hyperlink" Target="https://www.cookie.fun/chains/solana.svg" TargetMode="External"/><Relationship Id="rId1668" Type="http://schemas.openxmlformats.org/officeDocument/2006/relationships/hyperlink" Target="https://www.cookie.fun/chains/solana.svg" TargetMode="External"/><Relationship Id="rId1875" Type="http://schemas.openxmlformats.org/officeDocument/2006/relationships/hyperlink" Target="https://www.cookie.fun/chains/base.svg" TargetMode="External"/><Relationship Id="rId2719" Type="http://schemas.openxmlformats.org/officeDocument/2006/relationships/hyperlink" Target="https://pbs.twimg.com/profile_images/1654487711653265410/9Fzvqbhr_normal.jpg" TargetMode="External"/><Relationship Id="rId4074" Type="http://schemas.openxmlformats.org/officeDocument/2006/relationships/hyperlink" Target="https://pbs.twimg.com/profile_images/1853731561981755392/2_OMXB2L_400x400.jpg" TargetMode="External"/><Relationship Id="rId1528" Type="http://schemas.openxmlformats.org/officeDocument/2006/relationships/hyperlink" Target="https://www.cookie.fun/agent/health" TargetMode="External"/><Relationship Id="rId2926" Type="http://schemas.openxmlformats.org/officeDocument/2006/relationships/hyperlink" Target="https://x.com/Alyweb3/status/1878879668427960679" TargetMode="External"/><Relationship Id="rId3090" Type="http://schemas.openxmlformats.org/officeDocument/2006/relationships/hyperlink" Target="https://www.cookie.fun/chains/solana.svg" TargetMode="External"/><Relationship Id="rId4141" Type="http://schemas.openxmlformats.org/officeDocument/2006/relationships/hyperlink" Target="https://www.cookie.fun/chains/base.svg" TargetMode="External"/><Relationship Id="rId1735" Type="http://schemas.openxmlformats.org/officeDocument/2006/relationships/hyperlink" Target="https://www.cookie.fun/agent/agent-cipher" TargetMode="External"/><Relationship Id="rId1942" Type="http://schemas.openxmlformats.org/officeDocument/2006/relationships/hyperlink" Target="https://www.cookie.fun/agent/creatorhat" TargetMode="External"/><Relationship Id="rId4001" Type="http://schemas.openxmlformats.org/officeDocument/2006/relationships/hyperlink" Target="https://pbs.twimg.com/profile_images/1875271016336752640/Q0r4ZU0A_400x400.jpg" TargetMode="External"/><Relationship Id="rId27" Type="http://schemas.openxmlformats.org/officeDocument/2006/relationships/hyperlink" Target="https://pbs.twimg.com/profile_images/1868081615198392320/p7pUbg19_400x400.jpg" TargetMode="External"/><Relationship Id="rId1802" Type="http://schemas.openxmlformats.org/officeDocument/2006/relationships/hyperlink" Target="https://pbs.twimg.com/profile_images/1874872356843249664/GhNKM7Xb_400x400.jpg" TargetMode="External"/><Relationship Id="rId3767" Type="http://schemas.openxmlformats.org/officeDocument/2006/relationships/hyperlink" Target="https://pbs.twimg.com/profile_images/1852025857205760000/dJDO9MBe_400x400.png" TargetMode="External"/><Relationship Id="rId3974" Type="http://schemas.openxmlformats.org/officeDocument/2006/relationships/hyperlink" Target="https://pbs.twimg.com/profile_images/1864751521365180416/5_9YkSvu_400x400.jpg" TargetMode="External"/><Relationship Id="rId688" Type="http://schemas.openxmlformats.org/officeDocument/2006/relationships/hyperlink" Target="https://www.cookie.fun/agent/shadowai" TargetMode="External"/><Relationship Id="rId895" Type="http://schemas.openxmlformats.org/officeDocument/2006/relationships/hyperlink" Target="https://www.cookie.fun/agent/shadow-whisperer" TargetMode="External"/><Relationship Id="rId2369" Type="http://schemas.openxmlformats.org/officeDocument/2006/relationships/hyperlink" Target="https://www.cookie.fun/chains/solana.svg" TargetMode="External"/><Relationship Id="rId2576" Type="http://schemas.openxmlformats.org/officeDocument/2006/relationships/hyperlink" Target="https://x.com/SmallCapScience/status/1877109056218738704" TargetMode="External"/><Relationship Id="rId2783" Type="http://schemas.openxmlformats.org/officeDocument/2006/relationships/hyperlink" Target="https://x.com/SolanaCoach/status/1878716444420034639" TargetMode="External"/><Relationship Id="rId2990" Type="http://schemas.openxmlformats.org/officeDocument/2006/relationships/hyperlink" Target="https://www.cookie.fun/chains/base.svg" TargetMode="External"/><Relationship Id="rId3627" Type="http://schemas.openxmlformats.org/officeDocument/2006/relationships/hyperlink" Target="https://x.com/jvb_xyz/status/1877745342373830866" TargetMode="External"/><Relationship Id="rId3834" Type="http://schemas.openxmlformats.org/officeDocument/2006/relationships/hyperlink" Target="https://www.cookie.fun/chains/solana.svg" TargetMode="External"/><Relationship Id="rId548" Type="http://schemas.openxmlformats.org/officeDocument/2006/relationships/hyperlink" Target="https://www.cookie.fun/agent/crashai" TargetMode="External"/><Relationship Id="rId755" Type="http://schemas.openxmlformats.org/officeDocument/2006/relationships/hyperlink" Target="https://pbs.twimg.com/profile_images/1860418851420192768/msnreTFf_400x400.jpg" TargetMode="External"/><Relationship Id="rId962" Type="http://schemas.openxmlformats.org/officeDocument/2006/relationships/hyperlink" Target="https://pbs.twimg.com/profile_images/1862926810461220866/1pZTFjek_400x400.jpg" TargetMode="External"/><Relationship Id="rId1178" Type="http://schemas.openxmlformats.org/officeDocument/2006/relationships/hyperlink" Target="https://pbs.twimg.com/profile_images/1864260744616738816/intmddMo_400x400.jpg" TargetMode="External"/><Relationship Id="rId1385" Type="http://schemas.openxmlformats.org/officeDocument/2006/relationships/hyperlink" Target="https://pbs.twimg.com/profile_images/1859441505653407744/aKr1QngS_400x400.jpg" TargetMode="External"/><Relationship Id="rId1592" Type="http://schemas.openxmlformats.org/officeDocument/2006/relationships/hyperlink" Target="https://pbs.twimg.com/profile_images/1858345773395492864/j7MxJ7wV_400x400.jpg" TargetMode="External"/><Relationship Id="rId2229" Type="http://schemas.openxmlformats.org/officeDocument/2006/relationships/hyperlink" Target="https://www.cookie.fun/chains/solana.svg" TargetMode="External"/><Relationship Id="rId2436" Type="http://schemas.openxmlformats.org/officeDocument/2006/relationships/hyperlink" Target="https://x.com/Degen__Ape__/status/1877643177542201665" TargetMode="External"/><Relationship Id="rId2643" Type="http://schemas.openxmlformats.org/officeDocument/2006/relationships/hyperlink" Target="https://www.cookie.fun/agent/vera" TargetMode="External"/><Relationship Id="rId2850" Type="http://schemas.openxmlformats.org/officeDocument/2006/relationships/hyperlink" Target="https://x.com/charles48011843/status/1877237509899563382" TargetMode="External"/><Relationship Id="rId91" Type="http://schemas.openxmlformats.org/officeDocument/2006/relationships/hyperlink" Target="https://www.cookie.fun/chains/base.svg" TargetMode="External"/><Relationship Id="rId408" Type="http://schemas.openxmlformats.org/officeDocument/2006/relationships/hyperlink" Target="https://www.cookie.fun/chains/solana.svg" TargetMode="External"/><Relationship Id="rId615" Type="http://schemas.openxmlformats.org/officeDocument/2006/relationships/hyperlink" Target="https://www.cookie.fun/chains/solana.svg" TargetMode="External"/><Relationship Id="rId822" Type="http://schemas.openxmlformats.org/officeDocument/2006/relationships/hyperlink" Target="https://www.cookie.fun/chains/base.svg" TargetMode="External"/><Relationship Id="rId1038" Type="http://schemas.openxmlformats.org/officeDocument/2006/relationships/hyperlink" Target="https://www.cookie.fun/chains/solana.svg" TargetMode="External"/><Relationship Id="rId1245" Type="http://schemas.openxmlformats.org/officeDocument/2006/relationships/hyperlink" Target="https://www.cookie.fun/chains/solana.svg" TargetMode="External"/><Relationship Id="rId1452" Type="http://schemas.openxmlformats.org/officeDocument/2006/relationships/hyperlink" Target="https://www.cookie.fun/chains/solana.svg" TargetMode="External"/><Relationship Id="rId2503" Type="http://schemas.openxmlformats.org/officeDocument/2006/relationships/hyperlink" Target="https://pbs.twimg.com/profile_images/1874983006630195200/zQ6Vsyhl_normal.jpg" TargetMode="External"/><Relationship Id="rId3901" Type="http://schemas.openxmlformats.org/officeDocument/2006/relationships/hyperlink" Target="https://www.cookie.fun/chains/solana.svg" TargetMode="External"/><Relationship Id="rId1105" Type="http://schemas.openxmlformats.org/officeDocument/2006/relationships/hyperlink" Target="https://www.cookie.fun/agent/mtrx" TargetMode="External"/><Relationship Id="rId1312" Type="http://schemas.openxmlformats.org/officeDocument/2006/relationships/hyperlink" Target="https://www.cookie.fun/agent/niggerus" TargetMode="External"/><Relationship Id="rId2710" Type="http://schemas.openxmlformats.org/officeDocument/2006/relationships/hyperlink" Target="https://x.com/0xSleuth_/status/1878824986296852746" TargetMode="External"/><Relationship Id="rId3277" Type="http://schemas.openxmlformats.org/officeDocument/2006/relationships/hyperlink" Target="https://x.com/tradingtulips/status/1877922346389901767" TargetMode="External"/><Relationship Id="rId198" Type="http://schemas.openxmlformats.org/officeDocument/2006/relationships/hyperlink" Target="https://www.cookie.fun/agent/gigabrain" TargetMode="External"/><Relationship Id="rId2086" Type="http://schemas.openxmlformats.org/officeDocument/2006/relationships/hyperlink" Target="https://www.cookie.fun/agent/moonswipe-ai" TargetMode="External"/><Relationship Id="rId3484" Type="http://schemas.openxmlformats.org/officeDocument/2006/relationships/hyperlink" Target="https://pbs.twimg.com/profile_images/1862890658907701248/AkXitOqv_400x400.jpg" TargetMode="External"/><Relationship Id="rId3691" Type="http://schemas.openxmlformats.org/officeDocument/2006/relationships/hyperlink" Target="https://pbs.twimg.com/profile_images/1861021031780999168/kva-vGKf_400x400.jpg" TargetMode="External"/><Relationship Id="rId2293" Type="http://schemas.openxmlformats.org/officeDocument/2006/relationships/hyperlink" Target="https://pbs.twimg.com/profile_images/1742415759064862720/hhhPE87f_normal.jpg" TargetMode="External"/><Relationship Id="rId3137" Type="http://schemas.openxmlformats.org/officeDocument/2006/relationships/hyperlink" Target="https://x.com/XDeGods/status/1878933749586600180" TargetMode="External"/><Relationship Id="rId3344" Type="http://schemas.openxmlformats.org/officeDocument/2006/relationships/hyperlink" Target="https://pbs.twimg.com/profile_images/1878136072775118848/kfqFBXgr_normal.jpg" TargetMode="External"/><Relationship Id="rId3551" Type="http://schemas.openxmlformats.org/officeDocument/2006/relationships/hyperlink" Target="https://x.com/wired0X/status/1877889082187219320" TargetMode="External"/><Relationship Id="rId265" Type="http://schemas.openxmlformats.org/officeDocument/2006/relationships/hyperlink" Target="https://www.cookie.fun/agent/sydney" TargetMode="External"/><Relationship Id="rId472" Type="http://schemas.openxmlformats.org/officeDocument/2006/relationships/hyperlink" Target="https://www.cookie.fun/chains/solana.svg" TargetMode="External"/><Relationship Id="rId2153" Type="http://schemas.openxmlformats.org/officeDocument/2006/relationships/hyperlink" Target="https://www.cookie.fun/chains/solana.svg" TargetMode="External"/><Relationship Id="rId2360" Type="http://schemas.openxmlformats.org/officeDocument/2006/relationships/hyperlink" Target="https://x.com/gammichan/status/1878606387909181897" TargetMode="External"/><Relationship Id="rId3204" Type="http://schemas.openxmlformats.org/officeDocument/2006/relationships/hyperlink" Target="https://www.cookie.fun/agent/keke" TargetMode="External"/><Relationship Id="rId3411" Type="http://schemas.openxmlformats.org/officeDocument/2006/relationships/hyperlink" Target="https://x.com/lookonchain/status/1878492820195131545" TargetMode="External"/><Relationship Id="rId125" Type="http://schemas.openxmlformats.org/officeDocument/2006/relationships/hyperlink" Target="https://x.com/yianak1s/status/1879155971756568761" TargetMode="External"/><Relationship Id="rId332" Type="http://schemas.openxmlformats.org/officeDocument/2006/relationships/hyperlink" Target="https://pbs.twimg.com/profile_images/1857921390998904832/N0swYa52_400x400.jpg" TargetMode="External"/><Relationship Id="rId2013" Type="http://schemas.openxmlformats.org/officeDocument/2006/relationships/hyperlink" Target="https://www.cookie.fun/chains/solana.svg" TargetMode="External"/><Relationship Id="rId2220" Type="http://schemas.openxmlformats.org/officeDocument/2006/relationships/hyperlink" Target="https://www.cookie.fun/agent/wzrd-tech" TargetMode="External"/><Relationship Id="rId1779" Type="http://schemas.openxmlformats.org/officeDocument/2006/relationships/hyperlink" Target="https://www.cookie.fun/chains/solana.svg" TargetMode="External"/><Relationship Id="rId1986" Type="http://schemas.openxmlformats.org/officeDocument/2006/relationships/hyperlink" Target="https://www.cookie.fun/chains/solana.svg" TargetMode="External"/><Relationship Id="rId4045" Type="http://schemas.openxmlformats.org/officeDocument/2006/relationships/hyperlink" Target="https://www.cookie.fun/agent/bad" TargetMode="External"/><Relationship Id="rId1639" Type="http://schemas.openxmlformats.org/officeDocument/2006/relationships/hyperlink" Target="https://www.cookie.fun/agent/vitailik" TargetMode="External"/><Relationship Id="rId1846" Type="http://schemas.openxmlformats.org/officeDocument/2006/relationships/hyperlink" Target="https://www.cookie.fun/agent/kekius-maximus" TargetMode="External"/><Relationship Id="rId3061" Type="http://schemas.openxmlformats.org/officeDocument/2006/relationships/hyperlink" Target="https://www.cookie.fun/chains/base.svg" TargetMode="External"/><Relationship Id="rId1706" Type="http://schemas.openxmlformats.org/officeDocument/2006/relationships/hyperlink" Target="https://pbs.twimg.com/profile_images/1873907506705297409/IiE3mA3q_400x400.jpg" TargetMode="External"/><Relationship Id="rId1913" Type="http://schemas.openxmlformats.org/officeDocument/2006/relationships/hyperlink" Target="https://pbs.twimg.com/profile_images/1466766061488025601/8jx0UE9C_400x400.jpg" TargetMode="External"/><Relationship Id="rId4112" Type="http://schemas.openxmlformats.org/officeDocument/2006/relationships/hyperlink" Target="https://x.com/GodsUnchained/status/1877525811290415196" TargetMode="External"/><Relationship Id="rId3878" Type="http://schemas.openxmlformats.org/officeDocument/2006/relationships/hyperlink" Target="https://x.com/CapoXXIII/status/1877155052713902173" TargetMode="External"/><Relationship Id="rId799" Type="http://schemas.openxmlformats.org/officeDocument/2006/relationships/hyperlink" Target="https://www.cookie.fun/agent/surreal-agent" TargetMode="External"/><Relationship Id="rId2687" Type="http://schemas.openxmlformats.org/officeDocument/2006/relationships/hyperlink" Target="https://pbs.twimg.com/profile_images/1743560221404905472/59eAYLjd_normal.jpg" TargetMode="External"/><Relationship Id="rId2894" Type="http://schemas.openxmlformats.org/officeDocument/2006/relationships/hyperlink" Target="https://www.cookie.fun/chains/solana.svg" TargetMode="External"/><Relationship Id="rId3738" Type="http://schemas.openxmlformats.org/officeDocument/2006/relationships/hyperlink" Target="https://pbs.twimg.com/profile_images/1836408905645117440/6cRz_BbT_normal.jpg" TargetMode="External"/><Relationship Id="rId659" Type="http://schemas.openxmlformats.org/officeDocument/2006/relationships/hyperlink" Target="https://pbs.twimg.com/profile_images/1865007275607285760/7IEcf0LN_400x400.jpg" TargetMode="External"/><Relationship Id="rId866" Type="http://schemas.openxmlformats.org/officeDocument/2006/relationships/hyperlink" Target="https://pbs.twimg.com/profile_images/1862983234444808193/7PMscex6_400x400.jpg" TargetMode="External"/><Relationship Id="rId1289" Type="http://schemas.openxmlformats.org/officeDocument/2006/relationships/hyperlink" Target="https://pbs.twimg.com/profile_images/1872229315401875456/SVzSOVWc_400x400.jpg" TargetMode="External"/><Relationship Id="rId1496" Type="http://schemas.openxmlformats.org/officeDocument/2006/relationships/hyperlink" Target="https://pbs.twimg.com/profile_images/1858651021456928768/BkjPhRpX_400x400.jpg" TargetMode="External"/><Relationship Id="rId2547" Type="http://schemas.openxmlformats.org/officeDocument/2006/relationships/hyperlink" Target="https://www.cookie.fun/agent/bully" TargetMode="External"/><Relationship Id="rId3945" Type="http://schemas.openxmlformats.org/officeDocument/2006/relationships/hyperlink" Target="https://x.com/IRA_therabbit/status/1878440206631637201" TargetMode="External"/><Relationship Id="rId519" Type="http://schemas.openxmlformats.org/officeDocument/2006/relationships/hyperlink" Target="https://pbs.twimg.com/profile_images/1860027624208171008/K9kJYW5B_400x400.jpg" TargetMode="External"/><Relationship Id="rId1149" Type="http://schemas.openxmlformats.org/officeDocument/2006/relationships/hyperlink" Target="https://www.cookie.fun/chains/solana.svg" TargetMode="External"/><Relationship Id="rId1356" Type="http://schemas.openxmlformats.org/officeDocument/2006/relationships/hyperlink" Target="https://www.cookie.fun/chains/solana.svg" TargetMode="External"/><Relationship Id="rId2754" Type="http://schemas.openxmlformats.org/officeDocument/2006/relationships/hyperlink" Target="https://x.com/egyptk6/status/1877364157747704141" TargetMode="External"/><Relationship Id="rId2961" Type="http://schemas.openxmlformats.org/officeDocument/2006/relationships/hyperlink" Target="https://pbs.twimg.com/profile_images/1868157932564877312/aYZ3InKy_normal.jpg" TargetMode="External"/><Relationship Id="rId3805" Type="http://schemas.openxmlformats.org/officeDocument/2006/relationships/hyperlink" Target="https://www.cookie.fun/agent/homo-memetus" TargetMode="External"/><Relationship Id="rId726" Type="http://schemas.openxmlformats.org/officeDocument/2006/relationships/hyperlink" Target="https://www.cookie.fun/chains/solana.svg" TargetMode="External"/><Relationship Id="rId933" Type="http://schemas.openxmlformats.org/officeDocument/2006/relationships/hyperlink" Target="https://www.cookie.fun/chains/base.svg" TargetMode="External"/><Relationship Id="rId1009" Type="http://schemas.openxmlformats.org/officeDocument/2006/relationships/hyperlink" Target="https://www.cookie.fun/agent/employment" TargetMode="External"/><Relationship Id="rId1563" Type="http://schemas.openxmlformats.org/officeDocument/2006/relationships/hyperlink" Target="https://www.cookie.fun/chains/solana.svg" TargetMode="External"/><Relationship Id="rId1770" Type="http://schemas.openxmlformats.org/officeDocument/2006/relationships/hyperlink" Target="https://www.cookie.fun/chains/base.svg" TargetMode="External"/><Relationship Id="rId2407" Type="http://schemas.openxmlformats.org/officeDocument/2006/relationships/hyperlink" Target="https://pbs.twimg.com/profile_images/1843110137256452096/08qnoVrZ_normal.jpg" TargetMode="External"/><Relationship Id="rId2614" Type="http://schemas.openxmlformats.org/officeDocument/2006/relationships/hyperlink" Target="https://x.com/yellowpantherx/status/1877792383779131452" TargetMode="External"/><Relationship Id="rId2821" Type="http://schemas.openxmlformats.org/officeDocument/2006/relationships/hyperlink" Target="https://x.com/cryptomanran/status/1877707118553268721" TargetMode="External"/><Relationship Id="rId62" Type="http://schemas.openxmlformats.org/officeDocument/2006/relationships/hyperlink" Target="https://pbs.twimg.com/profile_images/1864350621605761024/XwiavfeS_400x400.jpg" TargetMode="External"/><Relationship Id="rId1216" Type="http://schemas.openxmlformats.org/officeDocument/2006/relationships/hyperlink" Target="https://www.cookie.fun/agent/poppy" TargetMode="External"/><Relationship Id="rId1423" Type="http://schemas.openxmlformats.org/officeDocument/2006/relationships/hyperlink" Target="https://www.cookie.fun/agent/hudai" TargetMode="External"/><Relationship Id="rId1630" Type="http://schemas.openxmlformats.org/officeDocument/2006/relationships/hyperlink" Target="https://www.cookie.fun/agent/eon" TargetMode="External"/><Relationship Id="rId3388" Type="http://schemas.openxmlformats.org/officeDocument/2006/relationships/hyperlink" Target="https://pbs.twimg.com/profile_images/1775346225019072513/gWL-bbsT_normal.jpg" TargetMode="External"/><Relationship Id="rId3595" Type="http://schemas.openxmlformats.org/officeDocument/2006/relationships/hyperlink" Target="https://x.com/dabit3/status/1878622116381171741" TargetMode="External"/><Relationship Id="rId2197" Type="http://schemas.openxmlformats.org/officeDocument/2006/relationships/hyperlink" Target="https://pbs.twimg.com/profile_images/1865077619722719236/QbcGcNTc_400x400.jpg" TargetMode="External"/><Relationship Id="rId3248" Type="http://schemas.openxmlformats.org/officeDocument/2006/relationships/hyperlink" Target="https://x.com/Sabrx0/status/1878110309220487591" TargetMode="External"/><Relationship Id="rId3455" Type="http://schemas.openxmlformats.org/officeDocument/2006/relationships/hyperlink" Target="https://pbs.twimg.com/profile_images/1865033212696707072/-yQUy5WR_400x400.jpg" TargetMode="External"/><Relationship Id="rId3662" Type="http://schemas.openxmlformats.org/officeDocument/2006/relationships/hyperlink" Target="https://pbs.twimg.com/profile_images/1713979783921713152/ls7wS7vf_400x400.jpg" TargetMode="External"/><Relationship Id="rId169" Type="http://schemas.openxmlformats.org/officeDocument/2006/relationships/hyperlink" Target="https://pbs.twimg.com/profile_images/1854525122729607182/UIJK6jTy_400x400.jpg" TargetMode="External"/><Relationship Id="rId376" Type="http://schemas.openxmlformats.org/officeDocument/2006/relationships/hyperlink" Target="https://www.cookie.fun/agent/priast" TargetMode="External"/><Relationship Id="rId583" Type="http://schemas.openxmlformats.org/officeDocument/2006/relationships/hyperlink" Target="https://www.cookie.fun/chains/base.svg" TargetMode="External"/><Relationship Id="rId790" Type="http://schemas.openxmlformats.org/officeDocument/2006/relationships/hyperlink" Target="https://www.cookie.fun/agent/multaicoin-capital" TargetMode="External"/><Relationship Id="rId2057" Type="http://schemas.openxmlformats.org/officeDocument/2006/relationships/hyperlink" Target="https://pbs.twimg.com/profile_images/1870861747906846720/GGJYkRCK_400x400.jpg" TargetMode="External"/><Relationship Id="rId2264" Type="http://schemas.openxmlformats.org/officeDocument/2006/relationships/hyperlink" Target="https://x.com/JoeyMooose/status/1877883122190012904" TargetMode="External"/><Relationship Id="rId2471" Type="http://schemas.openxmlformats.org/officeDocument/2006/relationships/hyperlink" Target="https://pbs.twimg.com/profile_images/1564655062420529154/MotsbUai_normal.jpg" TargetMode="External"/><Relationship Id="rId3108" Type="http://schemas.openxmlformats.org/officeDocument/2006/relationships/hyperlink" Target="https://x.com/thegaboeth/status/1878758253242290598" TargetMode="External"/><Relationship Id="rId3315" Type="http://schemas.openxmlformats.org/officeDocument/2006/relationships/hyperlink" Target="https://pbs.twimg.com/profile_images/1484675718227374084/KwlUzuE3_normal.jpg" TargetMode="External"/><Relationship Id="rId3522" Type="http://schemas.openxmlformats.org/officeDocument/2006/relationships/hyperlink" Target="https://pbs.twimg.com/profile_images/1861067699628986368/U5K_0wia_normal.jpg" TargetMode="External"/><Relationship Id="rId236" Type="http://schemas.openxmlformats.org/officeDocument/2006/relationships/hyperlink" Target="https://www.cookie.fun/agent/pochita" TargetMode="External"/><Relationship Id="rId443" Type="http://schemas.openxmlformats.org/officeDocument/2006/relationships/hyperlink" Target="https://www.cookie.fun/agent/tao" TargetMode="External"/><Relationship Id="rId650" Type="http://schemas.openxmlformats.org/officeDocument/2006/relationships/hyperlink" Target="https://pbs.twimg.com/profile_images/1876957832425222144/gr97yEVM_400x400.jpg" TargetMode="External"/><Relationship Id="rId1073" Type="http://schemas.openxmlformats.org/officeDocument/2006/relationships/hyperlink" Target="https://pbs.twimg.com/profile_images/1868801693162393600/KPwBSWEV_400x400.jpg" TargetMode="External"/><Relationship Id="rId1280" Type="http://schemas.openxmlformats.org/officeDocument/2006/relationships/hyperlink" Target="https://pbs.twimg.com/profile_images/1861861240395407360/n3OO9D_9_400x400.png" TargetMode="External"/><Relationship Id="rId2124" Type="http://schemas.openxmlformats.org/officeDocument/2006/relationships/hyperlink" Target="https://pbs.twimg.com/profile_images/1870920364059938816/Q1Sys9DT_400x400.jpg" TargetMode="External"/><Relationship Id="rId2331" Type="http://schemas.openxmlformats.org/officeDocument/2006/relationships/hyperlink" Target="https://www.cookie.fun/agent/zerebro" TargetMode="External"/><Relationship Id="rId303" Type="http://schemas.openxmlformats.org/officeDocument/2006/relationships/hyperlink" Target="https://www.cookie.fun/chains/solana.svg" TargetMode="External"/><Relationship Id="rId1140" Type="http://schemas.openxmlformats.org/officeDocument/2006/relationships/hyperlink" Target="https://www.cookie.fun/chains/solana.svg" TargetMode="External"/><Relationship Id="rId4089" Type="http://schemas.openxmlformats.org/officeDocument/2006/relationships/hyperlink" Target="https://pbs.twimg.com/profile_images/1860558233833988096/pdWWsdsv_400x400.jpg" TargetMode="External"/><Relationship Id="rId510" Type="http://schemas.openxmlformats.org/officeDocument/2006/relationships/hyperlink" Target="https://pbs.twimg.com/profile_images/1863173083273539585/FTJyEbxd_400x400.jpg" TargetMode="External"/><Relationship Id="rId1000" Type="http://schemas.openxmlformats.org/officeDocument/2006/relationships/hyperlink" Target="https://www.cookie.fun/agent/agent-legatao" TargetMode="External"/><Relationship Id="rId1957" Type="http://schemas.openxmlformats.org/officeDocument/2006/relationships/hyperlink" Target="https://www.cookie.fun/agent/ruckus" TargetMode="External"/><Relationship Id="rId4156" Type="http://schemas.openxmlformats.org/officeDocument/2006/relationships/hyperlink" Target="https://pbs.twimg.com/profile_images/1855193730426290176/UyV2mnPm_normal.jpg" TargetMode="External"/><Relationship Id="rId1817" Type="http://schemas.openxmlformats.org/officeDocument/2006/relationships/hyperlink" Target="https://pbs.twimg.com/profile_images/1874821118323830784/PTtuf2HT_400x400.jpg" TargetMode="External"/><Relationship Id="rId3172" Type="http://schemas.openxmlformats.org/officeDocument/2006/relationships/hyperlink" Target="https://x.com/gammichan/status/1878931440790052908" TargetMode="External"/><Relationship Id="rId4016" Type="http://schemas.openxmlformats.org/officeDocument/2006/relationships/hyperlink" Target="https://pbs.twimg.com/profile_images/1876371070489387008/YgIVG_BS_400x400.jpg" TargetMode="External"/><Relationship Id="rId3032" Type="http://schemas.openxmlformats.org/officeDocument/2006/relationships/hyperlink" Target="https://pbs.twimg.com/profile_images/1830786921200521216/ei_obfWy_normal.jpg" TargetMode="External"/><Relationship Id="rId160" Type="http://schemas.openxmlformats.org/officeDocument/2006/relationships/hyperlink" Target="https://pbs.twimg.com/profile_images/1856088412379373568/kDC7Tu8i_400x400.jpg" TargetMode="External"/><Relationship Id="rId3989" Type="http://schemas.openxmlformats.org/officeDocument/2006/relationships/hyperlink" Target="https://pbs.twimg.com/profile_images/1866650369528311808/dQG38Luq_400x400.jpg" TargetMode="External"/><Relationship Id="rId2798" Type="http://schemas.openxmlformats.org/officeDocument/2006/relationships/hyperlink" Target="https://www.cookie.fun/agent/otto-the-intern-of-botto" TargetMode="External"/><Relationship Id="rId3849" Type="http://schemas.openxmlformats.org/officeDocument/2006/relationships/hyperlink" Target="https://www.cookie.fun/chains/solana.svg" TargetMode="External"/><Relationship Id="rId977" Type="http://schemas.openxmlformats.org/officeDocument/2006/relationships/hyperlink" Target="https://pbs.twimg.com/profile_images/1873151178604699648/KNjW1E6E_400x400.jpg" TargetMode="External"/><Relationship Id="rId2658" Type="http://schemas.openxmlformats.org/officeDocument/2006/relationships/hyperlink" Target="https://x.com/Flowslikeosmo/status/1878629066519294308" TargetMode="External"/><Relationship Id="rId2865" Type="http://schemas.openxmlformats.org/officeDocument/2006/relationships/hyperlink" Target="https://pbs.twimg.com/profile_images/1848503159624257538/Dodj7qqx_normal.jpg" TargetMode="External"/><Relationship Id="rId3709" Type="http://schemas.openxmlformats.org/officeDocument/2006/relationships/hyperlink" Target="https://pbs.twimg.com/profile_images/1857872843268108288/WsxxIm5g_normal.jpg" TargetMode="External"/><Relationship Id="rId3916" Type="http://schemas.openxmlformats.org/officeDocument/2006/relationships/hyperlink" Target="https://www.cookie.fun/chains/solana.svg" TargetMode="External"/><Relationship Id="rId4080" Type="http://schemas.openxmlformats.org/officeDocument/2006/relationships/hyperlink" Target="https://www.cookie.fun/chains/solana.svg" TargetMode="External"/><Relationship Id="rId837" Type="http://schemas.openxmlformats.org/officeDocument/2006/relationships/hyperlink" Target="https://www.cookie.fun/chains/base.svg" TargetMode="External"/><Relationship Id="rId1467" Type="http://schemas.openxmlformats.org/officeDocument/2006/relationships/hyperlink" Target="https://www.cookie.fun/chains/solana.svg" TargetMode="External"/><Relationship Id="rId1674" Type="http://schemas.openxmlformats.org/officeDocument/2006/relationships/hyperlink" Target="https://www.cookie.fun/chains/solana.svg" TargetMode="External"/><Relationship Id="rId1881" Type="http://schemas.openxmlformats.org/officeDocument/2006/relationships/hyperlink" Target="https://www.cookie.fun/chains/base.svg" TargetMode="External"/><Relationship Id="rId2518" Type="http://schemas.openxmlformats.org/officeDocument/2006/relationships/hyperlink" Target="https://x.com/SherifDefi/status/1878827180081443013" TargetMode="External"/><Relationship Id="rId2725" Type="http://schemas.openxmlformats.org/officeDocument/2006/relationships/hyperlink" Target="https://pbs.twimg.com/profile_images/1711456639990050816/XeYR609M_normal.jpg" TargetMode="External"/><Relationship Id="rId2932" Type="http://schemas.openxmlformats.org/officeDocument/2006/relationships/hyperlink" Target="https://pbs.twimg.com/profile_images/1863644428541497344/7heoPSyN_400x400.jpg" TargetMode="External"/><Relationship Id="rId904" Type="http://schemas.openxmlformats.org/officeDocument/2006/relationships/hyperlink" Target="https://www.cookie.fun/agent/dataport-navigator" TargetMode="External"/><Relationship Id="rId1327" Type="http://schemas.openxmlformats.org/officeDocument/2006/relationships/hyperlink" Target="https://www.cookie.fun/agent/tenet" TargetMode="External"/><Relationship Id="rId1534" Type="http://schemas.openxmlformats.org/officeDocument/2006/relationships/hyperlink" Target="https://www.cookie.fun/agent/cwivez" TargetMode="External"/><Relationship Id="rId1741" Type="http://schemas.openxmlformats.org/officeDocument/2006/relationships/hyperlink" Target="https://www.cookie.fun/agent/docs" TargetMode="External"/><Relationship Id="rId33" Type="http://schemas.openxmlformats.org/officeDocument/2006/relationships/hyperlink" Target="https://pbs.twimg.com/profile_images/1862352519873089536/oo9onRfL_400x400.jpg" TargetMode="External"/><Relationship Id="rId1601" Type="http://schemas.openxmlformats.org/officeDocument/2006/relationships/hyperlink" Target="https://pbs.twimg.com/profile_images/1858340538681810944/cTt6d37n_400x400.jpg" TargetMode="External"/><Relationship Id="rId3499" Type="http://schemas.openxmlformats.org/officeDocument/2006/relationships/hyperlink" Target="https://pbs.twimg.com/profile_images/1654899568222298112/lt03BIYw_normal.jpg" TargetMode="External"/><Relationship Id="rId3359" Type="http://schemas.openxmlformats.org/officeDocument/2006/relationships/hyperlink" Target="https://www.cookie.fun/chains/base.svg" TargetMode="External"/><Relationship Id="rId3566" Type="http://schemas.openxmlformats.org/officeDocument/2006/relationships/hyperlink" Target="https://www.cookie.fun/agent/gemach" TargetMode="External"/><Relationship Id="rId487" Type="http://schemas.openxmlformats.org/officeDocument/2006/relationships/hyperlink" Target="https://www.cookie.fun/chains/solana.svg" TargetMode="External"/><Relationship Id="rId694" Type="http://schemas.openxmlformats.org/officeDocument/2006/relationships/hyperlink" Target="https://www.cookie.fun/agent/gooch" TargetMode="External"/><Relationship Id="rId2168" Type="http://schemas.openxmlformats.org/officeDocument/2006/relationships/hyperlink" Target="https://www.cookie.fun/agent/ai-car-dealer" TargetMode="External"/><Relationship Id="rId2375" Type="http://schemas.openxmlformats.org/officeDocument/2006/relationships/hyperlink" Target="https://pbs.twimg.com/profile_images/1461296965296214016/KWNDN3-g_normal.jpg" TargetMode="External"/><Relationship Id="rId3219" Type="http://schemas.openxmlformats.org/officeDocument/2006/relationships/hyperlink" Target="https://www.cookie.fun/agent/ai-bloom" TargetMode="External"/><Relationship Id="rId3773" Type="http://schemas.openxmlformats.org/officeDocument/2006/relationships/hyperlink" Target="https://www.cookie.fun/agent/nikita" TargetMode="External"/><Relationship Id="rId3980" Type="http://schemas.openxmlformats.org/officeDocument/2006/relationships/hyperlink" Target="https://pbs.twimg.com/profile_images/1803985178815270915/TwNPHK8u_normal.jpg" TargetMode="External"/><Relationship Id="rId347" Type="http://schemas.openxmlformats.org/officeDocument/2006/relationships/hyperlink" Target="https://pbs.twimg.com/profile_images/1856499688243113985/5rSSOh5s_400x400.jpg" TargetMode="External"/><Relationship Id="rId1184" Type="http://schemas.openxmlformats.org/officeDocument/2006/relationships/hyperlink" Target="https://pbs.twimg.com/profile_images/1865250346915725312/z8Cd4pNF_400x400.jpg" TargetMode="External"/><Relationship Id="rId2028" Type="http://schemas.openxmlformats.org/officeDocument/2006/relationships/hyperlink" Target="https://www.cookie.fun/agent/neuro-morpheuz" TargetMode="External"/><Relationship Id="rId2582" Type="http://schemas.openxmlformats.org/officeDocument/2006/relationships/hyperlink" Target="https://x.com/Slappjakke/status/1877627512517280159" TargetMode="External"/><Relationship Id="rId3426" Type="http://schemas.openxmlformats.org/officeDocument/2006/relationships/hyperlink" Target="https://x.com/yoshi_jdcomm/status/1878484440701190624" TargetMode="External"/><Relationship Id="rId3633" Type="http://schemas.openxmlformats.org/officeDocument/2006/relationships/hyperlink" Target="https://x.com/AndreWGMI/status/1878026929028112693" TargetMode="External"/><Relationship Id="rId3840" Type="http://schemas.openxmlformats.org/officeDocument/2006/relationships/hyperlink" Target="https://www.cookie.fun/agent/size" TargetMode="External"/><Relationship Id="rId554" Type="http://schemas.openxmlformats.org/officeDocument/2006/relationships/hyperlink" Target="https://www.cookie.fun/agent/noun-13" TargetMode="External"/><Relationship Id="rId761" Type="http://schemas.openxmlformats.org/officeDocument/2006/relationships/hyperlink" Target="https://pbs.twimg.com/profile_images/1859006696602890240/PIN6hryH_400x400.jpg" TargetMode="External"/><Relationship Id="rId1391" Type="http://schemas.openxmlformats.org/officeDocument/2006/relationships/hyperlink" Target="https://pbs.twimg.com/profile_images/1851306022335295488/pZctmNZ__400x400.jpg" TargetMode="External"/><Relationship Id="rId2235" Type="http://schemas.openxmlformats.org/officeDocument/2006/relationships/hyperlink" Target="https://www.cookie.fun/agent/agent-47" TargetMode="External"/><Relationship Id="rId2442" Type="http://schemas.openxmlformats.org/officeDocument/2006/relationships/hyperlink" Target="https://x.com/gem_insider/status/1877027185103356105" TargetMode="External"/><Relationship Id="rId3700" Type="http://schemas.openxmlformats.org/officeDocument/2006/relationships/hyperlink" Target="https://pbs.twimg.com/profile_images/1868236098385956864/QoqpbXsu_normal.jpg" TargetMode="External"/><Relationship Id="rId207" Type="http://schemas.openxmlformats.org/officeDocument/2006/relationships/hyperlink" Target="https://x.com/AaronTeng/status/1877058216988652011" TargetMode="External"/><Relationship Id="rId414" Type="http://schemas.openxmlformats.org/officeDocument/2006/relationships/hyperlink" Target="https://www.cookie.fun/chains/solana.svg" TargetMode="External"/><Relationship Id="rId621" Type="http://schemas.openxmlformats.org/officeDocument/2006/relationships/hyperlink" Target="https://www.cookie.fun/chains/base.svg" TargetMode="External"/><Relationship Id="rId1044" Type="http://schemas.openxmlformats.org/officeDocument/2006/relationships/hyperlink" Target="https://www.cookie.fun/chains/solana.svg" TargetMode="External"/><Relationship Id="rId1251" Type="http://schemas.openxmlformats.org/officeDocument/2006/relationships/hyperlink" Target="https://www.cookie.fun/chains/solana.svg" TargetMode="External"/><Relationship Id="rId2302" Type="http://schemas.openxmlformats.org/officeDocument/2006/relationships/hyperlink" Target="https://x.com/tong0x/status/1878973798814503272" TargetMode="External"/><Relationship Id="rId1111" Type="http://schemas.openxmlformats.org/officeDocument/2006/relationships/hyperlink" Target="https://www.cookie.fun/agent/bald" TargetMode="External"/><Relationship Id="rId3076" Type="http://schemas.openxmlformats.org/officeDocument/2006/relationships/hyperlink" Target="https://pbs.twimg.com/profile_images/1865248625678520325/K8QQsqDl_normal.jpg" TargetMode="External"/><Relationship Id="rId3283" Type="http://schemas.openxmlformats.org/officeDocument/2006/relationships/hyperlink" Target="https://www.cookie.fun/agent/polytrader" TargetMode="External"/><Relationship Id="rId3490" Type="http://schemas.openxmlformats.org/officeDocument/2006/relationships/hyperlink" Target="https://www.cookie.fun/agent/byte" TargetMode="External"/><Relationship Id="rId4127" Type="http://schemas.openxmlformats.org/officeDocument/2006/relationships/hyperlink" Target="https://www.cookie.fun/agent/chad-onchain" TargetMode="External"/><Relationship Id="rId1928" Type="http://schemas.openxmlformats.org/officeDocument/2006/relationships/hyperlink" Target="https://pbs.twimg.com/profile_images/1849778658262630400/nJxrZCJf_400x400.jpg" TargetMode="External"/><Relationship Id="rId2092" Type="http://schemas.openxmlformats.org/officeDocument/2006/relationships/hyperlink" Target="http://memeforge.ai/" TargetMode="External"/><Relationship Id="rId3143" Type="http://schemas.openxmlformats.org/officeDocument/2006/relationships/hyperlink" Target="https://x.com/XDeGods/status/1879222025509867760" TargetMode="External"/><Relationship Id="rId3350" Type="http://schemas.openxmlformats.org/officeDocument/2006/relationships/hyperlink" Target="https://x.com/ARCreactorAI/status/1877741510437048650" TargetMode="External"/><Relationship Id="rId271" Type="http://schemas.openxmlformats.org/officeDocument/2006/relationships/hyperlink" Target="https://www.cookie.fun/agent/staring-robot" TargetMode="External"/><Relationship Id="rId3003" Type="http://schemas.openxmlformats.org/officeDocument/2006/relationships/hyperlink" Target="https://x.com/ReadOnMe3/status/1877296401501323678" TargetMode="External"/><Relationship Id="rId131" Type="http://schemas.openxmlformats.org/officeDocument/2006/relationships/hyperlink" Target="https://www.cookie.fun/chains/base.svg" TargetMode="External"/><Relationship Id="rId3210" Type="http://schemas.openxmlformats.org/officeDocument/2006/relationships/hyperlink" Target="https://pbs.twimg.com/profile_images/1851899017690587136/bRhRc56w_normal.jpg" TargetMode="External"/><Relationship Id="rId2769" Type="http://schemas.openxmlformats.org/officeDocument/2006/relationships/hyperlink" Target="https://pbs.twimg.com/profile_images/1862157648151330816/kNpAyFt6_normal.jpg" TargetMode="External"/><Relationship Id="rId2976" Type="http://schemas.openxmlformats.org/officeDocument/2006/relationships/hyperlink" Target="https://www.cookie.fun/agent/convo" TargetMode="External"/><Relationship Id="rId948" Type="http://schemas.openxmlformats.org/officeDocument/2006/relationships/hyperlink" Target="https://www.cookie.fun/chains/solana.svg" TargetMode="External"/><Relationship Id="rId1578" Type="http://schemas.openxmlformats.org/officeDocument/2006/relationships/hyperlink" Target="https://www.cookie.fun/chains/solana.svg" TargetMode="External"/><Relationship Id="rId1785" Type="http://schemas.openxmlformats.org/officeDocument/2006/relationships/hyperlink" Target="https://www.cookie.fun/chains/base.svg" TargetMode="External"/><Relationship Id="rId1992" Type="http://schemas.openxmlformats.org/officeDocument/2006/relationships/hyperlink" Target="https://www.cookie.fun/chains/base.svg" TargetMode="External"/><Relationship Id="rId2629" Type="http://schemas.openxmlformats.org/officeDocument/2006/relationships/hyperlink" Target="https://pbs.twimg.com/profile_images/1871743259619536896/4IEOn9xW_normal.jpg" TargetMode="External"/><Relationship Id="rId2836" Type="http://schemas.openxmlformats.org/officeDocument/2006/relationships/hyperlink" Target="https://x.com/solanasteve_/status/1877486335239373003" TargetMode="External"/><Relationship Id="rId77" Type="http://schemas.openxmlformats.org/officeDocument/2006/relationships/hyperlink" Target="https://pbs.twimg.com/profile_images/1247913681419026432/O-M9foxt_normal.jpg" TargetMode="External"/><Relationship Id="rId808" Type="http://schemas.openxmlformats.org/officeDocument/2006/relationships/hyperlink" Target="https://www.cookie.fun/agent/osai" TargetMode="External"/><Relationship Id="rId1438" Type="http://schemas.openxmlformats.org/officeDocument/2006/relationships/hyperlink" Target="https://www.cookie.fun/agent/fomo" TargetMode="External"/><Relationship Id="rId1645" Type="http://schemas.openxmlformats.org/officeDocument/2006/relationships/hyperlink" Target="https://www.cookie.fun/agent/yuvvi" TargetMode="External"/><Relationship Id="rId4051" Type="http://schemas.openxmlformats.org/officeDocument/2006/relationships/hyperlink" Target="https://www.cookie.fun/agent/tadz-agent" TargetMode="External"/><Relationship Id="rId1852" Type="http://schemas.openxmlformats.org/officeDocument/2006/relationships/hyperlink" Target="https://www.cookie.fun/agent/bojack002" TargetMode="External"/><Relationship Id="rId2903" Type="http://schemas.openxmlformats.org/officeDocument/2006/relationships/hyperlink" Target="https://x.com/sleepy0x13/status/1877296765092901063" TargetMode="External"/><Relationship Id="rId1505" Type="http://schemas.openxmlformats.org/officeDocument/2006/relationships/hyperlink" Target="https://pbs.twimg.com/profile_images/1858372797665337344/PKX3daK2_400x400.jpg" TargetMode="External"/><Relationship Id="rId1712" Type="http://schemas.openxmlformats.org/officeDocument/2006/relationships/hyperlink" Target="https://pbs.twimg.com/profile_images/1876370895435902976/vapdxezD_400x400.jpg" TargetMode="External"/><Relationship Id="rId3677" Type="http://schemas.openxmlformats.org/officeDocument/2006/relationships/hyperlink" Target="https://x.com/0xGunter/status/1878763763672944642" TargetMode="External"/><Relationship Id="rId3884" Type="http://schemas.openxmlformats.org/officeDocument/2006/relationships/hyperlink" Target="https://x.com/camolNFT/status/1878494177236840547" TargetMode="External"/><Relationship Id="rId598" Type="http://schemas.openxmlformats.org/officeDocument/2006/relationships/hyperlink" Target="https://www.cookie.fun/chains/solana.svg" TargetMode="External"/><Relationship Id="rId2279" Type="http://schemas.openxmlformats.org/officeDocument/2006/relationships/hyperlink" Target="https://pbs.twimg.com/profile_images/1831904183001247744/ALdr5oD1_normal.jpg" TargetMode="External"/><Relationship Id="rId2486" Type="http://schemas.openxmlformats.org/officeDocument/2006/relationships/hyperlink" Target="https://x.com/WY_mask/status/1878638466252378241" TargetMode="External"/><Relationship Id="rId2693" Type="http://schemas.openxmlformats.org/officeDocument/2006/relationships/hyperlink" Target="https://www.cookie.fun/chains/base.svg" TargetMode="External"/><Relationship Id="rId3537" Type="http://schemas.openxmlformats.org/officeDocument/2006/relationships/hyperlink" Target="https://x.com/mamaralic/status/1878223649993335098" TargetMode="External"/><Relationship Id="rId3744" Type="http://schemas.openxmlformats.org/officeDocument/2006/relationships/hyperlink" Target="https://www.cookie.fun/agent/king-of-lies" TargetMode="External"/><Relationship Id="rId3951" Type="http://schemas.openxmlformats.org/officeDocument/2006/relationships/hyperlink" Target="https://x.com/WomanNFT/status/1879180643789307978" TargetMode="External"/><Relationship Id="rId458" Type="http://schemas.openxmlformats.org/officeDocument/2006/relationships/hyperlink" Target="https://www.cookie.fun/agent/mgga" TargetMode="External"/><Relationship Id="rId665" Type="http://schemas.openxmlformats.org/officeDocument/2006/relationships/hyperlink" Target="https://pbs.twimg.com/profile_images/1872229069204393984/EpU7Bt6d_400x400.jpg" TargetMode="External"/><Relationship Id="rId872" Type="http://schemas.openxmlformats.org/officeDocument/2006/relationships/hyperlink" Target="https://pbs.twimg.com/profile_images/1743718298011766784/48KLtJP4_400x400.jpg" TargetMode="External"/><Relationship Id="rId1088" Type="http://schemas.openxmlformats.org/officeDocument/2006/relationships/hyperlink" Target="https://pbs.twimg.com/profile_images/1874624861366054912/lbMdYlWY_400x400.jpg" TargetMode="External"/><Relationship Id="rId1295" Type="http://schemas.openxmlformats.org/officeDocument/2006/relationships/hyperlink" Target="https://pbs.twimg.com/profile_images/1861671786762428417/ALD6aDgs_400x400.jpg" TargetMode="External"/><Relationship Id="rId2139" Type="http://schemas.openxmlformats.org/officeDocument/2006/relationships/hyperlink" Target="https://www.cookie.fun/agent/heysolana" TargetMode="External"/><Relationship Id="rId2346" Type="http://schemas.openxmlformats.org/officeDocument/2006/relationships/hyperlink" Target="https://x.com/JumperExchange/status/1877795378826821921" TargetMode="External"/><Relationship Id="rId2553" Type="http://schemas.openxmlformats.org/officeDocument/2006/relationships/hyperlink" Target="https://pbs.twimg.com/profile_images/1876328550187347968/dXRqbM9f_normal.jpg" TargetMode="External"/><Relationship Id="rId2760" Type="http://schemas.openxmlformats.org/officeDocument/2006/relationships/hyperlink" Target="https://x.com/puntium/status/1878962581697900580" TargetMode="External"/><Relationship Id="rId3604" Type="http://schemas.openxmlformats.org/officeDocument/2006/relationships/hyperlink" Target="https://x.com/Rosentica/status/1879187999839470032" TargetMode="External"/><Relationship Id="rId3811" Type="http://schemas.openxmlformats.org/officeDocument/2006/relationships/hyperlink" Target="https://pbs.twimg.com/profile_images/1609606658199535618/bHidH77E_normal.jpg" TargetMode="External"/><Relationship Id="rId318" Type="http://schemas.openxmlformats.org/officeDocument/2006/relationships/hyperlink" Target="https://www.cookie.fun/chains/solana.svg" TargetMode="External"/><Relationship Id="rId525" Type="http://schemas.openxmlformats.org/officeDocument/2006/relationships/hyperlink" Target="https://pbs.twimg.com/profile_images/1858252494708649985/4RE2pjA6_400x400.jpg" TargetMode="External"/><Relationship Id="rId732" Type="http://schemas.openxmlformats.org/officeDocument/2006/relationships/hyperlink" Target="https://www.cookie.fun/chains/solana.svg" TargetMode="External"/><Relationship Id="rId1155" Type="http://schemas.openxmlformats.org/officeDocument/2006/relationships/hyperlink" Target="https://www.cookie.fun/chains/solana.svg" TargetMode="External"/><Relationship Id="rId1362" Type="http://schemas.openxmlformats.org/officeDocument/2006/relationships/hyperlink" Target="https://www.cookie.fun/chains/solana.svg" TargetMode="External"/><Relationship Id="rId2206" Type="http://schemas.openxmlformats.org/officeDocument/2006/relationships/hyperlink" Target="https://pbs.twimg.com/profile_images/1857280413988990977/bqLOryCj_400x400.png" TargetMode="External"/><Relationship Id="rId2413" Type="http://schemas.openxmlformats.org/officeDocument/2006/relationships/hyperlink" Target="https://pbs.twimg.com/profile_images/1843332857097256960/GrKcXY8G_normal.jpg" TargetMode="External"/><Relationship Id="rId2620" Type="http://schemas.openxmlformats.org/officeDocument/2006/relationships/hyperlink" Target="https://pbs.twimg.com/profile_images/1849437252453040128/VaWuupdu_400x400.jpg" TargetMode="External"/><Relationship Id="rId1015" Type="http://schemas.openxmlformats.org/officeDocument/2006/relationships/hyperlink" Target="https://www.cookie.fun/agent/viral" TargetMode="External"/><Relationship Id="rId1222" Type="http://schemas.openxmlformats.org/officeDocument/2006/relationships/hyperlink" Target="https://www.cookie.fun/agent/nyma" TargetMode="External"/><Relationship Id="rId3187" Type="http://schemas.openxmlformats.org/officeDocument/2006/relationships/hyperlink" Target="https://x.com/todayindefi/status/1879068433188638945" TargetMode="External"/><Relationship Id="rId3394" Type="http://schemas.openxmlformats.org/officeDocument/2006/relationships/hyperlink" Target="https://www.cookie.fun/chains/solana.svg" TargetMode="External"/><Relationship Id="rId3047" Type="http://schemas.openxmlformats.org/officeDocument/2006/relationships/hyperlink" Target="https://x.com/crypto_alerting/status/1877309505395884051" TargetMode="External"/><Relationship Id="rId175" Type="http://schemas.openxmlformats.org/officeDocument/2006/relationships/hyperlink" Target="https://pbs.twimg.com/profile_images/1857176771461836800/CWhhNHMe_400x400.jpg" TargetMode="External"/><Relationship Id="rId3254" Type="http://schemas.openxmlformats.org/officeDocument/2006/relationships/hyperlink" Target="https://www.cookie.fun/chains/solana.svg" TargetMode="External"/><Relationship Id="rId3461" Type="http://schemas.openxmlformats.org/officeDocument/2006/relationships/hyperlink" Target="https://www.cookie.fun/agent/project-nostradamus" TargetMode="External"/><Relationship Id="rId382" Type="http://schemas.openxmlformats.org/officeDocument/2006/relationships/hyperlink" Target="https://www.cookie.fun/agent/mist" TargetMode="External"/><Relationship Id="rId2063" Type="http://schemas.openxmlformats.org/officeDocument/2006/relationships/hyperlink" Target="https://pbs.twimg.com/profile_images/1870891847847182336/m4Cn6MER_400x400.jpg" TargetMode="External"/><Relationship Id="rId2270" Type="http://schemas.openxmlformats.org/officeDocument/2006/relationships/hyperlink" Target="https://x.com/Rewkang/status/1878949342377345491" TargetMode="External"/><Relationship Id="rId3114" Type="http://schemas.openxmlformats.org/officeDocument/2006/relationships/hyperlink" Target="https://pbs.twimg.com/profile_images/1830786921200521216/ei_obfWy_normal.jpg" TargetMode="External"/><Relationship Id="rId3321" Type="http://schemas.openxmlformats.org/officeDocument/2006/relationships/hyperlink" Target="https://pbs.twimg.com/profile_images/1484675718227374084/KwlUzuE3_normal.jpg" TargetMode="External"/><Relationship Id="rId242" Type="http://schemas.openxmlformats.org/officeDocument/2006/relationships/hyperlink" Target="https://www.cookie.fun/agent/omega" TargetMode="External"/><Relationship Id="rId2130" Type="http://schemas.openxmlformats.org/officeDocument/2006/relationships/hyperlink" Target="https://pbs.twimg.com/profile_images/1873786594303377409/lVTLCIuC_400x400.jpg" TargetMode="External"/><Relationship Id="rId102" Type="http://schemas.openxmlformats.org/officeDocument/2006/relationships/hyperlink" Target="https://pbs.twimg.com/profile_images/1846769487103905792/1JuPlsRZ_400x400.jpg" TargetMode="External"/><Relationship Id="rId1689" Type="http://schemas.openxmlformats.org/officeDocument/2006/relationships/hyperlink" Target="https://www.cookie.fun/chains/solana.svg" TargetMode="External"/><Relationship Id="rId4095" Type="http://schemas.openxmlformats.org/officeDocument/2006/relationships/hyperlink" Target="https://pbs.twimg.com/profile_images/1800572784193495040/jqcuLovt_normal.jpg" TargetMode="External"/><Relationship Id="rId1896" Type="http://schemas.openxmlformats.org/officeDocument/2006/relationships/hyperlink" Target="https://www.cookie.fun/chains/base.svg" TargetMode="External"/><Relationship Id="rId2947" Type="http://schemas.openxmlformats.org/officeDocument/2006/relationships/hyperlink" Target="https://pbs.twimg.com/profile_images/1752826759504965632/_BJV6z9l_normal.jpg" TargetMode="External"/><Relationship Id="rId4162" Type="http://schemas.openxmlformats.org/officeDocument/2006/relationships/hyperlink" Target="https://www.cookie.fun/chains/base.svg" TargetMode="External"/><Relationship Id="rId919" Type="http://schemas.openxmlformats.org/officeDocument/2006/relationships/hyperlink" Target="https://www.cookie.fun/agent/the-chef-247" TargetMode="External"/><Relationship Id="rId1549" Type="http://schemas.openxmlformats.org/officeDocument/2006/relationships/hyperlink" Target="https://www.cookie.fun/agent/clementai" TargetMode="External"/><Relationship Id="rId1756" Type="http://schemas.openxmlformats.org/officeDocument/2006/relationships/hyperlink" Target="https://www.cookie.fun/agent/agent-delta" TargetMode="External"/><Relationship Id="rId1963" Type="http://schemas.openxmlformats.org/officeDocument/2006/relationships/hyperlink" Target="https://www.cookie.fun/agent/i-want-my-foreskin-back" TargetMode="External"/><Relationship Id="rId2807" Type="http://schemas.openxmlformats.org/officeDocument/2006/relationships/hyperlink" Target="https://x.com/randomcdog/status/1877267787791417806" TargetMode="External"/><Relationship Id="rId4022" Type="http://schemas.openxmlformats.org/officeDocument/2006/relationships/hyperlink" Target="https://pbs.twimg.com/profile_images/1608683899596546058/VVPhDnAa_normal.jpg" TargetMode="External"/><Relationship Id="rId48" Type="http://schemas.openxmlformats.org/officeDocument/2006/relationships/hyperlink" Target="https://pbs.twimg.com/profile_images/1849756276542017536/VdjJGy-I_400x400.jpg" TargetMode="External"/><Relationship Id="rId1409" Type="http://schemas.openxmlformats.org/officeDocument/2006/relationships/hyperlink" Target="https://pbs.twimg.com/profile_images/1857159819028770817/0WuY1Q_t_400x400.jpg" TargetMode="External"/><Relationship Id="rId1616" Type="http://schemas.openxmlformats.org/officeDocument/2006/relationships/hyperlink" Target="https://pbs.twimg.com/profile_images/1858334290372665344/4cPBIIlx_400x400.png" TargetMode="External"/><Relationship Id="rId1823" Type="http://schemas.openxmlformats.org/officeDocument/2006/relationships/hyperlink" Target="https://pbs.twimg.com/profile_images/1875553477457539072/zRmDP9fQ_400x400.jpg" TargetMode="External"/><Relationship Id="rId3788" Type="http://schemas.openxmlformats.org/officeDocument/2006/relationships/hyperlink" Target="https://x.com/Rager/status/1877797871933673548" TargetMode="External"/><Relationship Id="rId3995" Type="http://schemas.openxmlformats.org/officeDocument/2006/relationships/hyperlink" Target="https://www.cookie.fun/agent/claude" TargetMode="External"/><Relationship Id="rId2597" Type="http://schemas.openxmlformats.org/officeDocument/2006/relationships/hyperlink" Target="https://www.cookie.fun/chains/base.svg" TargetMode="External"/><Relationship Id="rId3648" Type="http://schemas.openxmlformats.org/officeDocument/2006/relationships/hyperlink" Target="https://www.cookie.fun/chains/solana.svg" TargetMode="External"/><Relationship Id="rId3855" Type="http://schemas.openxmlformats.org/officeDocument/2006/relationships/hyperlink" Target="https://pbs.twimg.com/profile_images/1851294375600668675/3LZ5rkN9_400x400.jpg" TargetMode="External"/><Relationship Id="rId569" Type="http://schemas.openxmlformats.org/officeDocument/2006/relationships/hyperlink" Target="https://www.cookie.fun/agent/satoshi-nakamoto" TargetMode="External"/><Relationship Id="rId776" Type="http://schemas.openxmlformats.org/officeDocument/2006/relationships/hyperlink" Target="https://pbs.twimg.com/profile_images/1860805504722673664/M1Z006vc_400x400.jpg" TargetMode="External"/><Relationship Id="rId983" Type="http://schemas.openxmlformats.org/officeDocument/2006/relationships/hyperlink" Target="https://pbs.twimg.com/profile_images/1871481679438856192/Z8i44FWw_400x400.jpg" TargetMode="External"/><Relationship Id="rId1199" Type="http://schemas.openxmlformats.org/officeDocument/2006/relationships/hyperlink" Target="https://pbs.twimg.com/profile_images/1863995223891722240/PAOeD7r3_400x400.jpg" TargetMode="External"/><Relationship Id="rId2457" Type="http://schemas.openxmlformats.org/officeDocument/2006/relationships/hyperlink" Target="https://pbs.twimg.com/profile_images/1416875951082942468/cWN9kZMp_normal.jpg" TargetMode="External"/><Relationship Id="rId2664" Type="http://schemas.openxmlformats.org/officeDocument/2006/relationships/hyperlink" Target="https://x.com/gem_insider/status/1878928678492770790" TargetMode="External"/><Relationship Id="rId3508" Type="http://schemas.openxmlformats.org/officeDocument/2006/relationships/hyperlink" Target="https://pbs.twimg.com/profile_images/1338929428366147585/akUk4at6_normal.jpg" TargetMode="External"/><Relationship Id="rId429" Type="http://schemas.openxmlformats.org/officeDocument/2006/relationships/hyperlink" Target="https://www.cookie.fun/chains/base.svg" TargetMode="External"/><Relationship Id="rId636" Type="http://schemas.openxmlformats.org/officeDocument/2006/relationships/hyperlink" Target="https://www.cookie.fun/chains/base.svg" TargetMode="External"/><Relationship Id="rId1059" Type="http://schemas.openxmlformats.org/officeDocument/2006/relationships/hyperlink" Target="https://www.cookie.fun/chains/solana.svg" TargetMode="External"/><Relationship Id="rId1266" Type="http://schemas.openxmlformats.org/officeDocument/2006/relationships/hyperlink" Target="https://www.cookie.fun/chains/solana.svg" TargetMode="External"/><Relationship Id="rId1473" Type="http://schemas.openxmlformats.org/officeDocument/2006/relationships/hyperlink" Target="https://www.cookie.fun/chains/solana.svg" TargetMode="External"/><Relationship Id="rId2317" Type="http://schemas.openxmlformats.org/officeDocument/2006/relationships/hyperlink" Target="https://pbs.twimg.com/profile_images/1452754543217831938/T2O-66Yy_normal.jpg" TargetMode="External"/><Relationship Id="rId2871" Type="http://schemas.openxmlformats.org/officeDocument/2006/relationships/hyperlink" Target="https://www.cookie.fun/chains/base.svg" TargetMode="External"/><Relationship Id="rId3715" Type="http://schemas.openxmlformats.org/officeDocument/2006/relationships/hyperlink" Target="https://www.cookie.fun/agent/pigeon-tech" TargetMode="External"/><Relationship Id="rId3922" Type="http://schemas.openxmlformats.org/officeDocument/2006/relationships/hyperlink" Target="https://www.cookie.fun/agent/lucy" TargetMode="External"/><Relationship Id="rId843" Type="http://schemas.openxmlformats.org/officeDocument/2006/relationships/hyperlink" Target="https://www.cookie.fun/chains/base.svg" TargetMode="External"/><Relationship Id="rId1126" Type="http://schemas.openxmlformats.org/officeDocument/2006/relationships/hyperlink" Target="https://www.cookie.fun/agent/elijah" TargetMode="External"/><Relationship Id="rId1680" Type="http://schemas.openxmlformats.org/officeDocument/2006/relationships/hyperlink" Target="https://www.cookie.fun/chains/solana.svg" TargetMode="External"/><Relationship Id="rId2524" Type="http://schemas.openxmlformats.org/officeDocument/2006/relationships/hyperlink" Target="https://pbs.twimg.com/profile_images/1870102143828426753/qjPH3KhL_400x400.jpg" TargetMode="External"/><Relationship Id="rId2731" Type="http://schemas.openxmlformats.org/officeDocument/2006/relationships/hyperlink" Target="https://pbs.twimg.com/profile_images/1609778151369883648/dgvqvUMB_normal.jpg" TargetMode="External"/><Relationship Id="rId703" Type="http://schemas.openxmlformats.org/officeDocument/2006/relationships/hyperlink" Target="https://www.cookie.fun/agent/jokerai" TargetMode="External"/><Relationship Id="rId910" Type="http://schemas.openxmlformats.org/officeDocument/2006/relationships/hyperlink" Target="https://www.cookie.fun/agent/ailon16z" TargetMode="External"/><Relationship Id="rId1333" Type="http://schemas.openxmlformats.org/officeDocument/2006/relationships/hyperlink" Target="https://www.cookie.fun/agent/nxa" TargetMode="External"/><Relationship Id="rId1540" Type="http://schemas.openxmlformats.org/officeDocument/2006/relationships/hyperlink" Target="https://www.cookie.fun/agent/epic" TargetMode="External"/><Relationship Id="rId1400" Type="http://schemas.openxmlformats.org/officeDocument/2006/relationships/hyperlink" Target="https://pbs.twimg.com/profile_images/1859973141797212160/p_L8aanr_400x400.jpg" TargetMode="External"/><Relationship Id="rId3298" Type="http://schemas.openxmlformats.org/officeDocument/2006/relationships/hyperlink" Target="https://pbs.twimg.com/profile_images/1848179744300244992/U41e9Trv_400x400.jpg" TargetMode="External"/><Relationship Id="rId3158" Type="http://schemas.openxmlformats.org/officeDocument/2006/relationships/hyperlink" Target="https://pbs.twimg.com/profile_images/1831439621898518528/xzaN4Y_8_400x400.jpg" TargetMode="External"/><Relationship Id="rId3365" Type="http://schemas.openxmlformats.org/officeDocument/2006/relationships/hyperlink" Target="https://pbs.twimg.com/profile_images/1368455660237697029/291TmVWy_normal.jpg" TargetMode="External"/><Relationship Id="rId3572" Type="http://schemas.openxmlformats.org/officeDocument/2006/relationships/hyperlink" Target="https://pbs.twimg.com/profile_images/1874483608099971072/41AndH6s_400x400.jpg" TargetMode="External"/><Relationship Id="rId286" Type="http://schemas.openxmlformats.org/officeDocument/2006/relationships/hyperlink" Target="https://www.cookie.fun/agent/trump-ai" TargetMode="External"/><Relationship Id="rId493" Type="http://schemas.openxmlformats.org/officeDocument/2006/relationships/hyperlink" Target="https://www.cookie.fun/chains/solana.svg" TargetMode="External"/><Relationship Id="rId2174" Type="http://schemas.openxmlformats.org/officeDocument/2006/relationships/hyperlink" Target="https://www.cookie.fun/agent/feng-shui-agent" TargetMode="External"/><Relationship Id="rId2381" Type="http://schemas.openxmlformats.org/officeDocument/2006/relationships/hyperlink" Target="https://www.cookie.fun/chains/solana.svg" TargetMode="External"/><Relationship Id="rId3018" Type="http://schemas.openxmlformats.org/officeDocument/2006/relationships/hyperlink" Target="https://pbs.twimg.com/profile_images/1831904183001247744/ALdr5oD1_normal.jpg" TargetMode="External"/><Relationship Id="rId3225" Type="http://schemas.openxmlformats.org/officeDocument/2006/relationships/hyperlink" Target="https://x.com/moneyl0rd/status/1877447178412548437" TargetMode="External"/><Relationship Id="rId3432" Type="http://schemas.openxmlformats.org/officeDocument/2006/relationships/hyperlink" Target="https://pbs.twimg.com/profile_images/1865520870459904000/fvdmeySD_400x400.jpg" TargetMode="External"/><Relationship Id="rId146" Type="http://schemas.openxmlformats.org/officeDocument/2006/relationships/hyperlink" Target="https://www.cookie.fun/chains/solana.svg" TargetMode="External"/><Relationship Id="rId353" Type="http://schemas.openxmlformats.org/officeDocument/2006/relationships/hyperlink" Target="https://pbs.twimg.com/profile_images/1854231534212927495/Klq6rs-6_400x400.jpg" TargetMode="External"/><Relationship Id="rId560" Type="http://schemas.openxmlformats.org/officeDocument/2006/relationships/hyperlink" Target="https://www.cookie.fun/agent/bet-on-virtuals" TargetMode="External"/><Relationship Id="rId1190" Type="http://schemas.openxmlformats.org/officeDocument/2006/relationships/hyperlink" Target="https://pbs.twimg.com/profile_images/1862839938485526528/3onvTwRj_400x400.jpg" TargetMode="External"/><Relationship Id="rId2034" Type="http://schemas.openxmlformats.org/officeDocument/2006/relationships/hyperlink" Target="https://www.cookie.fun/agent/sigma-music-agent" TargetMode="External"/><Relationship Id="rId2241" Type="http://schemas.openxmlformats.org/officeDocument/2006/relationships/hyperlink" Target="https://www.cookie.fun/agent/datafi" TargetMode="External"/><Relationship Id="rId213" Type="http://schemas.openxmlformats.org/officeDocument/2006/relationships/hyperlink" Target="https://x.com/lokithebird/status/1878320714362589420" TargetMode="External"/><Relationship Id="rId420" Type="http://schemas.openxmlformats.org/officeDocument/2006/relationships/hyperlink" Target="https://www.cookie.fun/chains/base.svg" TargetMode="External"/><Relationship Id="rId1050" Type="http://schemas.openxmlformats.org/officeDocument/2006/relationships/hyperlink" Target="https://www.cookie.fun/chains/solana.svg" TargetMode="External"/><Relationship Id="rId2101" Type="http://schemas.openxmlformats.org/officeDocument/2006/relationships/hyperlink" Target="https://www.cookie.fun/agent/sol3hive" TargetMode="External"/><Relationship Id="rId4066" Type="http://schemas.openxmlformats.org/officeDocument/2006/relationships/hyperlink" Target="https://pbs.twimg.com/profile_images/1722258300665044992/bo9clXct_normal.jpg" TargetMode="External"/><Relationship Id="rId1867" Type="http://schemas.openxmlformats.org/officeDocument/2006/relationships/hyperlink" Target="https://www.cookie.fun/agent/jellyfish-ai-agent" TargetMode="External"/><Relationship Id="rId2918" Type="http://schemas.openxmlformats.org/officeDocument/2006/relationships/hyperlink" Target="https://www.cookie.fun/chains/base.svg" TargetMode="External"/><Relationship Id="rId1727" Type="http://schemas.openxmlformats.org/officeDocument/2006/relationships/hyperlink" Target="https://pbs.twimg.com/profile_images/1874373768673480704/0RxYLj_t_400x400.jpg" TargetMode="External"/><Relationship Id="rId1934" Type="http://schemas.openxmlformats.org/officeDocument/2006/relationships/hyperlink" Target="https://pbs.twimg.com/profile_images/1874292071613276160/RtqYPgQI_normal.jpg" TargetMode="External"/><Relationship Id="rId3082" Type="http://schemas.openxmlformats.org/officeDocument/2006/relationships/hyperlink" Target="https://x.com/fkpxls/status/1879311743824077259" TargetMode="External"/><Relationship Id="rId4133" Type="http://schemas.openxmlformats.org/officeDocument/2006/relationships/hyperlink" Target="https://www.cookie.fun/agent/brains-your-greed-is-my-fuel-" TargetMode="External"/><Relationship Id="rId19" Type="http://schemas.openxmlformats.org/officeDocument/2006/relationships/hyperlink" Target="https://pbs.twimg.com/profile_images/1870235513065496576/jQTWuOY5_normal.jpg" TargetMode="External"/><Relationship Id="rId3899" Type="http://schemas.openxmlformats.org/officeDocument/2006/relationships/hyperlink" Target="https://www.cookie.fun/agent/blormmy" TargetMode="External"/><Relationship Id="rId3759" Type="http://schemas.openxmlformats.org/officeDocument/2006/relationships/hyperlink" Target="https://pbs.twimg.com/profile_images/1774604272270712832/krirv0iJ_normal.jpg" TargetMode="External"/><Relationship Id="rId3966" Type="http://schemas.openxmlformats.org/officeDocument/2006/relationships/hyperlink" Target="https://www.cookie.fun/agent/dora-ai" TargetMode="External"/><Relationship Id="rId3" Type="http://schemas.openxmlformats.org/officeDocument/2006/relationships/hyperlink" Target="https://www.cookie.fun/chains/base.svg" TargetMode="External"/><Relationship Id="rId887" Type="http://schemas.openxmlformats.org/officeDocument/2006/relationships/hyperlink" Target="https://pbs.twimg.com/profile_images/1867813448177872896/7eBq7bBZ_400x400.jpg" TargetMode="External"/><Relationship Id="rId2568" Type="http://schemas.openxmlformats.org/officeDocument/2006/relationships/hyperlink" Target="https://x.com/zerokn0wledge_/status/1877013506307838367" TargetMode="External"/><Relationship Id="rId2775" Type="http://schemas.openxmlformats.org/officeDocument/2006/relationships/hyperlink" Target="https://pbs.twimg.com/profile_images/1861911597158907904/vPoP4H4J_400x400.jpg" TargetMode="External"/><Relationship Id="rId2982" Type="http://schemas.openxmlformats.org/officeDocument/2006/relationships/hyperlink" Target="https://pbs.twimg.com/profile_images/1829954676172754944/AY0XOTPa_normal.jpg" TargetMode="External"/><Relationship Id="rId3619" Type="http://schemas.openxmlformats.org/officeDocument/2006/relationships/hyperlink" Target="https://pbs.twimg.com/profile_images/1876371417463222272/v-VEhq7T_400x400.jpg" TargetMode="External"/><Relationship Id="rId3826" Type="http://schemas.openxmlformats.org/officeDocument/2006/relationships/hyperlink" Target="https://pbs.twimg.com/profile_images/1861112952805564418/rLQIeqhh_400x400.jpg" TargetMode="External"/><Relationship Id="rId747" Type="http://schemas.openxmlformats.org/officeDocument/2006/relationships/hyperlink" Target="https://www.cookie.fun/chains/solana.svg" TargetMode="External"/><Relationship Id="rId954" Type="http://schemas.openxmlformats.org/officeDocument/2006/relationships/hyperlink" Target="https://www.cookie.fun/chains/base.svg" TargetMode="External"/><Relationship Id="rId1377" Type="http://schemas.openxmlformats.org/officeDocument/2006/relationships/hyperlink" Target="https://www.cookie.fun/chains/solana.svg" TargetMode="External"/><Relationship Id="rId1584" Type="http://schemas.openxmlformats.org/officeDocument/2006/relationships/hyperlink" Target="https://www.cookie.fun/chains/solana.svg" TargetMode="External"/><Relationship Id="rId1791" Type="http://schemas.openxmlformats.org/officeDocument/2006/relationships/hyperlink" Target="https://www.cookie.fun/chains/base.svg" TargetMode="External"/><Relationship Id="rId2428" Type="http://schemas.openxmlformats.org/officeDocument/2006/relationships/hyperlink" Target="https://pbs.twimg.com/profile_images/1862528157754302468/t9usnUXx_400x400.jpg" TargetMode="External"/><Relationship Id="rId2635" Type="http://schemas.openxmlformats.org/officeDocument/2006/relationships/hyperlink" Target="https://pbs.twimg.com/profile_images/1536483903774531586/KHNPU1AN_normal.jpg" TargetMode="External"/><Relationship Id="rId2842" Type="http://schemas.openxmlformats.org/officeDocument/2006/relationships/hyperlink" Target="https://x.com/wenwencoin/status/1878455643650068535" TargetMode="External"/><Relationship Id="rId83" Type="http://schemas.openxmlformats.org/officeDocument/2006/relationships/hyperlink" Target="https://www.cookie.fun/chains/solana.svg" TargetMode="External"/><Relationship Id="rId607" Type="http://schemas.openxmlformats.org/officeDocument/2006/relationships/hyperlink" Target="https://www.cookie.fun/chains/solana.svg" TargetMode="External"/><Relationship Id="rId814" Type="http://schemas.openxmlformats.org/officeDocument/2006/relationships/hyperlink" Target="https://www.cookie.fun/agent/domina" TargetMode="External"/><Relationship Id="rId1237" Type="http://schemas.openxmlformats.org/officeDocument/2006/relationships/hyperlink" Target="https://www.cookie.fun/agent/shrigma" TargetMode="External"/><Relationship Id="rId1444" Type="http://schemas.openxmlformats.org/officeDocument/2006/relationships/hyperlink" Target="https://www.cookie.fun/agent/iii" TargetMode="External"/><Relationship Id="rId1651" Type="http://schemas.openxmlformats.org/officeDocument/2006/relationships/hyperlink" Target="https://www.cookie.fun/agent/makeit" TargetMode="External"/><Relationship Id="rId2702" Type="http://schemas.openxmlformats.org/officeDocument/2006/relationships/hyperlink" Target="https://x.com/BTCTN/status/1877368901966696717" TargetMode="External"/><Relationship Id="rId1304" Type="http://schemas.openxmlformats.org/officeDocument/2006/relationships/hyperlink" Target="https://pbs.twimg.com/profile_images/1859667472791580672/3XSHCTSC_400x400.jpg" TargetMode="External"/><Relationship Id="rId1511" Type="http://schemas.openxmlformats.org/officeDocument/2006/relationships/hyperlink" Target="https://pbs.twimg.com/profile_images/1858651390425399296/rZ6dZaHn_400x400.jpg" TargetMode="External"/><Relationship Id="rId3269" Type="http://schemas.openxmlformats.org/officeDocument/2006/relationships/hyperlink" Target="https://www.cookie.fun/chains/solana.svg" TargetMode="External"/><Relationship Id="rId3476" Type="http://schemas.openxmlformats.org/officeDocument/2006/relationships/hyperlink" Target="https://x.com/BoredElonMusk/status/1878620365402030448" TargetMode="External"/><Relationship Id="rId3683" Type="http://schemas.openxmlformats.org/officeDocument/2006/relationships/hyperlink" Target="https://www.cookie.fun/agent/kira" TargetMode="External"/><Relationship Id="rId10" Type="http://schemas.openxmlformats.org/officeDocument/2006/relationships/hyperlink" Target="https://www.cookie.fun/agent/aiko" TargetMode="External"/><Relationship Id="rId397" Type="http://schemas.openxmlformats.org/officeDocument/2006/relationships/hyperlink" Target="https://www.cookie.fun/agent/arata" TargetMode="External"/><Relationship Id="rId2078" Type="http://schemas.openxmlformats.org/officeDocument/2006/relationships/hyperlink" Target="https://pbs.twimg.com/profile_images/1875352698582605825/zLcaT_eR_400x400.jpg" TargetMode="External"/><Relationship Id="rId2285" Type="http://schemas.openxmlformats.org/officeDocument/2006/relationships/hyperlink" Target="https://www.cookie.fun/chains/solana.svg" TargetMode="External"/><Relationship Id="rId2492" Type="http://schemas.openxmlformats.org/officeDocument/2006/relationships/hyperlink" Target="https://x.com/Bybit_Official/status/1879091093825863701" TargetMode="External"/><Relationship Id="rId3129" Type="http://schemas.openxmlformats.org/officeDocument/2006/relationships/hyperlink" Target="https://x.com/RealJonahBlake/status/1878499705300115618" TargetMode="External"/><Relationship Id="rId3336" Type="http://schemas.openxmlformats.org/officeDocument/2006/relationships/hyperlink" Target="https://www.cookie.fun/chains/solana.svg" TargetMode="External"/><Relationship Id="rId3890" Type="http://schemas.openxmlformats.org/officeDocument/2006/relationships/hyperlink" Target="https://x.com/LBank_Exchange/status/1879464712502747318" TargetMode="External"/><Relationship Id="rId257" Type="http://schemas.openxmlformats.org/officeDocument/2006/relationships/hyperlink" Target="https://pbs.twimg.com/profile_images/1852533898518900736/DJ1h4QiT_400x400.jpg" TargetMode="External"/><Relationship Id="rId464" Type="http://schemas.openxmlformats.org/officeDocument/2006/relationships/hyperlink" Target="https://www.cookie.fun/agent/coinye-west" TargetMode="External"/><Relationship Id="rId1094" Type="http://schemas.openxmlformats.org/officeDocument/2006/relationships/hyperlink" Target="https://pbs.twimg.com/profile_images/1858547368360353793/VHNHlq1s_400x400.jpg" TargetMode="External"/><Relationship Id="rId2145" Type="http://schemas.openxmlformats.org/officeDocument/2006/relationships/hyperlink" Target="http://fut.overdive.xyz/" TargetMode="External"/><Relationship Id="rId3543" Type="http://schemas.openxmlformats.org/officeDocument/2006/relationships/hyperlink" Target="https://pbs.twimg.com/profile_images/1653754789241446401/whh0PdFN_normal.jpg" TargetMode="External"/><Relationship Id="rId3750" Type="http://schemas.openxmlformats.org/officeDocument/2006/relationships/hyperlink" Target="https://pbs.twimg.com/profile_images/1609217215517057026/4gmiLe8o_normal.jpg" TargetMode="External"/><Relationship Id="rId117" Type="http://schemas.openxmlformats.org/officeDocument/2006/relationships/hyperlink" Target="https://pbs.twimg.com/profile_images/1849194651070189569/Ani83tYp_400x400.jpg" TargetMode="External"/><Relationship Id="rId671" Type="http://schemas.openxmlformats.org/officeDocument/2006/relationships/hyperlink" Target="https://pbs.twimg.com/profile_images/1862129175731027968/somQNsSp_400x400.jpg" TargetMode="External"/><Relationship Id="rId2352" Type="http://schemas.openxmlformats.org/officeDocument/2006/relationships/hyperlink" Target="https://x.com/deepname99/status/1878304088682791061" TargetMode="External"/><Relationship Id="rId3403" Type="http://schemas.openxmlformats.org/officeDocument/2006/relationships/hyperlink" Target="https://www.cookie.fun/chains/base.svg" TargetMode="External"/><Relationship Id="rId3610" Type="http://schemas.openxmlformats.org/officeDocument/2006/relationships/hyperlink" Target="https://www.cookie.fun/agent/velvet-unicorn" TargetMode="External"/><Relationship Id="rId324" Type="http://schemas.openxmlformats.org/officeDocument/2006/relationships/hyperlink" Target="https://www.cookie.fun/chains/ethereum.svg" TargetMode="External"/><Relationship Id="rId531" Type="http://schemas.openxmlformats.org/officeDocument/2006/relationships/hyperlink" Target="https://pbs.twimg.com/profile_images/1855020878699864064/2O64GsmD_400x400.jpg" TargetMode="External"/><Relationship Id="rId1161" Type="http://schemas.openxmlformats.org/officeDocument/2006/relationships/hyperlink" Target="https://www.cookie.fun/chains/solana.svg" TargetMode="External"/><Relationship Id="rId2005" Type="http://schemas.openxmlformats.org/officeDocument/2006/relationships/hyperlink" Target="https://www.cookie.fun/agent/gary-gensler" TargetMode="External"/><Relationship Id="rId2212" Type="http://schemas.openxmlformats.org/officeDocument/2006/relationships/hyperlink" Target="https://www.cookie.fun/agent/prediqs" TargetMode="External"/><Relationship Id="rId1021" Type="http://schemas.openxmlformats.org/officeDocument/2006/relationships/hyperlink" Target="https://www.cookie.fun/agent/sonn3" TargetMode="External"/><Relationship Id="rId1978" Type="http://schemas.openxmlformats.org/officeDocument/2006/relationships/hyperlink" Target="https://www.cookie.fun/agent/dllm" TargetMode="External"/><Relationship Id="rId3193" Type="http://schemas.openxmlformats.org/officeDocument/2006/relationships/hyperlink" Target="https://pbs.twimg.com/profile_images/1867760164222164994/iSohIGSx_400x400.jpg" TargetMode="External"/><Relationship Id="rId4037" Type="http://schemas.openxmlformats.org/officeDocument/2006/relationships/hyperlink" Target="https://www.cookie.fun/chains/solana.svg" TargetMode="External"/><Relationship Id="rId1838" Type="http://schemas.openxmlformats.org/officeDocument/2006/relationships/hyperlink" Target="https://pbs.twimg.com/profile_images/1875030068214235137/v8JHVEIh_400x400.jpg" TargetMode="External"/><Relationship Id="rId3053" Type="http://schemas.openxmlformats.org/officeDocument/2006/relationships/hyperlink" Target="https://x.com/CryptoStreamHub/status/1877653553084244207" TargetMode="External"/><Relationship Id="rId3260" Type="http://schemas.openxmlformats.org/officeDocument/2006/relationships/hyperlink" Target="https://pbs.twimg.com/profile_images/1749941408197451776/gk9Gro7o_normal.jpg" TargetMode="External"/><Relationship Id="rId4104" Type="http://schemas.openxmlformats.org/officeDocument/2006/relationships/hyperlink" Target="https://www.cookie.fun/agent/slopfather" TargetMode="External"/><Relationship Id="rId181" Type="http://schemas.openxmlformats.org/officeDocument/2006/relationships/hyperlink" Target="https://pbs.twimg.com/profile_images/1872418425471131648/2kgLfHUH_400x400.jpg" TargetMode="External"/><Relationship Id="rId1905" Type="http://schemas.openxmlformats.org/officeDocument/2006/relationships/hyperlink" Target="https://www.cookie.fun/chains/solana.svg" TargetMode="External"/><Relationship Id="rId3120" Type="http://schemas.openxmlformats.org/officeDocument/2006/relationships/hyperlink" Target="https://pbs.twimg.com/profile_images/1878208698994094080/LPvw2NWt_normal.jpg" TargetMode="External"/><Relationship Id="rId998" Type="http://schemas.openxmlformats.org/officeDocument/2006/relationships/hyperlink" Target="https://pbs.twimg.com/profile_images/1876229824227704834/YWi6c2YR_400x400.jpg" TargetMode="External"/><Relationship Id="rId2679" Type="http://schemas.openxmlformats.org/officeDocument/2006/relationships/hyperlink" Target="https://www.cookie.fun/agent/hustle-flowstate" TargetMode="External"/><Relationship Id="rId2886" Type="http://schemas.openxmlformats.org/officeDocument/2006/relationships/hyperlink" Target="https://x.com/ghost93_x/status/1879033045120172436" TargetMode="External"/><Relationship Id="rId3937" Type="http://schemas.openxmlformats.org/officeDocument/2006/relationships/hyperlink" Target="https://pbs.twimg.com/profile_images/1859571970515349504/B32EAU1y_400x400.jpg" TargetMode="External"/><Relationship Id="rId858" Type="http://schemas.openxmlformats.org/officeDocument/2006/relationships/hyperlink" Target="https://www.cookie.fun/chains/base.svg" TargetMode="External"/><Relationship Id="rId1488" Type="http://schemas.openxmlformats.org/officeDocument/2006/relationships/hyperlink" Target="https://www.cookie.fun/chains/solana.svg" TargetMode="External"/><Relationship Id="rId1695" Type="http://schemas.openxmlformats.org/officeDocument/2006/relationships/hyperlink" Target="https://www.cookie.fun/chains/solana.svg" TargetMode="External"/><Relationship Id="rId2539" Type="http://schemas.openxmlformats.org/officeDocument/2006/relationships/hyperlink" Target="https://pbs.twimg.com/profile_images/1554248854794534913/JXGn6d0L_normal.jpg" TargetMode="External"/><Relationship Id="rId2746" Type="http://schemas.openxmlformats.org/officeDocument/2006/relationships/hyperlink" Target="https://x.com/Cryppocrates/status/1877739068705948113" TargetMode="External"/><Relationship Id="rId2953" Type="http://schemas.openxmlformats.org/officeDocument/2006/relationships/hyperlink" Target="https://pbs.twimg.com/profile_images/1752826759504965632/_BJV6z9l_normal.jpg" TargetMode="External"/><Relationship Id="rId718" Type="http://schemas.openxmlformats.org/officeDocument/2006/relationships/hyperlink" Target="https://www.cookie.fun/agent/changeai" TargetMode="External"/><Relationship Id="rId925" Type="http://schemas.openxmlformats.org/officeDocument/2006/relationships/hyperlink" Target="https://www.cookie.fun/agent/grinch-ai" TargetMode="External"/><Relationship Id="rId1348" Type="http://schemas.openxmlformats.org/officeDocument/2006/relationships/hyperlink" Target="https://www.cookie.fun/agent/tardio" TargetMode="External"/><Relationship Id="rId1555" Type="http://schemas.openxmlformats.org/officeDocument/2006/relationships/hyperlink" Target="https://www.cookie.fun/agent/craimer" TargetMode="External"/><Relationship Id="rId1762" Type="http://schemas.openxmlformats.org/officeDocument/2006/relationships/hyperlink" Target="https://www.cookie.fun/agent/innovia-ai" TargetMode="External"/><Relationship Id="rId2606" Type="http://schemas.openxmlformats.org/officeDocument/2006/relationships/hyperlink" Target="https://x.com/econoar/status/1877090081162539208" TargetMode="External"/><Relationship Id="rId1208" Type="http://schemas.openxmlformats.org/officeDocument/2006/relationships/hyperlink" Target="https://pbs.twimg.com/profile_images/1862891249914597376/jikwFdJX_400x400.jpg" TargetMode="External"/><Relationship Id="rId1415" Type="http://schemas.openxmlformats.org/officeDocument/2006/relationships/hyperlink" Target="https://pbs.twimg.com/profile_images/1859041181176377345/Bld_zlNO_400x400.jpg" TargetMode="External"/><Relationship Id="rId2813" Type="http://schemas.openxmlformats.org/officeDocument/2006/relationships/hyperlink" Target="https://x.com/cryptomanran/status/1877632384159395935" TargetMode="External"/><Relationship Id="rId54" Type="http://schemas.openxmlformats.org/officeDocument/2006/relationships/hyperlink" Target="https://pbs.twimg.com/profile_images/1849759908989984768/CiENRA5v_400x400.jpg" TargetMode="External"/><Relationship Id="rId1622" Type="http://schemas.openxmlformats.org/officeDocument/2006/relationships/hyperlink" Target="https://pbs.twimg.com/profile_images/1865179471034327040/Nq9k7ZKR_400x400.jpg" TargetMode="External"/><Relationship Id="rId2189" Type="http://schemas.openxmlformats.org/officeDocument/2006/relationships/hyperlink" Target="https://pbs.twimg.com/profile_images/1846611334479138816/JtRaK1AE_400x400.jpg" TargetMode="External"/><Relationship Id="rId3587" Type="http://schemas.openxmlformats.org/officeDocument/2006/relationships/hyperlink" Target="https://pbs.twimg.com/profile_images/1864760161178652673/TxP791K7_400x400.jpg" TargetMode="External"/><Relationship Id="rId3794" Type="http://schemas.openxmlformats.org/officeDocument/2006/relationships/hyperlink" Target="https://pbs.twimg.com/profile_images/1876986110871531520/Az99HVRp_normal.jpg" TargetMode="External"/><Relationship Id="rId2396" Type="http://schemas.openxmlformats.org/officeDocument/2006/relationships/hyperlink" Target="https://x.com/bycoinhunter/status/1878064471266263528" TargetMode="External"/><Relationship Id="rId3447" Type="http://schemas.openxmlformats.org/officeDocument/2006/relationships/hyperlink" Target="https://x.com/thegaboeth/status/1877018465833226677" TargetMode="External"/><Relationship Id="rId3654" Type="http://schemas.openxmlformats.org/officeDocument/2006/relationships/hyperlink" Target="https://x.com/bittybitbit86/status/1877360406630387770" TargetMode="External"/><Relationship Id="rId3861" Type="http://schemas.openxmlformats.org/officeDocument/2006/relationships/hyperlink" Target="https://www.cookie.fun/chains/base.svg" TargetMode="External"/><Relationship Id="rId368" Type="http://schemas.openxmlformats.org/officeDocument/2006/relationships/hyperlink" Target="https://pbs.twimg.com/profile_images/1876004955489746944/QedhEhh-_400x400.jpg" TargetMode="External"/><Relationship Id="rId575" Type="http://schemas.openxmlformats.org/officeDocument/2006/relationships/hyperlink" Target="https://www.cookie.fun/agent/donald-trump" TargetMode="External"/><Relationship Id="rId782" Type="http://schemas.openxmlformats.org/officeDocument/2006/relationships/hyperlink" Target="https://pbs.twimg.com/profile_images/1814986096800829440/Tb1vFmfL_400x400.jpg" TargetMode="External"/><Relationship Id="rId2049" Type="http://schemas.openxmlformats.org/officeDocument/2006/relationships/hyperlink" Target="https://pbs.twimg.com/profile_images/1874965641679224833/nFsFZvCR_400x400.jpg" TargetMode="External"/><Relationship Id="rId2256" Type="http://schemas.openxmlformats.org/officeDocument/2006/relationships/hyperlink" Target="https://www.cookie.fun/agent/hera" TargetMode="External"/><Relationship Id="rId2463" Type="http://schemas.openxmlformats.org/officeDocument/2006/relationships/hyperlink" Target="https://www.cookie.fun/agent/max" TargetMode="External"/><Relationship Id="rId2670" Type="http://schemas.openxmlformats.org/officeDocument/2006/relationships/hyperlink" Target="https://x.com/0xcryptowizard/status/1878077223690735730" TargetMode="External"/><Relationship Id="rId3307" Type="http://schemas.openxmlformats.org/officeDocument/2006/relationships/hyperlink" Target="https://x.com/RickBakas/status/1877026024950575520" TargetMode="External"/><Relationship Id="rId3514" Type="http://schemas.openxmlformats.org/officeDocument/2006/relationships/hyperlink" Target="https://x.com/lightofrahim/status/1877743527968285138" TargetMode="External"/><Relationship Id="rId3721" Type="http://schemas.openxmlformats.org/officeDocument/2006/relationships/hyperlink" Target="https://pbs.twimg.com/profile_images/1844883740192870413/11g4CQmz_400x400.jpg" TargetMode="External"/><Relationship Id="rId228" Type="http://schemas.openxmlformats.org/officeDocument/2006/relationships/hyperlink" Target="https://pbs.twimg.com/profile_images/1863656326955753472/w3xHKAIC_400x400.jpg" TargetMode="External"/><Relationship Id="rId435" Type="http://schemas.openxmlformats.org/officeDocument/2006/relationships/hyperlink" Target="https://pbs.twimg.com/profile_images/1866092815190482944/kziyGU3B_400x400.jpg" TargetMode="External"/><Relationship Id="rId642" Type="http://schemas.openxmlformats.org/officeDocument/2006/relationships/hyperlink" Target="https://www.cookie.fun/chains/base.svg" TargetMode="External"/><Relationship Id="rId1065" Type="http://schemas.openxmlformats.org/officeDocument/2006/relationships/hyperlink" Target="https://www.cookie.fun/chains/solana.svg" TargetMode="External"/><Relationship Id="rId1272" Type="http://schemas.openxmlformats.org/officeDocument/2006/relationships/hyperlink" Target="https://www.cookie.fun/chains/solana.svg" TargetMode="External"/><Relationship Id="rId2116" Type="http://schemas.openxmlformats.org/officeDocument/2006/relationships/hyperlink" Target="https://www.cookie.fun/agent/rektified" TargetMode="External"/><Relationship Id="rId2323" Type="http://schemas.openxmlformats.org/officeDocument/2006/relationships/hyperlink" Target="https://pbs.twimg.com/profile_images/1859616195797823488/qiLRzcjU_normal.jpg" TargetMode="External"/><Relationship Id="rId2530" Type="http://schemas.openxmlformats.org/officeDocument/2006/relationships/hyperlink" Target="https://x.com/NFTsAreNice/status/1877887033131364806" TargetMode="External"/><Relationship Id="rId502" Type="http://schemas.openxmlformats.org/officeDocument/2006/relationships/hyperlink" Target="https://www.cookie.fun/chains/solana.svg" TargetMode="External"/><Relationship Id="rId1132" Type="http://schemas.openxmlformats.org/officeDocument/2006/relationships/hyperlink" Target="https://www.cookie.fun/agent/gigapt" TargetMode="External"/><Relationship Id="rId3097" Type="http://schemas.openxmlformats.org/officeDocument/2006/relationships/hyperlink" Target="https://x.com/ghost93_x/status/1878471029258911833" TargetMode="External"/><Relationship Id="rId4148" Type="http://schemas.openxmlformats.org/officeDocument/2006/relationships/hyperlink" Target="https://pbs.twimg.com/profile_images/1849429093751627776/6DUXEURV_400x400.jpg" TargetMode="External"/><Relationship Id="rId1949" Type="http://schemas.openxmlformats.org/officeDocument/2006/relationships/hyperlink" Target="https://pbs.twimg.com/profile_images/1860263584443305985/8-YZ8i5V_400x400.jpg" TargetMode="External"/><Relationship Id="rId3164" Type="http://schemas.openxmlformats.org/officeDocument/2006/relationships/hyperlink" Target="https://x.com/AbrarTheCrypto_/status/1878019236519698477" TargetMode="External"/><Relationship Id="rId4008" Type="http://schemas.openxmlformats.org/officeDocument/2006/relationships/hyperlink" Target="https://x.com/HarveyVogelmann/status/1877132996873990316" TargetMode="External"/><Relationship Id="rId292" Type="http://schemas.openxmlformats.org/officeDocument/2006/relationships/hyperlink" Target="https://www.cookie.fun/agent/qstar" TargetMode="External"/><Relationship Id="rId1809" Type="http://schemas.openxmlformats.org/officeDocument/2006/relationships/hyperlink" Target="https://www.cookie.fun/chains/solana.svg" TargetMode="External"/><Relationship Id="rId3371" Type="http://schemas.openxmlformats.org/officeDocument/2006/relationships/hyperlink" Target="https://x.com/AutismCapital/status/1879382506522415283" TargetMode="External"/><Relationship Id="rId2180" Type="http://schemas.openxmlformats.org/officeDocument/2006/relationships/hyperlink" Target="https://www.cookie.fun/agent/eido-labs" TargetMode="External"/><Relationship Id="rId3024" Type="http://schemas.openxmlformats.org/officeDocument/2006/relationships/hyperlink" Target="https://www.cookie.fun/agent/jarvis" TargetMode="External"/><Relationship Id="rId3231" Type="http://schemas.openxmlformats.org/officeDocument/2006/relationships/hyperlink" Target="https://pbs.twimg.com/profile_images/1866450771761344512/bzxFJWq5_400x400.jpg" TargetMode="External"/><Relationship Id="rId152" Type="http://schemas.openxmlformats.org/officeDocument/2006/relationships/hyperlink" Target="https://www.cookie.fun/chains/solana.svg" TargetMode="External"/><Relationship Id="rId2040" Type="http://schemas.openxmlformats.org/officeDocument/2006/relationships/hyperlink" Target="https://www.cookie.fun/chains/solana.svg" TargetMode="External"/><Relationship Id="rId2997" Type="http://schemas.openxmlformats.org/officeDocument/2006/relationships/hyperlink" Target="https://x.com/CryptoNewton/status/1879182201998266817" TargetMode="External"/><Relationship Id="rId969" Type="http://schemas.openxmlformats.org/officeDocument/2006/relationships/hyperlink" Target="https://www.cookie.fun/chains/base.svg" TargetMode="External"/><Relationship Id="rId1599" Type="http://schemas.openxmlformats.org/officeDocument/2006/relationships/hyperlink" Target="https://www.cookie.fun/chains/solana.svg" TargetMode="External"/><Relationship Id="rId1459" Type="http://schemas.openxmlformats.org/officeDocument/2006/relationships/hyperlink" Target="https://www.cookie.fun/agent/uvvu" TargetMode="External"/><Relationship Id="rId2857" Type="http://schemas.openxmlformats.org/officeDocument/2006/relationships/hyperlink" Target="https://www.cookie.fun/agent/ai16z-eliza" TargetMode="External"/><Relationship Id="rId3908" Type="http://schemas.openxmlformats.org/officeDocument/2006/relationships/hyperlink" Target="https://pbs.twimg.com/profile_images/1782157237232005120/EWToWyVO_normal.jpg" TargetMode="External"/><Relationship Id="rId4072" Type="http://schemas.openxmlformats.org/officeDocument/2006/relationships/hyperlink" Target="https://pbs.twimg.com/profile_images/1820898804834369536/kEO4-xkf_normal.jpg" TargetMode="External"/><Relationship Id="rId98" Type="http://schemas.openxmlformats.org/officeDocument/2006/relationships/hyperlink" Target="https://x.com/lowercaseboot/status/1878301674567295391" TargetMode="External"/><Relationship Id="rId829" Type="http://schemas.openxmlformats.org/officeDocument/2006/relationships/hyperlink" Target="https://www.cookie.fun/agent/llama8b" TargetMode="External"/><Relationship Id="rId1666" Type="http://schemas.openxmlformats.org/officeDocument/2006/relationships/hyperlink" Target="https://www.cookie.fun/agent/aeris" TargetMode="External"/><Relationship Id="rId1873" Type="http://schemas.openxmlformats.org/officeDocument/2006/relationships/hyperlink" Target="https://www.cookie.fun/agent/basedberg-audit-ai" TargetMode="External"/><Relationship Id="rId2717" Type="http://schemas.openxmlformats.org/officeDocument/2006/relationships/hyperlink" Target="https://www.cookie.fun/chains/solana.svg" TargetMode="External"/><Relationship Id="rId2924" Type="http://schemas.openxmlformats.org/officeDocument/2006/relationships/hyperlink" Target="https://x.com/RealDeFiGregg/status/1878705930063450482" TargetMode="External"/><Relationship Id="rId1319" Type="http://schemas.openxmlformats.org/officeDocument/2006/relationships/hyperlink" Target="https://pbs.twimg.com/profile_images/1864025597166460929/vbHKZ8G8_400x400.jpg" TargetMode="External"/><Relationship Id="rId1526" Type="http://schemas.openxmlformats.org/officeDocument/2006/relationships/hyperlink" Target="https://pbs.twimg.com/profile_images/1858627240843460608/lF6kfKfd_400x400.jpg" TargetMode="External"/><Relationship Id="rId1733" Type="http://schemas.openxmlformats.org/officeDocument/2006/relationships/hyperlink" Target="https://pbs.twimg.com/profile_images/1874352380461932544/Ht9PSwyE_400x400.jpg" TargetMode="External"/><Relationship Id="rId1940" Type="http://schemas.openxmlformats.org/officeDocument/2006/relationships/hyperlink" Target="https://pbs.twimg.com/profile_images/1715337850500026368/mfsYES4j_normal.jpg" TargetMode="External"/><Relationship Id="rId25" Type="http://schemas.openxmlformats.org/officeDocument/2006/relationships/hyperlink" Target="https://www.cookie.fun/chains/solana.svg" TargetMode="External"/><Relationship Id="rId1800" Type="http://schemas.openxmlformats.org/officeDocument/2006/relationships/hyperlink" Target="https://www.cookie.fun/chains/base.svg" TargetMode="External"/><Relationship Id="rId3698" Type="http://schemas.openxmlformats.org/officeDocument/2006/relationships/hyperlink" Target="https://pbs.twimg.com/profile_images/1801175932314480641/8EhejS8-_normal.jpg" TargetMode="External"/><Relationship Id="rId3558" Type="http://schemas.openxmlformats.org/officeDocument/2006/relationships/hyperlink" Target="https://x.com/cryptomanran/status/1877707118553268721" TargetMode="External"/><Relationship Id="rId3765" Type="http://schemas.openxmlformats.org/officeDocument/2006/relationships/hyperlink" Target="https://www.cookie.fun/chains/solana.svg" TargetMode="External"/><Relationship Id="rId3972" Type="http://schemas.openxmlformats.org/officeDocument/2006/relationships/hyperlink" Target="https://pbs.twimg.com/profile_images/1596397627645444097/DBO9K1Xg_normal.jpg" TargetMode="External"/><Relationship Id="rId479" Type="http://schemas.openxmlformats.org/officeDocument/2006/relationships/hyperlink" Target="https://www.cookie.fun/agent/martzai" TargetMode="External"/><Relationship Id="rId686" Type="http://schemas.openxmlformats.org/officeDocument/2006/relationships/hyperlink" Target="https://pbs.twimg.com/profile_images/1874544893642637312/Fk0ptuaj_400x400.jpg" TargetMode="External"/><Relationship Id="rId893" Type="http://schemas.openxmlformats.org/officeDocument/2006/relationships/hyperlink" Target="https://pbs.twimg.com/profile_images/1455591635945865218/5caLo6x7_400x400.jpg" TargetMode="External"/><Relationship Id="rId2367" Type="http://schemas.openxmlformats.org/officeDocument/2006/relationships/hyperlink" Target="https://www.cookie.fun/agent/aimonica" TargetMode="External"/><Relationship Id="rId2574" Type="http://schemas.openxmlformats.org/officeDocument/2006/relationships/hyperlink" Target="https://x.com/BiteyeCN/status/1877249880021942569" TargetMode="External"/><Relationship Id="rId2781" Type="http://schemas.openxmlformats.org/officeDocument/2006/relationships/hyperlink" Target="https://x.com/jbondwagon/status/1879380516128059678" TargetMode="External"/><Relationship Id="rId3418" Type="http://schemas.openxmlformats.org/officeDocument/2006/relationships/hyperlink" Target="https://pbs.twimg.com/profile_images/1849338586979790848/nuc8A5WR_normal.png" TargetMode="External"/><Relationship Id="rId3625" Type="http://schemas.openxmlformats.org/officeDocument/2006/relationships/hyperlink" Target="https://x.com/AviFelman/status/1879267969802674447" TargetMode="External"/><Relationship Id="rId339" Type="http://schemas.openxmlformats.org/officeDocument/2006/relationships/hyperlink" Target="https://www.cookie.fun/chains/solana.svg" TargetMode="External"/><Relationship Id="rId546" Type="http://schemas.openxmlformats.org/officeDocument/2006/relationships/hyperlink" Target="https://pbs.twimg.com/profile_images/1859994186852061184/ISESjQAu_400x400.jpg" TargetMode="External"/><Relationship Id="rId753" Type="http://schemas.openxmlformats.org/officeDocument/2006/relationships/hyperlink" Target="https://www.cookie.fun/chains/solana.svg" TargetMode="External"/><Relationship Id="rId1176" Type="http://schemas.openxmlformats.org/officeDocument/2006/relationships/hyperlink" Target="https://www.cookie.fun/chains/solana.svg" TargetMode="External"/><Relationship Id="rId1383" Type="http://schemas.openxmlformats.org/officeDocument/2006/relationships/hyperlink" Target="https://www.cookie.fun/chains/solana.svg" TargetMode="External"/><Relationship Id="rId2227" Type="http://schemas.openxmlformats.org/officeDocument/2006/relationships/hyperlink" Target="https://www.cookie.fun/agent/quantumchrono" TargetMode="External"/><Relationship Id="rId2434" Type="http://schemas.openxmlformats.org/officeDocument/2006/relationships/hyperlink" Target="https://x.com/Degen__Ape__/status/1877580194279731430" TargetMode="External"/><Relationship Id="rId3832" Type="http://schemas.openxmlformats.org/officeDocument/2006/relationships/hyperlink" Target="https://www.cookie.fun/agent/mmtic" TargetMode="External"/><Relationship Id="rId406" Type="http://schemas.openxmlformats.org/officeDocument/2006/relationships/hyperlink" Target="https://www.cookie.fun/agent/cumfart-ai" TargetMode="External"/><Relationship Id="rId960" Type="http://schemas.openxmlformats.org/officeDocument/2006/relationships/hyperlink" Target="https://www.cookie.fun/chains/base.svg" TargetMode="External"/><Relationship Id="rId1036" Type="http://schemas.openxmlformats.org/officeDocument/2006/relationships/hyperlink" Target="https://www.cookie.fun/agent/aijim" TargetMode="External"/><Relationship Id="rId1243" Type="http://schemas.openxmlformats.org/officeDocument/2006/relationships/hyperlink" Target="https://www.cookie.fun/agent/brat" TargetMode="External"/><Relationship Id="rId1590" Type="http://schemas.openxmlformats.org/officeDocument/2006/relationships/hyperlink" Target="https://www.cookie.fun/chains/solana.svg" TargetMode="External"/><Relationship Id="rId2641" Type="http://schemas.openxmlformats.org/officeDocument/2006/relationships/hyperlink" Target="https://pbs.twimg.com/profile_images/1868227876287397888/_Ex4g8QH_normal.jpg" TargetMode="External"/><Relationship Id="rId613" Type="http://schemas.openxmlformats.org/officeDocument/2006/relationships/hyperlink" Target="https://www.cookie.fun/agent/airthur-hayes" TargetMode="External"/><Relationship Id="rId820" Type="http://schemas.openxmlformats.org/officeDocument/2006/relationships/hyperlink" Target="https://www.cookie.fun/agent/the-pea-guy" TargetMode="External"/><Relationship Id="rId1450" Type="http://schemas.openxmlformats.org/officeDocument/2006/relationships/hyperlink" Target="https://www.cookie.fun/agent/kwon" TargetMode="External"/><Relationship Id="rId2501" Type="http://schemas.openxmlformats.org/officeDocument/2006/relationships/hyperlink" Target="https://www.cookie.fun/chains/base.svg" TargetMode="External"/><Relationship Id="rId1103" Type="http://schemas.openxmlformats.org/officeDocument/2006/relationships/hyperlink" Target="https://pbs.twimg.com/profile_images/1867535673361666049/77C2DH-O_400x400.jpg" TargetMode="External"/><Relationship Id="rId1310" Type="http://schemas.openxmlformats.org/officeDocument/2006/relationships/hyperlink" Target="https://pbs.twimg.com/profile_images/1862325991130992640/xeLB0oZZ_400x400.jpg" TargetMode="External"/><Relationship Id="rId3068" Type="http://schemas.openxmlformats.org/officeDocument/2006/relationships/hyperlink" Target="https://www.cookie.fun/agent/bloomsperg-terminal" TargetMode="External"/><Relationship Id="rId3275" Type="http://schemas.openxmlformats.org/officeDocument/2006/relationships/hyperlink" Target="https://pbs.twimg.com/profile_images/1875848848914198528/dTDQkdua_400x400.jpg" TargetMode="External"/><Relationship Id="rId3482" Type="http://schemas.openxmlformats.org/officeDocument/2006/relationships/hyperlink" Target="https://pbs.twimg.com/profile_images/1745561226371846144/v2DO9VLS_normal.jpg" TargetMode="External"/><Relationship Id="rId4119" Type="http://schemas.openxmlformats.org/officeDocument/2006/relationships/hyperlink" Target="https://www.cookie.fun/agent/etholana" TargetMode="External"/><Relationship Id="rId196" Type="http://schemas.openxmlformats.org/officeDocument/2006/relationships/hyperlink" Target="https://pbs.twimg.com/profile_images/1863912330893066240/woiw7vBA_400x400.jpg" TargetMode="External"/><Relationship Id="rId2084" Type="http://schemas.openxmlformats.org/officeDocument/2006/relationships/hyperlink" Target="https://www.cookie.fun/agent/vino" TargetMode="External"/><Relationship Id="rId2291" Type="http://schemas.openxmlformats.org/officeDocument/2006/relationships/hyperlink" Target="https://pbs.twimg.com/profile_images/1867340003766153216/_J-fkeCd_normal.jpg" TargetMode="External"/><Relationship Id="rId3135" Type="http://schemas.openxmlformats.org/officeDocument/2006/relationships/hyperlink" Target="https://pbs.twimg.com/profile_images/1865224384744681472/2pnacw8N_400x400.jpg" TargetMode="External"/><Relationship Id="rId3342" Type="http://schemas.openxmlformats.org/officeDocument/2006/relationships/hyperlink" Target="https://pbs.twimg.com/profile_images/1878136072775118848/kfqFBXgr_normal.jpg" TargetMode="External"/><Relationship Id="rId263" Type="http://schemas.openxmlformats.org/officeDocument/2006/relationships/hyperlink" Target="https://pbs.twimg.com/profile_images/1713690740805849088/PqjmHjdD_400x400.jpg" TargetMode="External"/><Relationship Id="rId470" Type="http://schemas.openxmlformats.org/officeDocument/2006/relationships/hyperlink" Target="https://www.cookie.fun/agent/rizzyai" TargetMode="External"/><Relationship Id="rId2151" Type="http://schemas.openxmlformats.org/officeDocument/2006/relationships/hyperlink" Target="https://www.cookie.fun/agent/apeout-ai" TargetMode="External"/><Relationship Id="rId3202" Type="http://schemas.openxmlformats.org/officeDocument/2006/relationships/hyperlink" Target="https://pbs.twimg.com/profile_images/1815426158172798983/8XxWaQRA_normal.jpg" TargetMode="External"/><Relationship Id="rId123" Type="http://schemas.openxmlformats.org/officeDocument/2006/relationships/hyperlink" Target="https://pbs.twimg.com/profile_images/1854649559529443328/YMwHnIx1_400x400.jpg" TargetMode="External"/><Relationship Id="rId330" Type="http://schemas.openxmlformats.org/officeDocument/2006/relationships/hyperlink" Target="https://www.cookie.fun/chains/solana.svg" TargetMode="External"/><Relationship Id="rId2011" Type="http://schemas.openxmlformats.org/officeDocument/2006/relationships/hyperlink" Target="https://www.cookie.fun/agent/yomomai" TargetMode="External"/><Relationship Id="rId2968" Type="http://schemas.openxmlformats.org/officeDocument/2006/relationships/hyperlink" Target="https://pbs.twimg.com/profile_images/1554027145420500992/0oOUOv6L_normal.jpg" TargetMode="External"/><Relationship Id="rId1777" Type="http://schemas.openxmlformats.org/officeDocument/2006/relationships/hyperlink" Target="https://www.cookie.fun/agent/cerexa" TargetMode="External"/><Relationship Id="rId1984" Type="http://schemas.openxmlformats.org/officeDocument/2006/relationships/hyperlink" Target="https://www.cookie.fun/agent/lamu" TargetMode="External"/><Relationship Id="rId2828" Type="http://schemas.openxmlformats.org/officeDocument/2006/relationships/hyperlink" Target="https://pbs.twimg.com/profile_images/1768029358315171840/ZbsKj_pI_normal.jpg" TargetMode="External"/><Relationship Id="rId69" Type="http://schemas.openxmlformats.org/officeDocument/2006/relationships/hyperlink" Target="https://www.cookie.fun/chains/base.svg" TargetMode="External"/><Relationship Id="rId1637" Type="http://schemas.openxmlformats.org/officeDocument/2006/relationships/hyperlink" Target="https://pbs.twimg.com/profile_images/1863582985250865152/uyXIwhhj_400x400.jpg" TargetMode="External"/><Relationship Id="rId1844" Type="http://schemas.openxmlformats.org/officeDocument/2006/relationships/hyperlink" Target="https://pbs.twimg.com/profile_images/1875199097767915520/6IYxQhWN_400x400.jpg" TargetMode="External"/><Relationship Id="rId4043" Type="http://schemas.openxmlformats.org/officeDocument/2006/relationships/hyperlink" Target="https://x.com/0xBiZzy/status/1877469574196498567" TargetMode="External"/><Relationship Id="rId1704" Type="http://schemas.openxmlformats.org/officeDocument/2006/relationships/hyperlink" Target="https://www.cookie.fun/chains/base.svg" TargetMode="External"/><Relationship Id="rId4110" Type="http://schemas.openxmlformats.org/officeDocument/2006/relationships/hyperlink" Target="https://pbs.twimg.com/profile_images/1857528340963557376/eeuu3N8u_400x400.jpg" TargetMode="External"/><Relationship Id="rId1911" Type="http://schemas.openxmlformats.org/officeDocument/2006/relationships/hyperlink" Target="https://www.cookie.fun/chains/base.svg" TargetMode="External"/><Relationship Id="rId3669" Type="http://schemas.openxmlformats.org/officeDocument/2006/relationships/hyperlink" Target="https://x.com/cryptunez/status/1877830990942662763" TargetMode="External"/><Relationship Id="rId797" Type="http://schemas.openxmlformats.org/officeDocument/2006/relationships/hyperlink" Target="https://pbs.twimg.com/profile_images/1857784000846135296/EyMD-2DZ_400x400.jpg" TargetMode="External"/><Relationship Id="rId2478" Type="http://schemas.openxmlformats.org/officeDocument/2006/relationships/hyperlink" Target="https://x.com/brydisanto/status/1877116253086667060" TargetMode="External"/><Relationship Id="rId3876" Type="http://schemas.openxmlformats.org/officeDocument/2006/relationships/hyperlink" Target="https://x.com/CapoXXIII/status/1879069713462137204" TargetMode="External"/><Relationship Id="rId1287" Type="http://schemas.openxmlformats.org/officeDocument/2006/relationships/hyperlink" Target="https://www.cookie.fun/chains/solana.svg" TargetMode="External"/><Relationship Id="rId2685" Type="http://schemas.openxmlformats.org/officeDocument/2006/relationships/hyperlink" Target="https://pbs.twimg.com/profile_images/1862965859016212480/9Qt3inkI_normal.jpg" TargetMode="External"/><Relationship Id="rId2892" Type="http://schemas.openxmlformats.org/officeDocument/2006/relationships/hyperlink" Target="https://www.cookie.fun/agent/kaia" TargetMode="External"/><Relationship Id="rId3529" Type="http://schemas.openxmlformats.org/officeDocument/2006/relationships/hyperlink" Target="https://pbs.twimg.com/profile_images/1862794534133936128/vL0hyCU0_400x400.jpg" TargetMode="External"/><Relationship Id="rId3736" Type="http://schemas.openxmlformats.org/officeDocument/2006/relationships/hyperlink" Target="https://pbs.twimg.com/profile_images/1861197115172757504/1wmUZzBR_normal.jpg" TargetMode="External"/><Relationship Id="rId3943" Type="http://schemas.openxmlformats.org/officeDocument/2006/relationships/hyperlink" Target="https://pbs.twimg.com/profile_images/1861812218624458752/6I1bbCdC_400x400.jpg" TargetMode="External"/><Relationship Id="rId657" Type="http://schemas.openxmlformats.org/officeDocument/2006/relationships/hyperlink" Target="https://www.cookie.fun/chains/solana.svg" TargetMode="External"/><Relationship Id="rId864" Type="http://schemas.openxmlformats.org/officeDocument/2006/relationships/hyperlink" Target="https://www.cookie.fun/chains/base.svg" TargetMode="External"/><Relationship Id="rId1494" Type="http://schemas.openxmlformats.org/officeDocument/2006/relationships/hyperlink" Target="https://www.cookie.fun/chains/solana.svg" TargetMode="External"/><Relationship Id="rId2338" Type="http://schemas.openxmlformats.org/officeDocument/2006/relationships/hyperlink" Target="https://x.com/0xENAS/status/1879019235193831498" TargetMode="External"/><Relationship Id="rId2545" Type="http://schemas.openxmlformats.org/officeDocument/2006/relationships/hyperlink" Target="https://pbs.twimg.com/profile_images/1601094719525855232/aOkAPHtC_normal.png" TargetMode="External"/><Relationship Id="rId2752" Type="http://schemas.openxmlformats.org/officeDocument/2006/relationships/hyperlink" Target="https://pbs.twimg.com/profile_images/1858540593921904640/Sp1BaT4O_400x400.jpg" TargetMode="External"/><Relationship Id="rId3803" Type="http://schemas.openxmlformats.org/officeDocument/2006/relationships/hyperlink" Target="https://x.com/Chilearmy123/status/1877523253960335474" TargetMode="External"/><Relationship Id="rId517" Type="http://schemas.openxmlformats.org/officeDocument/2006/relationships/hyperlink" Target="https://www.cookie.fun/chains/base.svg" TargetMode="External"/><Relationship Id="rId724" Type="http://schemas.openxmlformats.org/officeDocument/2006/relationships/hyperlink" Target="https://www.cookie.fun/agent/zarafi" TargetMode="External"/><Relationship Id="rId931" Type="http://schemas.openxmlformats.org/officeDocument/2006/relationships/hyperlink" Target="https://www.cookie.fun/agent/efi" TargetMode="External"/><Relationship Id="rId1147" Type="http://schemas.openxmlformats.org/officeDocument/2006/relationships/hyperlink" Target="https://www.cookie.fun/agent/lilbtc" TargetMode="External"/><Relationship Id="rId1354" Type="http://schemas.openxmlformats.org/officeDocument/2006/relationships/hyperlink" Target="https://www.cookie.fun/agent/tori" TargetMode="External"/><Relationship Id="rId1561" Type="http://schemas.openxmlformats.org/officeDocument/2006/relationships/hyperlink" Target="https://www.cookie.fun/agent/frieren" TargetMode="External"/><Relationship Id="rId2405" Type="http://schemas.openxmlformats.org/officeDocument/2006/relationships/hyperlink" Target="https://www.cookie.fun/chains/solana.svg" TargetMode="External"/><Relationship Id="rId2612" Type="http://schemas.openxmlformats.org/officeDocument/2006/relationships/hyperlink" Target="https://x.com/bycoinhunter/status/1877799501483712757" TargetMode="External"/><Relationship Id="rId60" Type="http://schemas.openxmlformats.org/officeDocument/2006/relationships/hyperlink" Target="https://www.cookie.fun/chains/base.svg" TargetMode="External"/><Relationship Id="rId1007" Type="http://schemas.openxmlformats.org/officeDocument/2006/relationships/hyperlink" Target="https://pbs.twimg.com/profile_images/1873523688785473536/iqMobUm9_400x400.jpg" TargetMode="External"/><Relationship Id="rId1214" Type="http://schemas.openxmlformats.org/officeDocument/2006/relationships/hyperlink" Target="https://pbs.twimg.com/profile_images/1863524142617636864/F9I3o6PV_400x400.png" TargetMode="External"/><Relationship Id="rId1421" Type="http://schemas.openxmlformats.org/officeDocument/2006/relationships/hyperlink" Target="https://pbs.twimg.com/profile_images/1690991721105014784/ZnV4uFFr_400x400.jpg" TargetMode="External"/><Relationship Id="rId3179" Type="http://schemas.openxmlformats.org/officeDocument/2006/relationships/hyperlink" Target="https://pbs.twimg.com/profile_images/1637218141255131139/IY4gsV5h_normal.jpg" TargetMode="External"/><Relationship Id="rId3386" Type="http://schemas.openxmlformats.org/officeDocument/2006/relationships/hyperlink" Target="https://pbs.twimg.com/profile_images/1775346225019072513/gWL-bbsT_normal.jpg" TargetMode="External"/><Relationship Id="rId3593" Type="http://schemas.openxmlformats.org/officeDocument/2006/relationships/hyperlink" Target="https://pbs.twimg.com/profile_images/1869771048477986816/krSR5jvx_400x400.jpg" TargetMode="External"/><Relationship Id="rId2195" Type="http://schemas.openxmlformats.org/officeDocument/2006/relationships/hyperlink" Target="https://abs.twimg.com/sticky/default_profile_images/default_profile_400x400.png" TargetMode="External"/><Relationship Id="rId3039" Type="http://schemas.openxmlformats.org/officeDocument/2006/relationships/hyperlink" Target="https://x.com/CoinbaseAssets/status/1878873507389423828" TargetMode="External"/><Relationship Id="rId3246" Type="http://schemas.openxmlformats.org/officeDocument/2006/relationships/hyperlink" Target="https://x.com/KaminoCrypto/status/1879437420133073144" TargetMode="External"/><Relationship Id="rId3453" Type="http://schemas.openxmlformats.org/officeDocument/2006/relationships/hyperlink" Target="https://x.com/notthreadguy/status/1877549918010933604" TargetMode="External"/><Relationship Id="rId167" Type="http://schemas.openxmlformats.org/officeDocument/2006/relationships/hyperlink" Target="https://www.cookie.fun/chains/base.svg" TargetMode="External"/><Relationship Id="rId374" Type="http://schemas.openxmlformats.org/officeDocument/2006/relationships/hyperlink" Target="https://pbs.twimg.com/profile_images/1850933417220694016/vAKwyrlK_400x400.jpg" TargetMode="External"/><Relationship Id="rId581" Type="http://schemas.openxmlformats.org/officeDocument/2006/relationships/hyperlink" Target="https://www.cookie.fun/agent/hoot-ai" TargetMode="External"/><Relationship Id="rId2055" Type="http://schemas.openxmlformats.org/officeDocument/2006/relationships/hyperlink" Target="https://www.cookie.fun/chains/solana.svg" TargetMode="External"/><Relationship Id="rId2262" Type="http://schemas.openxmlformats.org/officeDocument/2006/relationships/hyperlink" Target="https://x.com/binance/status/1877644979469697286" TargetMode="External"/><Relationship Id="rId3106" Type="http://schemas.openxmlformats.org/officeDocument/2006/relationships/hyperlink" Target="https://x.com/NftPerks/status/1877697573919592457" TargetMode="External"/><Relationship Id="rId3660" Type="http://schemas.openxmlformats.org/officeDocument/2006/relationships/hyperlink" Target="https://pbs.twimg.com/profile_images/1840527197846544384/5jIIuNGx_normal.jpg" TargetMode="External"/><Relationship Id="rId234" Type="http://schemas.openxmlformats.org/officeDocument/2006/relationships/hyperlink" Target="https://www.cookie.fun/agent/ensofi" TargetMode="External"/><Relationship Id="rId3313" Type="http://schemas.openxmlformats.org/officeDocument/2006/relationships/hyperlink" Target="https://www.cookie.fun/chains/solana.svg" TargetMode="External"/><Relationship Id="rId3520" Type="http://schemas.openxmlformats.org/officeDocument/2006/relationships/hyperlink" Target="https://pbs.twimg.com/profile_images/1861067699628986368/U5K_0wia_normal.jpg" TargetMode="External"/><Relationship Id="rId441" Type="http://schemas.openxmlformats.org/officeDocument/2006/relationships/hyperlink" Target="https://pbs.twimg.com/profile_images/1859641929329180672/iidcRewi_400x400.jpg" TargetMode="External"/><Relationship Id="rId1071" Type="http://schemas.openxmlformats.org/officeDocument/2006/relationships/hyperlink" Target="https://www.cookie.fun/chains/solana.svg" TargetMode="External"/><Relationship Id="rId2122" Type="http://schemas.openxmlformats.org/officeDocument/2006/relationships/hyperlink" Target="https://pbs.twimg.com/profile_images/1864605278844645376/-JSBuL3Q_400x400.jpg" TargetMode="External"/><Relationship Id="rId301" Type="http://schemas.openxmlformats.org/officeDocument/2006/relationships/hyperlink" Target="https://www.cookie.fun/agent/nyxia-ai" TargetMode="External"/><Relationship Id="rId1888" Type="http://schemas.openxmlformats.org/officeDocument/2006/relationships/hyperlink" Target="https://www.cookie.fun/agent/aixterminal" TargetMode="External"/><Relationship Id="rId2939" Type="http://schemas.openxmlformats.org/officeDocument/2006/relationships/hyperlink" Target="https://pbs.twimg.com/profile_images/1784674902290862080/P55wozkH_normal.jpg" TargetMode="External"/><Relationship Id="rId4087" Type="http://schemas.openxmlformats.org/officeDocument/2006/relationships/hyperlink" Target="https://pbs.twimg.com/profile_images/1690130453863260160/IYSjBjDM_normal.jpg" TargetMode="External"/><Relationship Id="rId1748" Type="http://schemas.openxmlformats.org/officeDocument/2006/relationships/hyperlink" Target="https://pbs.twimg.com/profile_images/1874516647819571200/NKuGNoYH_400x400.jpg" TargetMode="External"/><Relationship Id="rId4154" Type="http://schemas.openxmlformats.org/officeDocument/2006/relationships/hyperlink" Target="https://www.cookie.fun/chains/base.svg" TargetMode="External"/><Relationship Id="rId1955" Type="http://schemas.openxmlformats.org/officeDocument/2006/relationships/hyperlink" Target="https://pbs.twimg.com/profile_images/1876449948922703873/lajZs2ps_400x400.jpg" TargetMode="External"/><Relationship Id="rId3170" Type="http://schemas.openxmlformats.org/officeDocument/2006/relationships/hyperlink" Target="https://pbs.twimg.com/profile_images/1851347164103901186/0W7XUrzh_400x400.jpg" TargetMode="External"/><Relationship Id="rId4014" Type="http://schemas.openxmlformats.org/officeDocument/2006/relationships/hyperlink" Target="https://pbs.twimg.com/profile_images/1580324266456776704/2bzFTexS_normal.jpg" TargetMode="External"/><Relationship Id="rId1608" Type="http://schemas.openxmlformats.org/officeDocument/2006/relationships/hyperlink" Target="https://www.cookie.fun/chains/solana.svg" TargetMode="External"/><Relationship Id="rId1815" Type="http://schemas.openxmlformats.org/officeDocument/2006/relationships/hyperlink" Target="https://www.cookie.fun/chains/base.svg" TargetMode="External"/><Relationship Id="rId3030" Type="http://schemas.openxmlformats.org/officeDocument/2006/relationships/hyperlink" Target="https://pbs.twimg.com/profile_images/1869334335079489536/i3Qd_1b__normal.jpg" TargetMode="External"/><Relationship Id="rId3987" Type="http://schemas.openxmlformats.org/officeDocument/2006/relationships/hyperlink" Target="https://pbs.twimg.com/profile_images/1848281351608221696/TUGl7g0l_normal.jpg" TargetMode="External"/><Relationship Id="rId2589" Type="http://schemas.openxmlformats.org/officeDocument/2006/relationships/hyperlink" Target="https://pbs.twimg.com/profile_images/1871330840774426625/pjvENjuB_normal.jpg" TargetMode="External"/><Relationship Id="rId2796" Type="http://schemas.openxmlformats.org/officeDocument/2006/relationships/hyperlink" Target="https://pbs.twimg.com/profile_images/1866136095576010752/WXMB4ek2_normal.jpg" TargetMode="External"/><Relationship Id="rId3847" Type="http://schemas.openxmlformats.org/officeDocument/2006/relationships/hyperlink" Target="https://www.cookie.fun/agent/roasted" TargetMode="External"/><Relationship Id="rId768" Type="http://schemas.openxmlformats.org/officeDocument/2006/relationships/hyperlink" Target="https://www.cookie.fun/chains/solana.svg" TargetMode="External"/><Relationship Id="rId975" Type="http://schemas.openxmlformats.org/officeDocument/2006/relationships/hyperlink" Target="https://www.cookie.fun/chains/base.svg" TargetMode="External"/><Relationship Id="rId1398" Type="http://schemas.openxmlformats.org/officeDocument/2006/relationships/hyperlink" Target="https://www.cookie.fun/chains/solana.svg" TargetMode="External"/><Relationship Id="rId2449" Type="http://schemas.openxmlformats.org/officeDocument/2006/relationships/hyperlink" Target="https://pbs.twimg.com/profile_images/1313330188084817920/pRkfjx2j_normal.jpg" TargetMode="External"/><Relationship Id="rId2656" Type="http://schemas.openxmlformats.org/officeDocument/2006/relationships/hyperlink" Target="https://pbs.twimg.com/profile_images/1864128474698665987/EA3ICb_s_400x400.jpg" TargetMode="External"/><Relationship Id="rId2863" Type="http://schemas.openxmlformats.org/officeDocument/2006/relationships/hyperlink" Target="https://pbs.twimg.com/profile_images/1833387356159647744/3PxzMm1T_normal.jpg" TargetMode="External"/><Relationship Id="rId3707" Type="http://schemas.openxmlformats.org/officeDocument/2006/relationships/hyperlink" Target="https://www.cookie.fun/chains/solana.svg" TargetMode="External"/><Relationship Id="rId3914" Type="http://schemas.openxmlformats.org/officeDocument/2006/relationships/hyperlink" Target="https://www.cookie.fun/agent/bongo-ai" TargetMode="External"/><Relationship Id="rId628" Type="http://schemas.openxmlformats.org/officeDocument/2006/relationships/hyperlink" Target="https://www.cookie.fun/agent/neoai" TargetMode="External"/><Relationship Id="rId835" Type="http://schemas.openxmlformats.org/officeDocument/2006/relationships/hyperlink" Target="https://www.cookie.fun/agent/agent-zero" TargetMode="External"/><Relationship Id="rId1258" Type="http://schemas.openxmlformats.org/officeDocument/2006/relationships/hyperlink" Target="https://www.cookie.fun/agent/thail" TargetMode="External"/><Relationship Id="rId1465" Type="http://schemas.openxmlformats.org/officeDocument/2006/relationships/hyperlink" Target="https://www.cookie.fun/agent/brainworm" TargetMode="External"/><Relationship Id="rId1672" Type="http://schemas.openxmlformats.org/officeDocument/2006/relationships/hyperlink" Target="https://www.cookie.fun/agent/baiden" TargetMode="External"/><Relationship Id="rId2309" Type="http://schemas.openxmlformats.org/officeDocument/2006/relationships/hyperlink" Target="https://www.cookie.fun/chains/solana.svg" TargetMode="External"/><Relationship Id="rId2516" Type="http://schemas.openxmlformats.org/officeDocument/2006/relationships/hyperlink" Target="https://x.com/CryptoKaduna/status/1877735233497313522" TargetMode="External"/><Relationship Id="rId2723" Type="http://schemas.openxmlformats.org/officeDocument/2006/relationships/hyperlink" Target="https://pbs.twimg.com/profile_images/1724894368698384384/WsylEGZE_normal.jpg" TargetMode="External"/><Relationship Id="rId1118" Type="http://schemas.openxmlformats.org/officeDocument/2006/relationships/hyperlink" Target="https://pbs.twimg.com/profile_images/1866990854855966720/yDW4o4bx_400x400.jpg" TargetMode="External"/><Relationship Id="rId1325" Type="http://schemas.openxmlformats.org/officeDocument/2006/relationships/hyperlink" Target="https://pbs.twimg.com/profile_images/1877289934865756160/OR8yhysH_400x400.jpg" TargetMode="External"/><Relationship Id="rId1532" Type="http://schemas.openxmlformats.org/officeDocument/2006/relationships/hyperlink" Target="https://pbs.twimg.com/profile_images/1858605931048955906/v4ixgnPZ_400x400.jpg" TargetMode="External"/><Relationship Id="rId2930" Type="http://schemas.openxmlformats.org/officeDocument/2006/relationships/hyperlink" Target="https://x.com/RealDeFiGregg/status/1878011462783844563" TargetMode="External"/><Relationship Id="rId902" Type="http://schemas.openxmlformats.org/officeDocument/2006/relationships/hyperlink" Target="https://pbs.twimg.com/profile_images/1871126316264636416/09jXc8yQ_400x400.jpg" TargetMode="External"/><Relationship Id="rId3497" Type="http://schemas.openxmlformats.org/officeDocument/2006/relationships/hyperlink" Target="https://pbs.twimg.com/profile_images/1868298971837255680/cN-ikO7h_normal.jpg" TargetMode="External"/><Relationship Id="rId31" Type="http://schemas.openxmlformats.org/officeDocument/2006/relationships/hyperlink" Target="https://www.cookie.fun/chains/base.svg" TargetMode="External"/><Relationship Id="rId2099" Type="http://schemas.openxmlformats.org/officeDocument/2006/relationships/hyperlink" Target="https://www.cookie.fun/agent/simplyfi-fun" TargetMode="External"/><Relationship Id="rId278" Type="http://schemas.openxmlformats.org/officeDocument/2006/relationships/hyperlink" Target="https://pbs.twimg.com/profile_images/1878326103208570881/Cte3ntVn_400x400.jpg" TargetMode="External"/><Relationship Id="rId3357" Type="http://schemas.openxmlformats.org/officeDocument/2006/relationships/hyperlink" Target="https://www.cookie.fun/agent/chaos" TargetMode="External"/><Relationship Id="rId3564" Type="http://schemas.openxmlformats.org/officeDocument/2006/relationships/hyperlink" Target="https://x.com/SeedifyFund/status/1879216695748841759" TargetMode="External"/><Relationship Id="rId3771" Type="http://schemas.openxmlformats.org/officeDocument/2006/relationships/hyperlink" Target="https://x.com/Zeneca/status/1879498737057460617" TargetMode="External"/><Relationship Id="rId485" Type="http://schemas.openxmlformats.org/officeDocument/2006/relationships/hyperlink" Target="https://www.cookie.fun/agent/solod-the-buddy" TargetMode="External"/><Relationship Id="rId692" Type="http://schemas.openxmlformats.org/officeDocument/2006/relationships/hyperlink" Target="https://pbs.twimg.com/profile_images/1866120237638131713/urPheOcr_400x400.jpg" TargetMode="External"/><Relationship Id="rId2166" Type="http://schemas.openxmlformats.org/officeDocument/2006/relationships/hyperlink" Target="https://www.cookie.fun/agent/aiphrodite" TargetMode="External"/><Relationship Id="rId2373" Type="http://schemas.openxmlformats.org/officeDocument/2006/relationships/hyperlink" Target="https://pbs.twimg.com/profile_images/1632754444982157318/lFiea3rp_normal.jpg" TargetMode="External"/><Relationship Id="rId2580" Type="http://schemas.openxmlformats.org/officeDocument/2006/relationships/hyperlink" Target="https://x.com/iamjosephyoung/status/1878701243973144917" TargetMode="External"/><Relationship Id="rId3217" Type="http://schemas.openxmlformats.org/officeDocument/2006/relationships/hyperlink" Target="https://pbs.twimg.com/profile_images/1873586640331091969/yrQ3nUwG_400x400.jpg" TargetMode="External"/><Relationship Id="rId3424" Type="http://schemas.openxmlformats.org/officeDocument/2006/relationships/hyperlink" Target="https://x.com/adamagb/status/1878148918808072196" TargetMode="External"/><Relationship Id="rId3631" Type="http://schemas.openxmlformats.org/officeDocument/2006/relationships/hyperlink" Target="https://pbs.twimg.com/profile_images/1876221125446787072/H_15cndc_400x400.jpg" TargetMode="External"/><Relationship Id="rId138" Type="http://schemas.openxmlformats.org/officeDocument/2006/relationships/hyperlink" Target="https://www.cookie.fun/agent/aejo" TargetMode="External"/><Relationship Id="rId345" Type="http://schemas.openxmlformats.org/officeDocument/2006/relationships/hyperlink" Target="https://www.cookie.fun/chains/solana.svg" TargetMode="External"/><Relationship Id="rId552" Type="http://schemas.openxmlformats.org/officeDocument/2006/relationships/hyperlink" Target="https://pbs.twimg.com/profile_images/1859256178275975168/6lynhCQz_400x400.jpg" TargetMode="External"/><Relationship Id="rId1182" Type="http://schemas.openxmlformats.org/officeDocument/2006/relationships/hyperlink" Target="https://www.cookie.fun/chains/solana.svg" TargetMode="External"/><Relationship Id="rId2026" Type="http://schemas.openxmlformats.org/officeDocument/2006/relationships/hyperlink" Target="https://www.cookie.fun/agent/dogex_ai" TargetMode="External"/><Relationship Id="rId2233" Type="http://schemas.openxmlformats.org/officeDocument/2006/relationships/hyperlink" Target="https://pbs.twimg.com/profile_images/1868384832977276928/5DGOL9us_400x400.jpg" TargetMode="External"/><Relationship Id="rId2440" Type="http://schemas.openxmlformats.org/officeDocument/2006/relationships/hyperlink" Target="https://pbs.twimg.com/profile_images/1867441064669589504/sUbo5tgR_400x400.jpg" TargetMode="External"/><Relationship Id="rId205" Type="http://schemas.openxmlformats.org/officeDocument/2006/relationships/hyperlink" Target="https://pbs.twimg.com/profile_images/1847320622340431872/mzTTh50y_400x400.jpg" TargetMode="External"/><Relationship Id="rId412" Type="http://schemas.openxmlformats.org/officeDocument/2006/relationships/hyperlink" Target="https://www.cookie.fun/agent/gort" TargetMode="External"/><Relationship Id="rId1042" Type="http://schemas.openxmlformats.org/officeDocument/2006/relationships/hyperlink" Target="https://www.cookie.fun/agent/clown" TargetMode="External"/><Relationship Id="rId2300" Type="http://schemas.openxmlformats.org/officeDocument/2006/relationships/hyperlink" Target="https://x.com/S4mmyEth/status/1878996667359264804" TargetMode="External"/><Relationship Id="rId1999" Type="http://schemas.openxmlformats.org/officeDocument/2006/relationships/hyperlink" Target="https://www.cookie.fun/agent/zero" TargetMode="External"/><Relationship Id="rId4058" Type="http://schemas.openxmlformats.org/officeDocument/2006/relationships/hyperlink" Target="https://x.com/0xsuperpat/status/1878794765778718768" TargetMode="External"/><Relationship Id="rId1859" Type="http://schemas.openxmlformats.org/officeDocument/2006/relationships/hyperlink" Target="https://pbs.twimg.com/profile_images/1875548203174563840/pBVh2tMn_400x400.jpg" TargetMode="External"/><Relationship Id="rId3074" Type="http://schemas.openxmlformats.org/officeDocument/2006/relationships/hyperlink" Target="https://pbs.twimg.com/profile_images/1423875044598456321/SVjwd6Bb_normal.jpg" TargetMode="External"/><Relationship Id="rId4125" Type="http://schemas.openxmlformats.org/officeDocument/2006/relationships/hyperlink" Target="https://pbs.twimg.com/profile_images/1843549621747924992/m_MebdQE_400x400.jpg" TargetMode="External"/><Relationship Id="rId1719" Type="http://schemas.openxmlformats.org/officeDocument/2006/relationships/hyperlink" Target="https://www.cookie.fun/chains/base.svg" TargetMode="External"/><Relationship Id="rId1926" Type="http://schemas.openxmlformats.org/officeDocument/2006/relationships/hyperlink" Target="https://www.cookie.fun/chains/base.svg" TargetMode="External"/><Relationship Id="rId3281" Type="http://schemas.openxmlformats.org/officeDocument/2006/relationships/hyperlink" Target="https://x.com/cooldown_eth/status/1879309813571854748" TargetMode="External"/><Relationship Id="rId2090" Type="http://schemas.openxmlformats.org/officeDocument/2006/relationships/hyperlink" Target="https://www.cookie.fun/agent/memeforge-ai" TargetMode="External"/><Relationship Id="rId3141" Type="http://schemas.openxmlformats.org/officeDocument/2006/relationships/hyperlink" Target="https://x.com/XDeGods/status/1878754041465094536" TargetMode="External"/><Relationship Id="rId3001" Type="http://schemas.openxmlformats.org/officeDocument/2006/relationships/hyperlink" Target="https://pbs.twimg.com/profile_images/1857488709718786048/PjFQ8TNy_400x400.jpg" TargetMode="External"/><Relationship Id="rId3958" Type="http://schemas.openxmlformats.org/officeDocument/2006/relationships/hyperlink" Target="https://pbs.twimg.com/profile_images/1785526747884314624/d6v3VcN7_normal.jpg" TargetMode="External"/><Relationship Id="rId879" Type="http://schemas.openxmlformats.org/officeDocument/2006/relationships/hyperlink" Target="https://www.cookie.fun/chains/base.svg" TargetMode="External"/><Relationship Id="rId2767" Type="http://schemas.openxmlformats.org/officeDocument/2006/relationships/hyperlink" Target="https://pbs.twimg.com/profile_images/1874800519367278592/3UI7A6W8_normal.jpg" TargetMode="External"/><Relationship Id="rId739" Type="http://schemas.openxmlformats.org/officeDocument/2006/relationships/hyperlink" Target="https://www.cookie.fun/agent/pete-davidson-ai" TargetMode="External"/><Relationship Id="rId1369" Type="http://schemas.openxmlformats.org/officeDocument/2006/relationships/hyperlink" Target="https://www.cookie.fun/agent/maria" TargetMode="External"/><Relationship Id="rId1576" Type="http://schemas.openxmlformats.org/officeDocument/2006/relationships/hyperlink" Target="https://www.cookie.fun/agent/int" TargetMode="External"/><Relationship Id="rId2974" Type="http://schemas.openxmlformats.org/officeDocument/2006/relationships/hyperlink" Target="https://pbs.twimg.com/profile_images/1670456392971591681/NKZOtGRm_normal.jpg" TargetMode="External"/><Relationship Id="rId3818" Type="http://schemas.openxmlformats.org/officeDocument/2006/relationships/hyperlink" Target="https://pbs.twimg.com/profile_images/1872667112474390528/rUpWCgr4_400x400.jpg" TargetMode="External"/><Relationship Id="rId946" Type="http://schemas.openxmlformats.org/officeDocument/2006/relationships/hyperlink" Target="https://www.cookie.fun/agent/supai" TargetMode="External"/><Relationship Id="rId1229" Type="http://schemas.openxmlformats.org/officeDocument/2006/relationships/hyperlink" Target="https://pbs.twimg.com/profile_images/1841968506260357123/lQU4L9go_400x400.jpg" TargetMode="External"/><Relationship Id="rId1783" Type="http://schemas.openxmlformats.org/officeDocument/2006/relationships/hyperlink" Target="https://www.cookie.fun/agent/eli5a" TargetMode="External"/><Relationship Id="rId1990" Type="http://schemas.openxmlformats.org/officeDocument/2006/relationships/hyperlink" Target="https://www.cookie.fun/agent/doge-ai" TargetMode="External"/><Relationship Id="rId2627" Type="http://schemas.openxmlformats.org/officeDocument/2006/relationships/hyperlink" Target="https://pbs.twimg.com/profile_images/1769695402318807040/zLKZWTYi_normal.jpg" TargetMode="External"/><Relationship Id="rId2834" Type="http://schemas.openxmlformats.org/officeDocument/2006/relationships/hyperlink" Target="https://pbs.twimg.com/profile_images/1866442584350183424/wgY0q7Ns_400x400.jpg" TargetMode="External"/><Relationship Id="rId75" Type="http://schemas.openxmlformats.org/officeDocument/2006/relationships/hyperlink" Target="https://www.cookie.fun/chains/solana.svg" TargetMode="External"/><Relationship Id="rId806" Type="http://schemas.openxmlformats.org/officeDocument/2006/relationships/hyperlink" Target="https://pbs.twimg.com/profile_images/1855213025021579264/P3l9_hWN_400x400.jpg" TargetMode="External"/><Relationship Id="rId1436" Type="http://schemas.openxmlformats.org/officeDocument/2006/relationships/hyperlink" Target="https://pbs.twimg.com/profile_images/1840826307694747648/ns5rulsl_400x400.jpg" TargetMode="External"/><Relationship Id="rId1643" Type="http://schemas.openxmlformats.org/officeDocument/2006/relationships/hyperlink" Target="https://pbs.twimg.com/profile_images/1858253318516039680/AYlX92VG_400x400.jpg" TargetMode="External"/><Relationship Id="rId1850" Type="http://schemas.openxmlformats.org/officeDocument/2006/relationships/hyperlink" Target="https://pbs.twimg.com/profile_images/1867146432123162624/MtFaFHAW_400x400.jpg" TargetMode="External"/><Relationship Id="rId2901" Type="http://schemas.openxmlformats.org/officeDocument/2006/relationships/hyperlink" Target="https://x.com/KaiaChain/status/1879394262829429234" TargetMode="External"/><Relationship Id="rId1503" Type="http://schemas.openxmlformats.org/officeDocument/2006/relationships/hyperlink" Target="https://www.cookie.fun/chains/solana.svg" TargetMode="External"/><Relationship Id="rId1710" Type="http://schemas.openxmlformats.org/officeDocument/2006/relationships/hyperlink" Target="https://www.cookie.fun/chains/base.svg" TargetMode="External"/><Relationship Id="rId3468" Type="http://schemas.openxmlformats.org/officeDocument/2006/relationships/hyperlink" Target="https://x.com/dippy_eth/status/1879453478449250452" TargetMode="External"/><Relationship Id="rId3675" Type="http://schemas.openxmlformats.org/officeDocument/2006/relationships/hyperlink" Target="https://x.com/0xGunter/status/1877761236600811662" TargetMode="External"/><Relationship Id="rId3882" Type="http://schemas.openxmlformats.org/officeDocument/2006/relationships/hyperlink" Target="https://x.com/Nafwyd/status/1877797160445521933" TargetMode="External"/><Relationship Id="rId389" Type="http://schemas.openxmlformats.org/officeDocument/2006/relationships/hyperlink" Target="https://pbs.twimg.com/profile_images/1856107272654745600/bROwABGM_400x400.jpg" TargetMode="External"/><Relationship Id="rId596" Type="http://schemas.openxmlformats.org/officeDocument/2006/relationships/hyperlink" Target="https://www.cookie.fun/agent/qgg" TargetMode="External"/><Relationship Id="rId2277" Type="http://schemas.openxmlformats.org/officeDocument/2006/relationships/hyperlink" Target="https://pbs.twimg.com/profile_images/1764448451721367552/JdWekZhB_normal.jpg" TargetMode="External"/><Relationship Id="rId2484" Type="http://schemas.openxmlformats.org/officeDocument/2006/relationships/hyperlink" Target="https://x.com/bycoinhunter/status/1877844094308819152" TargetMode="External"/><Relationship Id="rId2691" Type="http://schemas.openxmlformats.org/officeDocument/2006/relationships/hyperlink" Target="https://www.cookie.fun/agent/luna-by-virtuals" TargetMode="External"/><Relationship Id="rId3328" Type="http://schemas.openxmlformats.org/officeDocument/2006/relationships/hyperlink" Target="https://pbs.twimg.com/profile_images/1423875044598456321/SVjwd6Bb_normal.jpg" TargetMode="External"/><Relationship Id="rId3535" Type="http://schemas.openxmlformats.org/officeDocument/2006/relationships/hyperlink" Target="https://x.com/VikkiBardot/status/1877811327030226999" TargetMode="External"/><Relationship Id="rId3742" Type="http://schemas.openxmlformats.org/officeDocument/2006/relationships/hyperlink" Target="https://pbs.twimg.com/profile_images/1501707897641779208/cpB2Dk9__normal.jpg" TargetMode="External"/><Relationship Id="rId249" Type="http://schemas.openxmlformats.org/officeDocument/2006/relationships/hyperlink" Target="https://pbs.twimg.com/profile_images/1877280408624156672/uIbtyNxQ_400x400.jpg" TargetMode="External"/><Relationship Id="rId456" Type="http://schemas.openxmlformats.org/officeDocument/2006/relationships/hyperlink" Target="https://pbs.twimg.com/profile_images/1862433909532729344/QTt0ooLs_400x400.jpg" TargetMode="External"/><Relationship Id="rId663" Type="http://schemas.openxmlformats.org/officeDocument/2006/relationships/hyperlink" Target="https://www.cookie.fun/chains/solana.svg" TargetMode="External"/><Relationship Id="rId870" Type="http://schemas.openxmlformats.org/officeDocument/2006/relationships/hyperlink" Target="https://www.cookie.fun/chains/base.svg" TargetMode="External"/><Relationship Id="rId1086" Type="http://schemas.openxmlformats.org/officeDocument/2006/relationships/hyperlink" Target="https://www.cookie.fun/chains/solana.svg" TargetMode="External"/><Relationship Id="rId1293" Type="http://schemas.openxmlformats.org/officeDocument/2006/relationships/hyperlink" Target="https://www.cookie.fun/chains/solana.svg" TargetMode="External"/><Relationship Id="rId2137" Type="http://schemas.openxmlformats.org/officeDocument/2006/relationships/hyperlink" Target="https://abs.twimg.com/sticky/default_profile_images/default_profile_400x400.png" TargetMode="External"/><Relationship Id="rId2344" Type="http://schemas.openxmlformats.org/officeDocument/2006/relationships/hyperlink" Target="https://pbs.twimg.com/profile_images/1858425877094170624/0Rt_PsU6_400x400.jpg" TargetMode="External"/><Relationship Id="rId2551" Type="http://schemas.openxmlformats.org/officeDocument/2006/relationships/hyperlink" Target="https://pbs.twimg.com/profile_images/1846579538802982912/9qCfx_WU_normal.jpg" TargetMode="External"/><Relationship Id="rId109" Type="http://schemas.openxmlformats.org/officeDocument/2006/relationships/hyperlink" Target="https://www.cookie.fun/chains/solana.svg" TargetMode="External"/><Relationship Id="rId316" Type="http://schemas.openxmlformats.org/officeDocument/2006/relationships/hyperlink" Target="https://www.cookie.fun/agent/sigma-ai-terminal" TargetMode="External"/><Relationship Id="rId523" Type="http://schemas.openxmlformats.org/officeDocument/2006/relationships/hyperlink" Target="https://www.cookie.fun/chains/base.svg" TargetMode="External"/><Relationship Id="rId1153" Type="http://schemas.openxmlformats.org/officeDocument/2006/relationships/hyperlink" Target="https://www.cookie.fun/agent/betty" TargetMode="External"/><Relationship Id="rId2204" Type="http://schemas.openxmlformats.org/officeDocument/2006/relationships/hyperlink" Target="https://pbs.twimg.com/profile_images/1836936308612288512/K63FSPxL_400x400.png" TargetMode="External"/><Relationship Id="rId3602" Type="http://schemas.openxmlformats.org/officeDocument/2006/relationships/hyperlink" Target="https://x.com/ghost93_x/status/1879042768086991033" TargetMode="External"/><Relationship Id="rId730" Type="http://schemas.openxmlformats.org/officeDocument/2006/relationships/hyperlink" Target="https://www.cookie.fun/agent/ouroborosxbt" TargetMode="External"/><Relationship Id="rId1013" Type="http://schemas.openxmlformats.org/officeDocument/2006/relationships/hyperlink" Target="https://pbs.twimg.com/profile_images/1872788957768880128/-yOTz2pY_400x400.jpg" TargetMode="External"/><Relationship Id="rId1360" Type="http://schemas.openxmlformats.org/officeDocument/2006/relationships/hyperlink" Target="https://www.cookie.fun/agent/grim" TargetMode="External"/><Relationship Id="rId2411" Type="http://schemas.openxmlformats.org/officeDocument/2006/relationships/hyperlink" Target="https://pbs.twimg.com/profile_images/1843110137256452096/08qnoVrZ_normal.jpg" TargetMode="External"/><Relationship Id="rId4169" Type="http://schemas.openxmlformats.org/officeDocument/2006/relationships/hyperlink" Target="https://pbs.twimg.com/profile_images/1858693380580298752/Ee4NMFv9_400x400.jpg" TargetMode="External"/><Relationship Id="rId1220" Type="http://schemas.openxmlformats.org/officeDocument/2006/relationships/hyperlink" Target="https://pbs.twimg.com/profile_images/1863301903393988608/a7J03Dch_400x400.jpg" TargetMode="External"/><Relationship Id="rId3185" Type="http://schemas.openxmlformats.org/officeDocument/2006/relationships/hyperlink" Target="https://x.com/TATrader_Alan/status/1877841346784002217" TargetMode="External"/><Relationship Id="rId3392" Type="http://schemas.openxmlformats.org/officeDocument/2006/relationships/hyperlink" Target="https://www.cookie.fun/agent/kira2" TargetMode="External"/><Relationship Id="rId4029" Type="http://schemas.openxmlformats.org/officeDocument/2006/relationships/hyperlink" Target="https://www.cookie.fun/agent/t3" TargetMode="External"/><Relationship Id="rId3045" Type="http://schemas.openxmlformats.org/officeDocument/2006/relationships/hyperlink" Target="https://x.com/gmEthereum/status/1877143629988282623" TargetMode="External"/><Relationship Id="rId3252" Type="http://schemas.openxmlformats.org/officeDocument/2006/relationships/hyperlink" Target="https://www.cookie.fun/agent/project89" TargetMode="External"/><Relationship Id="rId173" Type="http://schemas.openxmlformats.org/officeDocument/2006/relationships/hyperlink" Target="https://www.cookie.fun/chains/base.svg" TargetMode="External"/><Relationship Id="rId380" Type="http://schemas.openxmlformats.org/officeDocument/2006/relationships/hyperlink" Target="https://pbs.twimg.com/profile_images/1850618454618857473/amJ6s1mf_400x400.jpg" TargetMode="External"/><Relationship Id="rId2061" Type="http://schemas.openxmlformats.org/officeDocument/2006/relationships/hyperlink" Target="https://www.cookie.fun/chains/solana.svg" TargetMode="External"/><Relationship Id="rId3112" Type="http://schemas.openxmlformats.org/officeDocument/2006/relationships/hyperlink" Target="https://www.cookie.fun/chains/solana.svg" TargetMode="External"/><Relationship Id="rId240" Type="http://schemas.openxmlformats.org/officeDocument/2006/relationships/hyperlink" Target="https://pbs.twimg.com/profile_images/1848371141724786689/BVCdM6R6_400x400.jpg" TargetMode="External"/><Relationship Id="rId100" Type="http://schemas.openxmlformats.org/officeDocument/2006/relationships/hyperlink" Target="https://x.com/painter_crypto/status/1877017555547595257" TargetMode="External"/><Relationship Id="rId2878" Type="http://schemas.openxmlformats.org/officeDocument/2006/relationships/hyperlink" Target="https://x.com/0x7d54/status/1878448490453352667" TargetMode="External"/><Relationship Id="rId3929" Type="http://schemas.openxmlformats.org/officeDocument/2006/relationships/hyperlink" Target="https://www.cookie.fun/agent/aika" TargetMode="External"/><Relationship Id="rId4093" Type="http://schemas.openxmlformats.org/officeDocument/2006/relationships/hyperlink" Target="https://www.cookie.fun/chains/solana.svg" TargetMode="External"/><Relationship Id="rId1687" Type="http://schemas.openxmlformats.org/officeDocument/2006/relationships/hyperlink" Target="https://www.cookie.fun/agent/fiait" TargetMode="External"/><Relationship Id="rId1894" Type="http://schemas.openxmlformats.org/officeDocument/2006/relationships/hyperlink" Target="https://www.cookie.fun/agent/shadow-ai" TargetMode="External"/><Relationship Id="rId2738" Type="http://schemas.openxmlformats.org/officeDocument/2006/relationships/hyperlink" Target="https://x.com/avocado_toast2/status/1877822598806921285" TargetMode="External"/><Relationship Id="rId2945" Type="http://schemas.openxmlformats.org/officeDocument/2006/relationships/hyperlink" Target="https://www.cookie.fun/chains/base.svg" TargetMode="External"/><Relationship Id="rId917" Type="http://schemas.openxmlformats.org/officeDocument/2006/relationships/hyperlink" Target="https://pbs.twimg.com/profile_images/1871354951668289536/NlSubP9d_400x400.jpg" TargetMode="External"/><Relationship Id="rId1547" Type="http://schemas.openxmlformats.org/officeDocument/2006/relationships/hyperlink" Target="https://pbs.twimg.com/profile_images/1858583634883571712/ePxJ99TZ_400x400.jpg" TargetMode="External"/><Relationship Id="rId1754" Type="http://schemas.openxmlformats.org/officeDocument/2006/relationships/hyperlink" Target="https://pbs.twimg.com/profile_images/1874582110565978112/Q_HLjvGw_400x400.jpg" TargetMode="External"/><Relationship Id="rId1961" Type="http://schemas.openxmlformats.org/officeDocument/2006/relationships/hyperlink" Target="https://pbs.twimg.com/profile_images/1875906004183076864/7OxXrO4M_400x400.jpg" TargetMode="External"/><Relationship Id="rId2805" Type="http://schemas.openxmlformats.org/officeDocument/2006/relationships/hyperlink" Target="https://x.com/BottoDAO/status/1877766416201302075" TargetMode="External"/><Relationship Id="rId4160" Type="http://schemas.openxmlformats.org/officeDocument/2006/relationships/hyperlink" Target="https://www.cookie.fun/agent/h4ck-terminal" TargetMode="External"/><Relationship Id="rId46" Type="http://schemas.openxmlformats.org/officeDocument/2006/relationships/hyperlink" Target="https://www.cookie.fun/chains/bsc.svg" TargetMode="External"/><Relationship Id="rId1407" Type="http://schemas.openxmlformats.org/officeDocument/2006/relationships/hyperlink" Target="https://www.cookie.fun/chains/solana.svg" TargetMode="External"/><Relationship Id="rId1614" Type="http://schemas.openxmlformats.org/officeDocument/2006/relationships/hyperlink" Target="https://www.cookie.fun/chains/solana.svg" TargetMode="External"/><Relationship Id="rId1821" Type="http://schemas.openxmlformats.org/officeDocument/2006/relationships/hyperlink" Target="https://www.cookie.fun/chains/base.svg" TargetMode="External"/><Relationship Id="rId4020" Type="http://schemas.openxmlformats.org/officeDocument/2006/relationships/hyperlink" Target="https://www.cookie.fun/chains/solana.svg" TargetMode="External"/><Relationship Id="rId3579" Type="http://schemas.openxmlformats.org/officeDocument/2006/relationships/hyperlink" Target="https://pbs.twimg.com/profile_images/1831358680777781249/aUptST4q_400x400.jpg" TargetMode="External"/><Relationship Id="rId3786" Type="http://schemas.openxmlformats.org/officeDocument/2006/relationships/hyperlink" Target="https://pbs.twimg.com/profile_images/1861800221392388096/15rnkHGU_400x400.jpg" TargetMode="External"/><Relationship Id="rId2388" Type="http://schemas.openxmlformats.org/officeDocument/2006/relationships/hyperlink" Target="https://x.com/AltCryptoGems/status/1877730686934872286" TargetMode="External"/><Relationship Id="rId2595" Type="http://schemas.openxmlformats.org/officeDocument/2006/relationships/hyperlink" Target="https://www.cookie.fun/agent/fai" TargetMode="External"/><Relationship Id="rId3439" Type="http://schemas.openxmlformats.org/officeDocument/2006/relationships/hyperlink" Target="https://pbs.twimg.com/profile_images/1875711571680268288/DYrx1CgJ_normal.jpg" TargetMode="External"/><Relationship Id="rId3993" Type="http://schemas.openxmlformats.org/officeDocument/2006/relationships/hyperlink" Target="https://x.com/halusolana/status/1878943744608837841" TargetMode="External"/><Relationship Id="rId567" Type="http://schemas.openxmlformats.org/officeDocument/2006/relationships/hyperlink" Target="https://pbs.twimg.com/profile_images/1861595052260368384/LKjH0XAW_400x400.jpg" TargetMode="External"/><Relationship Id="rId1197" Type="http://schemas.openxmlformats.org/officeDocument/2006/relationships/hyperlink" Target="https://www.cookie.fun/chains/solana.svg" TargetMode="External"/><Relationship Id="rId2248" Type="http://schemas.openxmlformats.org/officeDocument/2006/relationships/hyperlink" Target="https://pbs.twimg.com/profile_images/1856757499518406656/DTH3YCmO_400x400.jpg" TargetMode="External"/><Relationship Id="rId3646" Type="http://schemas.openxmlformats.org/officeDocument/2006/relationships/hyperlink" Target="https://www.cookie.fun/agent/yousim" TargetMode="External"/><Relationship Id="rId3853" Type="http://schemas.openxmlformats.org/officeDocument/2006/relationships/hyperlink" Target="https://pbs.twimg.com/profile_images/1609606658199535618/bHidH77E_normal.jpg" TargetMode="External"/><Relationship Id="rId774" Type="http://schemas.openxmlformats.org/officeDocument/2006/relationships/hyperlink" Target="https://www.cookie.fun/chains/solana.svg" TargetMode="External"/><Relationship Id="rId981" Type="http://schemas.openxmlformats.org/officeDocument/2006/relationships/hyperlink" Target="https://www.cookie.fun/chains/base.svg" TargetMode="External"/><Relationship Id="rId1057" Type="http://schemas.openxmlformats.org/officeDocument/2006/relationships/hyperlink" Target="https://www.cookie.fun/agent/bibu" TargetMode="External"/><Relationship Id="rId2455" Type="http://schemas.openxmlformats.org/officeDocument/2006/relationships/hyperlink" Target="https://pbs.twimg.com/profile_images/1794709660844359680/zbYJdfZs_normal.jpg" TargetMode="External"/><Relationship Id="rId2662" Type="http://schemas.openxmlformats.org/officeDocument/2006/relationships/hyperlink" Target="https://x.com/DamiDefi/status/1877444986104590592" TargetMode="External"/><Relationship Id="rId3506" Type="http://schemas.openxmlformats.org/officeDocument/2006/relationships/hyperlink" Target="https://pbs.twimg.com/profile_images/1561354964534018049/T9lKN_2c_normal.jpg" TargetMode="External"/><Relationship Id="rId3713" Type="http://schemas.openxmlformats.org/officeDocument/2006/relationships/hyperlink" Target="https://pbs.twimg.com/profile_images/1868394559945986048/IYV8ZFXx_400x400.jpg" TargetMode="External"/><Relationship Id="rId3920" Type="http://schemas.openxmlformats.org/officeDocument/2006/relationships/hyperlink" Target="https://x.com/CryptoMichNL/status/1877333964467081342" TargetMode="External"/><Relationship Id="rId427" Type="http://schemas.openxmlformats.org/officeDocument/2006/relationships/hyperlink" Target="https://www.cookie.fun/agent/yuko" TargetMode="External"/><Relationship Id="rId634" Type="http://schemas.openxmlformats.org/officeDocument/2006/relationships/hyperlink" Target="https://www.cookie.fun/agent/stix-token" TargetMode="External"/><Relationship Id="rId841" Type="http://schemas.openxmlformats.org/officeDocument/2006/relationships/hyperlink" Target="https://www.cookie.fun/agent/king-kovu" TargetMode="External"/><Relationship Id="rId1264" Type="http://schemas.openxmlformats.org/officeDocument/2006/relationships/hyperlink" Target="https://www.cookie.fun/agent/cclaus" TargetMode="External"/><Relationship Id="rId1471" Type="http://schemas.openxmlformats.org/officeDocument/2006/relationships/hyperlink" Target="https://www.cookie.fun/agent/meeow" TargetMode="External"/><Relationship Id="rId2108" Type="http://schemas.openxmlformats.org/officeDocument/2006/relationships/hyperlink" Target="https://pbs.twimg.com/profile_images/1873753840320675840/Ixh0hRBl_400x400.jpg" TargetMode="External"/><Relationship Id="rId2315" Type="http://schemas.openxmlformats.org/officeDocument/2006/relationships/hyperlink" Target="https://pbs.twimg.com/profile_images/1821240923331948548/if6d_PRO_normal.jpg" TargetMode="External"/><Relationship Id="rId2522" Type="http://schemas.openxmlformats.org/officeDocument/2006/relationships/hyperlink" Target="https://x.com/moneyl0rd/status/1879123784810270940" TargetMode="External"/><Relationship Id="rId701" Type="http://schemas.openxmlformats.org/officeDocument/2006/relationships/hyperlink" Target="https://pbs.twimg.com/profile_images/1865918185188311041/SF8-Prrb_400x400.jpg" TargetMode="External"/><Relationship Id="rId1124" Type="http://schemas.openxmlformats.org/officeDocument/2006/relationships/hyperlink" Target="https://pbs.twimg.com/profile_images/1867698802062168064/sV6uNQNC_400x400.jpg" TargetMode="External"/><Relationship Id="rId1331" Type="http://schemas.openxmlformats.org/officeDocument/2006/relationships/hyperlink" Target="https://pbs.twimg.com/profile_images/1859678322210291712/wqtYNwVN_400x400.jpg" TargetMode="External"/><Relationship Id="rId3089" Type="http://schemas.openxmlformats.org/officeDocument/2006/relationships/hyperlink" Target="https://pbs.twimg.com/profile_images/1868641179811614720/IOI-gw50_400x400.jpg" TargetMode="External"/><Relationship Id="rId3296" Type="http://schemas.openxmlformats.org/officeDocument/2006/relationships/hyperlink" Target="https://pbs.twimg.com/profile_images/1775649841562980353/2E0MAPqa_normal.jpg" TargetMode="External"/><Relationship Id="rId3156" Type="http://schemas.openxmlformats.org/officeDocument/2006/relationships/hyperlink" Target="https://pbs.twimg.com/profile_images/1824187416342597632/dNmT7lhv_normal.jpg" TargetMode="External"/><Relationship Id="rId3363" Type="http://schemas.openxmlformats.org/officeDocument/2006/relationships/hyperlink" Target="https://pbs.twimg.com/profile_images/1860795033772822528/kTk_VSv9_normal.jpg" TargetMode="External"/><Relationship Id="rId284" Type="http://schemas.openxmlformats.org/officeDocument/2006/relationships/hyperlink" Target="https://pbs.twimg.com/profile_images/1856648167174832128/XuI0e7Ai_400x400.jpg" TargetMode="External"/><Relationship Id="rId491" Type="http://schemas.openxmlformats.org/officeDocument/2006/relationships/hyperlink" Target="https://www.cookie.fun/agent/vampaire-squid" TargetMode="External"/><Relationship Id="rId2172" Type="http://schemas.openxmlformats.org/officeDocument/2006/relationships/hyperlink" Target="https://www.cookie.fun/agent/jobsy" TargetMode="External"/><Relationship Id="rId3016" Type="http://schemas.openxmlformats.org/officeDocument/2006/relationships/hyperlink" Target="https://pbs.twimg.com/profile_images/1831904183001247744/ALdr5oD1_normal.jpg" TargetMode="External"/><Relationship Id="rId3223" Type="http://schemas.openxmlformats.org/officeDocument/2006/relationships/hyperlink" Target="https://x.com/moneyl0rd/status/1877134781781090729" TargetMode="External"/><Relationship Id="rId3570" Type="http://schemas.openxmlformats.org/officeDocument/2006/relationships/hyperlink" Target="https://pbs.twimg.com/profile_images/1594402259835707392/fA7VSJWX_normal.jpg" TargetMode="External"/><Relationship Id="rId144" Type="http://schemas.openxmlformats.org/officeDocument/2006/relationships/hyperlink" Target="https://www.cookie.fun/agent/erebus-ai-chrypnotoad" TargetMode="External"/><Relationship Id="rId3430" Type="http://schemas.openxmlformats.org/officeDocument/2006/relationships/hyperlink" Target="https://x.com/yoshi_jdcomm/status/1879286828072927301" TargetMode="External"/><Relationship Id="rId351" Type="http://schemas.openxmlformats.org/officeDocument/2006/relationships/hyperlink" Target="https://www.cookie.fun/chains/solana.svg" TargetMode="External"/><Relationship Id="rId2032" Type="http://schemas.openxmlformats.org/officeDocument/2006/relationships/hyperlink" Target="https://pbs.twimg.com/profile_images/1871293597171007488/bkqGKkdV_400x400.jpg" TargetMode="External"/><Relationship Id="rId2989" Type="http://schemas.openxmlformats.org/officeDocument/2006/relationships/hyperlink" Target="https://pbs.twimg.com/profile_images/1861131653953073152/kzb4gKuw_400x400.jpg" TargetMode="External"/><Relationship Id="rId211" Type="http://schemas.openxmlformats.org/officeDocument/2006/relationships/hyperlink" Target="https://x.com/Khugaverse/status/1877647952958607397" TargetMode="External"/><Relationship Id="rId1798" Type="http://schemas.openxmlformats.org/officeDocument/2006/relationships/hyperlink" Target="https://www.cookie.fun/agent/deficat" TargetMode="External"/><Relationship Id="rId2849" Type="http://schemas.openxmlformats.org/officeDocument/2006/relationships/hyperlink" Target="https://pbs.twimg.com/profile_images/1788180813420335104/45kP5pCI_normal.jpg" TargetMode="External"/><Relationship Id="rId1658" Type="http://schemas.openxmlformats.org/officeDocument/2006/relationships/hyperlink" Target="https://pbs.twimg.com/profile_images/1856811157698248704/Z9EvZbH4_400x400.jpg" TargetMode="External"/><Relationship Id="rId1865" Type="http://schemas.openxmlformats.org/officeDocument/2006/relationships/hyperlink" Target="https://pbs.twimg.com/profile_images/1875572327225729024/CLIYEG4u_400x400.jpg" TargetMode="External"/><Relationship Id="rId2709" Type="http://schemas.openxmlformats.org/officeDocument/2006/relationships/hyperlink" Target="https://pbs.twimg.com/profile_images/1745635933859237888/GaxhvQWS_normal.jpg" TargetMode="External"/><Relationship Id="rId4064" Type="http://schemas.openxmlformats.org/officeDocument/2006/relationships/hyperlink" Target="https://www.cookie.fun/chains/solana.svg" TargetMode="External"/><Relationship Id="rId1518" Type="http://schemas.openxmlformats.org/officeDocument/2006/relationships/hyperlink" Target="https://www.cookie.fun/chains/solana.svg" TargetMode="External"/><Relationship Id="rId2916" Type="http://schemas.openxmlformats.org/officeDocument/2006/relationships/hyperlink" Target="https://www.cookie.fun/agent/gekko-ai" TargetMode="External"/><Relationship Id="rId3080" Type="http://schemas.openxmlformats.org/officeDocument/2006/relationships/hyperlink" Target="https://www.cookie.fun/agent/elsa-solana-ai-layer" TargetMode="External"/><Relationship Id="rId4131" Type="http://schemas.openxmlformats.org/officeDocument/2006/relationships/hyperlink" Target="https://pbs.twimg.com/profile_images/1863989474683682816/qNanBs_J_400x400.jpg" TargetMode="External"/><Relationship Id="rId1725" Type="http://schemas.openxmlformats.org/officeDocument/2006/relationships/hyperlink" Target="https://www.cookie.fun/chains/solana.svg" TargetMode="External"/><Relationship Id="rId1932" Type="http://schemas.openxmlformats.org/officeDocument/2006/relationships/hyperlink" Target="https://www.cookie.fun/chains/solana.svg" TargetMode="External"/><Relationship Id="rId17" Type="http://schemas.openxmlformats.org/officeDocument/2006/relationships/hyperlink" Target="https://pbs.twimg.com/profile_images/1654279810334752768/XPY9giex_normal.png" TargetMode="External"/><Relationship Id="rId3897" Type="http://schemas.openxmlformats.org/officeDocument/2006/relationships/hyperlink" Target="https://x.com/nosana_ai/status/1877714199398277348" TargetMode="External"/><Relationship Id="rId2499" Type="http://schemas.openxmlformats.org/officeDocument/2006/relationships/hyperlink" Target="https://www.cookie.fun/agent/agent" TargetMode="External"/><Relationship Id="rId3757" Type="http://schemas.openxmlformats.org/officeDocument/2006/relationships/hyperlink" Target="https://www.cookie.fun/chains/solana.svg" TargetMode="External"/><Relationship Id="rId3964" Type="http://schemas.openxmlformats.org/officeDocument/2006/relationships/hyperlink" Target="https://pbs.twimg.com/profile_images/1860693902635700224/810RIL93_400x400.jpg" TargetMode="External"/><Relationship Id="rId1" Type="http://schemas.openxmlformats.org/officeDocument/2006/relationships/hyperlink" Target="https://www.cookie.fun/agent/cyi" TargetMode="External"/><Relationship Id="rId678" Type="http://schemas.openxmlformats.org/officeDocument/2006/relationships/hyperlink" Target="https://www.cookie.fun/chains/base.svg" TargetMode="External"/><Relationship Id="rId885" Type="http://schemas.openxmlformats.org/officeDocument/2006/relationships/hyperlink" Target="https://www.cookie.fun/chains/base.svg" TargetMode="External"/><Relationship Id="rId2359" Type="http://schemas.openxmlformats.org/officeDocument/2006/relationships/hyperlink" Target="https://pbs.twimg.com/profile_images/1386091770312802305/83V7DZ4B_normal.jpg" TargetMode="External"/><Relationship Id="rId2566" Type="http://schemas.openxmlformats.org/officeDocument/2006/relationships/hyperlink" Target="https://x.com/Louround_/status/1878395066105946184" TargetMode="External"/><Relationship Id="rId2773" Type="http://schemas.openxmlformats.org/officeDocument/2006/relationships/hyperlink" Target="https://pbs.twimg.com/profile_images/1870235513065496576/jQTWuOY5_normal.jpg" TargetMode="External"/><Relationship Id="rId2980" Type="http://schemas.openxmlformats.org/officeDocument/2006/relationships/hyperlink" Target="https://pbs.twimg.com/profile_images/1829954676172754944/AY0XOTPa_normal.jpg" TargetMode="External"/><Relationship Id="rId3617" Type="http://schemas.openxmlformats.org/officeDocument/2006/relationships/hyperlink" Target="https://www.cookie.fun/chains/solana.svg" TargetMode="External"/><Relationship Id="rId3824" Type="http://schemas.openxmlformats.org/officeDocument/2006/relationships/hyperlink" Target="https://www.cookie.fun/chains/solana.svg" TargetMode="External"/><Relationship Id="rId538" Type="http://schemas.openxmlformats.org/officeDocument/2006/relationships/hyperlink" Target="https://www.cookie.fun/chains/base.svg" TargetMode="External"/><Relationship Id="rId745" Type="http://schemas.openxmlformats.org/officeDocument/2006/relationships/hyperlink" Target="https://www.cookie.fun/agent/roident-the-mouse-chad" TargetMode="External"/><Relationship Id="rId952" Type="http://schemas.openxmlformats.org/officeDocument/2006/relationships/hyperlink" Target="https://www.cookie.fun/agent/javlis" TargetMode="External"/><Relationship Id="rId1168" Type="http://schemas.openxmlformats.org/officeDocument/2006/relationships/hyperlink" Target="https://www.cookie.fun/agent/usa" TargetMode="External"/><Relationship Id="rId1375" Type="http://schemas.openxmlformats.org/officeDocument/2006/relationships/hyperlink" Target="https://www.cookie.fun/agent/archai" TargetMode="External"/><Relationship Id="rId1582" Type="http://schemas.openxmlformats.org/officeDocument/2006/relationships/hyperlink" Target="https://www.cookie.fun/agent/swipr" TargetMode="External"/><Relationship Id="rId2219" Type="http://schemas.openxmlformats.org/officeDocument/2006/relationships/hyperlink" Target="https://pbs.twimg.com/profile_images/1871176799545176064/oO1Sx6lP_400x400.jpg" TargetMode="External"/><Relationship Id="rId2426" Type="http://schemas.openxmlformats.org/officeDocument/2006/relationships/hyperlink" Target="https://x.com/Thecryptolord_/status/1877840455762686092" TargetMode="External"/><Relationship Id="rId2633" Type="http://schemas.openxmlformats.org/officeDocument/2006/relationships/hyperlink" Target="https://www.cookie.fun/chains/solana.svg" TargetMode="External"/><Relationship Id="rId81" Type="http://schemas.openxmlformats.org/officeDocument/2006/relationships/hyperlink" Target="https://www.cookie.fun/agent/brot" TargetMode="External"/><Relationship Id="rId605" Type="http://schemas.openxmlformats.org/officeDocument/2006/relationships/hyperlink" Target="https://www.cookie.fun/agent/goodboyai" TargetMode="External"/><Relationship Id="rId812" Type="http://schemas.openxmlformats.org/officeDocument/2006/relationships/hyperlink" Target="https://pbs.twimg.com/profile_images/1868402102688751616/HtAyMHaN_400x400.jpg" TargetMode="External"/><Relationship Id="rId1028" Type="http://schemas.openxmlformats.org/officeDocument/2006/relationships/hyperlink" Target="https://pbs.twimg.com/profile_images/1871475406953385984/T4eJK8bM_400x400.jpg" TargetMode="External"/><Relationship Id="rId1235" Type="http://schemas.openxmlformats.org/officeDocument/2006/relationships/hyperlink" Target="https://pbs.twimg.com/profile_images/1876572613318782976/dsKRZKu2_400x400.jpg" TargetMode="External"/><Relationship Id="rId1442" Type="http://schemas.openxmlformats.org/officeDocument/2006/relationships/hyperlink" Target="https://pbs.twimg.com/profile_images/1858941876071497729/_45ozTtZ_400x400.jpg" TargetMode="External"/><Relationship Id="rId2840" Type="http://schemas.openxmlformats.org/officeDocument/2006/relationships/hyperlink" Target="https://x.com/lex_node/status/1878421230304280928" TargetMode="External"/><Relationship Id="rId1302" Type="http://schemas.openxmlformats.org/officeDocument/2006/relationships/hyperlink" Target="https://www.cookie.fun/chains/solana.svg" TargetMode="External"/><Relationship Id="rId2700" Type="http://schemas.openxmlformats.org/officeDocument/2006/relationships/hyperlink" Target="https://x.com/misterrcrypto/status/1877792777364537492" TargetMode="External"/><Relationship Id="rId3267" Type="http://schemas.openxmlformats.org/officeDocument/2006/relationships/hyperlink" Target="https://www.cookie.fun/agent/spell" TargetMode="External"/><Relationship Id="rId188" Type="http://schemas.openxmlformats.org/officeDocument/2006/relationships/hyperlink" Target="https://www.cookie.fun/chains/solana.svg" TargetMode="External"/><Relationship Id="rId395" Type="http://schemas.openxmlformats.org/officeDocument/2006/relationships/hyperlink" Target="https://pbs.twimg.com/profile_images/1860337576042733568/KQmgz-bF_400x400.jpg" TargetMode="External"/><Relationship Id="rId2076" Type="http://schemas.openxmlformats.org/officeDocument/2006/relationships/hyperlink" Target="https://www.cookie.fun/chains/solana.svg" TargetMode="External"/><Relationship Id="rId3474" Type="http://schemas.openxmlformats.org/officeDocument/2006/relationships/hyperlink" Target="https://pbs.twimg.com/profile_images/1867238877012054016/oALTLqV7_400x400.jpg" TargetMode="External"/><Relationship Id="rId3681" Type="http://schemas.openxmlformats.org/officeDocument/2006/relationships/hyperlink" Target="https://x.com/ShibaTechnical/status/1878329872764076131" TargetMode="External"/><Relationship Id="rId2283" Type="http://schemas.openxmlformats.org/officeDocument/2006/relationships/hyperlink" Target="https://www.cookie.fun/agent/griffain" TargetMode="External"/><Relationship Id="rId2490" Type="http://schemas.openxmlformats.org/officeDocument/2006/relationships/hyperlink" Target="https://x.com/CoinbaseAssets/status/1879309993716973789" TargetMode="External"/><Relationship Id="rId3127" Type="http://schemas.openxmlformats.org/officeDocument/2006/relationships/hyperlink" Target="https://x.com/Chilearmy123/status/1877868073224409255" TargetMode="External"/><Relationship Id="rId3334" Type="http://schemas.openxmlformats.org/officeDocument/2006/relationships/hyperlink" Target="https://www.cookie.fun/agent/memes-ai" TargetMode="External"/><Relationship Id="rId3541" Type="http://schemas.openxmlformats.org/officeDocument/2006/relationships/hyperlink" Target="https://www.cookie.fun/chains/base.svg" TargetMode="External"/><Relationship Id="rId255" Type="http://schemas.openxmlformats.org/officeDocument/2006/relationships/hyperlink" Target="https://www.cookie.fun/chains/solana.svg" TargetMode="External"/><Relationship Id="rId462" Type="http://schemas.openxmlformats.org/officeDocument/2006/relationships/hyperlink" Target="https://pbs.twimg.com/profile_images/1760876403514617856/9freBjIQ_400x400.jpg" TargetMode="External"/><Relationship Id="rId1092" Type="http://schemas.openxmlformats.org/officeDocument/2006/relationships/hyperlink" Target="https://www.cookie.fun/chains/solana.svg" TargetMode="External"/><Relationship Id="rId2143" Type="http://schemas.openxmlformats.org/officeDocument/2006/relationships/hyperlink" Target="https://www.cookie.fun/agent/fut-overdive-xyz" TargetMode="External"/><Relationship Id="rId2350" Type="http://schemas.openxmlformats.org/officeDocument/2006/relationships/hyperlink" Target="https://x.com/tervoooo/status/1878104372791460042" TargetMode="External"/><Relationship Id="rId3401" Type="http://schemas.openxmlformats.org/officeDocument/2006/relationships/hyperlink" Target="https://www.cookie.fun/agent/dream" TargetMode="External"/><Relationship Id="rId115" Type="http://schemas.openxmlformats.org/officeDocument/2006/relationships/hyperlink" Target="https://www.cookie.fun/chains/solana.svg" TargetMode="External"/><Relationship Id="rId322" Type="http://schemas.openxmlformats.org/officeDocument/2006/relationships/hyperlink" Target="https://www.cookie.fun/agent/artificial-idiot" TargetMode="External"/><Relationship Id="rId2003" Type="http://schemas.openxmlformats.org/officeDocument/2006/relationships/hyperlink" Target="https://pbs.twimg.com/profile_images/1877364156321386496/7I7Iz7OL_400x400.jpg" TargetMode="External"/><Relationship Id="rId2210" Type="http://schemas.openxmlformats.org/officeDocument/2006/relationships/hyperlink" Target="https://pbs.twimg.com/profile_images/1870540332330545152/yMQD1PEu_400x400.jpg" TargetMode="External"/><Relationship Id="rId4175" Type="http://schemas.openxmlformats.org/officeDocument/2006/relationships/hyperlink" Target="https://pbs.twimg.com/profile_images/1847019981898121216/vq1W3Kqf_400x400.jpg" TargetMode="External"/><Relationship Id="rId1769" Type="http://schemas.openxmlformats.org/officeDocument/2006/relationships/hyperlink" Target="https://pbs.twimg.com/profile_images/1872151861240987648/tNSAQHrV_400x400.jpg" TargetMode="External"/><Relationship Id="rId1976" Type="http://schemas.openxmlformats.org/officeDocument/2006/relationships/hyperlink" Target="https://pbs.twimg.com/profile_images/1876918969132826624/D3EydOP-_400x400.jpg" TargetMode="External"/><Relationship Id="rId3191" Type="http://schemas.openxmlformats.org/officeDocument/2006/relationships/hyperlink" Target="https://www.cookie.fun/chains/solana.svg" TargetMode="External"/><Relationship Id="rId4035" Type="http://schemas.openxmlformats.org/officeDocument/2006/relationships/hyperlink" Target="https://www.cookie.fun/agent/mindzero" TargetMode="External"/><Relationship Id="rId1629" Type="http://schemas.openxmlformats.org/officeDocument/2006/relationships/hyperlink" Target="https://www.cookie.fun/chains/solana.svg" TargetMode="External"/><Relationship Id="rId1836" Type="http://schemas.openxmlformats.org/officeDocument/2006/relationships/hyperlink" Target="https://www.cookie.fun/chains/base.svg" TargetMode="External"/><Relationship Id="rId1903" Type="http://schemas.openxmlformats.org/officeDocument/2006/relationships/hyperlink" Target="https://www.cookie.fun/agent/anail" TargetMode="External"/><Relationship Id="rId3051" Type="http://schemas.openxmlformats.org/officeDocument/2006/relationships/hyperlink" Target="https://x.com/game_for_one/status/1877776057010385274" TargetMode="External"/><Relationship Id="rId4102" Type="http://schemas.openxmlformats.org/officeDocument/2006/relationships/hyperlink" Target="https://pbs.twimg.com/profile_images/1864962660426481664/UUaV4Yyo_400x400.jpg" TargetMode="External"/><Relationship Id="rId3868" Type="http://schemas.openxmlformats.org/officeDocument/2006/relationships/hyperlink" Target="https://x.com/sartocrates/status/1879224994376646885" TargetMode="External"/><Relationship Id="rId789" Type="http://schemas.openxmlformats.org/officeDocument/2006/relationships/hyperlink" Target="https://www.cookie.fun/chains/solana.svg" TargetMode="External"/><Relationship Id="rId996" Type="http://schemas.openxmlformats.org/officeDocument/2006/relationships/hyperlink" Target="https://www.cookie.fun/chains/solana.svg" TargetMode="External"/><Relationship Id="rId2677" Type="http://schemas.openxmlformats.org/officeDocument/2006/relationships/hyperlink" Target="https://pbs.twimg.com/profile_images/1840255506734084096/mGTze2Jf_normal.jpg" TargetMode="External"/><Relationship Id="rId2884" Type="http://schemas.openxmlformats.org/officeDocument/2006/relationships/hyperlink" Target="https://x.com/gammichan/status/1878931440790052908" TargetMode="External"/><Relationship Id="rId3728" Type="http://schemas.openxmlformats.org/officeDocument/2006/relationships/hyperlink" Target="https://pbs.twimg.com/profile_images/1819580009385807872/3G0DQD1r_normal.jpg" TargetMode="External"/><Relationship Id="rId649" Type="http://schemas.openxmlformats.org/officeDocument/2006/relationships/hyperlink" Target="https://www.cookie.fun/agent/moshe" TargetMode="External"/><Relationship Id="rId856" Type="http://schemas.openxmlformats.org/officeDocument/2006/relationships/hyperlink" Target="https://www.cookie.fun/agent/angel-ai" TargetMode="External"/><Relationship Id="rId1279" Type="http://schemas.openxmlformats.org/officeDocument/2006/relationships/hyperlink" Target="https://www.cookie.fun/agent/young" TargetMode="External"/><Relationship Id="rId1486" Type="http://schemas.openxmlformats.org/officeDocument/2006/relationships/hyperlink" Target="https://www.cookie.fun/agent/ron" TargetMode="External"/><Relationship Id="rId2537" Type="http://schemas.openxmlformats.org/officeDocument/2006/relationships/hyperlink" Target="https://www.cookie.fun/chains/base.svg" TargetMode="External"/><Relationship Id="rId3935" Type="http://schemas.openxmlformats.org/officeDocument/2006/relationships/hyperlink" Target="https://pbs.twimg.com/profile_images/1851899017690587136/bRhRc56w_normal.jpg" TargetMode="External"/><Relationship Id="rId509" Type="http://schemas.openxmlformats.org/officeDocument/2006/relationships/hyperlink" Target="https://www.cookie.fun/agent/drpxbt" TargetMode="External"/><Relationship Id="rId1139" Type="http://schemas.openxmlformats.org/officeDocument/2006/relationships/hyperlink" Target="https://pbs.twimg.com/profile_images/1866209262906601472/om-_XLIA_400x400.jpg" TargetMode="External"/><Relationship Id="rId1346" Type="http://schemas.openxmlformats.org/officeDocument/2006/relationships/hyperlink" Target="https://pbs.twimg.com/profile_images/1854398955444170753/1FN8ZKBC_400x400.jpg" TargetMode="External"/><Relationship Id="rId1693" Type="http://schemas.openxmlformats.org/officeDocument/2006/relationships/hyperlink" Target="https://www.cookie.fun/agent/brah" TargetMode="External"/><Relationship Id="rId2744" Type="http://schemas.openxmlformats.org/officeDocument/2006/relationships/hyperlink" Target="https://x.com/TeTheGamer/status/1878159763604680721" TargetMode="External"/><Relationship Id="rId2951" Type="http://schemas.openxmlformats.org/officeDocument/2006/relationships/hyperlink" Target="https://pbs.twimg.com/profile_images/1752826759504965632/_BJV6z9l_normal.jpg" TargetMode="External"/><Relationship Id="rId716" Type="http://schemas.openxmlformats.org/officeDocument/2006/relationships/hyperlink" Target="https://pbs.twimg.com/profile_images/1868099968151461888/1NB5RQS-_400x400.jpg" TargetMode="External"/><Relationship Id="rId923" Type="http://schemas.openxmlformats.org/officeDocument/2006/relationships/hyperlink" Target="https://pbs.twimg.com/profile_images/1867728585773264899/eN4LZzBn_400x400.jpg" TargetMode="External"/><Relationship Id="rId1553" Type="http://schemas.openxmlformats.org/officeDocument/2006/relationships/hyperlink" Target="https://pbs.twimg.com/profile_images/1856895508352016384/mrrEHeSb_400x400.jpg" TargetMode="External"/><Relationship Id="rId1760" Type="http://schemas.openxmlformats.org/officeDocument/2006/relationships/hyperlink" Target="https://pbs.twimg.com/profile_images/1874615382457061377/lv7psLms_400x400.jpg" TargetMode="External"/><Relationship Id="rId2604" Type="http://schemas.openxmlformats.org/officeDocument/2006/relationships/hyperlink" Target="https://x.com/ghost93_x/status/1879042768086991033" TargetMode="External"/><Relationship Id="rId2811" Type="http://schemas.openxmlformats.org/officeDocument/2006/relationships/hyperlink" Target="https://pbs.twimg.com/profile_images/1863678418354655232/u5nS13KY_400x400.jpg" TargetMode="External"/><Relationship Id="rId52" Type="http://schemas.openxmlformats.org/officeDocument/2006/relationships/hyperlink" Target="https://www.cookie.fun/chains/arbitrum.svg" TargetMode="External"/><Relationship Id="rId1206" Type="http://schemas.openxmlformats.org/officeDocument/2006/relationships/hyperlink" Target="https://www.cookie.fun/chains/solana.svg" TargetMode="External"/><Relationship Id="rId1413" Type="http://schemas.openxmlformats.org/officeDocument/2006/relationships/hyperlink" Target="https://www.cookie.fun/chains/solana.svg" TargetMode="External"/><Relationship Id="rId1620" Type="http://schemas.openxmlformats.org/officeDocument/2006/relationships/hyperlink" Target="https://www.cookie.fun/chains/solana.svg" TargetMode="External"/><Relationship Id="rId3378" Type="http://schemas.openxmlformats.org/officeDocument/2006/relationships/hyperlink" Target="https://pbs.twimg.com/profile_images/1756834155231682560/UeM0PbMO_normal.jpg" TargetMode="External"/><Relationship Id="rId3585" Type="http://schemas.openxmlformats.org/officeDocument/2006/relationships/hyperlink" Target="https://www.cookie.fun/chains/solana.svg" TargetMode="External"/><Relationship Id="rId3792" Type="http://schemas.openxmlformats.org/officeDocument/2006/relationships/hyperlink" Target="https://www.cookie.fun/chains/solana.svg" TargetMode="External"/><Relationship Id="rId299" Type="http://schemas.openxmlformats.org/officeDocument/2006/relationships/hyperlink" Target="https://pbs.twimg.com/profile_images/1699436836404314112/ogVD94nd_400x400.jpg" TargetMode="External"/><Relationship Id="rId2187" Type="http://schemas.openxmlformats.org/officeDocument/2006/relationships/hyperlink" Target="https://pbs.twimg.com/profile_images/1871313085446631424/jmLoBfZP_400x400.jpg" TargetMode="External"/><Relationship Id="rId2394" Type="http://schemas.openxmlformats.org/officeDocument/2006/relationships/hyperlink" Target="https://x.com/Chain_GPT/status/1877690185489523183" TargetMode="External"/><Relationship Id="rId3238" Type="http://schemas.openxmlformats.org/officeDocument/2006/relationships/hyperlink" Target="https://pbs.twimg.com/profile_images/1832865606195924993/OJEEj12O_normal.jpg" TargetMode="External"/><Relationship Id="rId3445" Type="http://schemas.openxmlformats.org/officeDocument/2006/relationships/hyperlink" Target="https://x.com/iCrazyTeddy/status/1877438550280458508" TargetMode="External"/><Relationship Id="rId3652" Type="http://schemas.openxmlformats.org/officeDocument/2006/relationships/hyperlink" Target="https://x.com/0xBebis_/status/1879255781729763742" TargetMode="External"/><Relationship Id="rId159" Type="http://schemas.openxmlformats.org/officeDocument/2006/relationships/hyperlink" Target="https://www.cookie.fun/agent/vault-terminal" TargetMode="External"/><Relationship Id="rId366" Type="http://schemas.openxmlformats.org/officeDocument/2006/relationships/hyperlink" Target="https://www.cookie.fun/chains/solana.svg" TargetMode="External"/><Relationship Id="rId573" Type="http://schemas.openxmlformats.org/officeDocument/2006/relationships/hyperlink" Target="https://pbs.twimg.com/profile_images/1733940231517421568/QfKOTcuW_400x400.png" TargetMode="External"/><Relationship Id="rId780" Type="http://schemas.openxmlformats.org/officeDocument/2006/relationships/hyperlink" Target="https://www.cookie.fun/chains/solana.svg" TargetMode="External"/><Relationship Id="rId2047" Type="http://schemas.openxmlformats.org/officeDocument/2006/relationships/hyperlink" Target="https://pbs.twimg.com/profile_images/1855531585543749632/xhLQDnnR_400x400.jpg" TargetMode="External"/><Relationship Id="rId2254" Type="http://schemas.openxmlformats.org/officeDocument/2006/relationships/hyperlink" Target="https://pbs.twimg.com/profile_images/1879397738023890944/AHQozm_A_400x400.jpg" TargetMode="External"/><Relationship Id="rId2461" Type="http://schemas.openxmlformats.org/officeDocument/2006/relationships/hyperlink" Target="https://pbs.twimg.com/profile_images/1765817423054123009/OivvC-Af_normal.jpg" TargetMode="External"/><Relationship Id="rId3305" Type="http://schemas.openxmlformats.org/officeDocument/2006/relationships/hyperlink" Target="https://x.com/0xBebis_/status/1879255781729763742" TargetMode="External"/><Relationship Id="rId3512" Type="http://schemas.openxmlformats.org/officeDocument/2006/relationships/hyperlink" Target="https://pbs.twimg.com/profile_images/1835317719626887168/5N8W8Q-a_400x400.jpg" TargetMode="External"/><Relationship Id="rId226" Type="http://schemas.openxmlformats.org/officeDocument/2006/relationships/hyperlink" Target="https://www.cookie.fun/chains/solana.svg" TargetMode="External"/><Relationship Id="rId433" Type="http://schemas.openxmlformats.org/officeDocument/2006/relationships/hyperlink" Target="https://pbs.twimg.com/profile_images/1821850955614453760/Qz5EYVuQ_normal.jpg" TargetMode="External"/><Relationship Id="rId1063" Type="http://schemas.openxmlformats.org/officeDocument/2006/relationships/hyperlink" Target="https://www.cookie.fun/agent/advocat" TargetMode="External"/><Relationship Id="rId1270" Type="http://schemas.openxmlformats.org/officeDocument/2006/relationships/hyperlink" Target="https://www.cookie.fun/agent/todd" TargetMode="External"/><Relationship Id="rId2114" Type="http://schemas.openxmlformats.org/officeDocument/2006/relationships/hyperlink" Target="https://www.cookie.fun/agent/solanisation" TargetMode="External"/><Relationship Id="rId640" Type="http://schemas.openxmlformats.org/officeDocument/2006/relationships/hyperlink" Target="https://www.cookie.fun/agent/thejoker-ron" TargetMode="External"/><Relationship Id="rId2321" Type="http://schemas.openxmlformats.org/officeDocument/2006/relationships/hyperlink" Target="https://www.cookie.fun/chains/ethereum.svg" TargetMode="External"/><Relationship Id="rId4079" Type="http://schemas.openxmlformats.org/officeDocument/2006/relationships/hyperlink" Target="https://pbs.twimg.com/profile_images/1853802791216521216/9JIhLaK-_400x400.jpg" TargetMode="External"/><Relationship Id="rId500" Type="http://schemas.openxmlformats.org/officeDocument/2006/relationships/hyperlink" Target="https://www.cookie.fun/agent/quasar" TargetMode="External"/><Relationship Id="rId1130" Type="http://schemas.openxmlformats.org/officeDocument/2006/relationships/hyperlink" Target="https://pbs.twimg.com/profile_images/1866827735206858756/RmUbzshc_400x400.jpg" TargetMode="External"/><Relationship Id="rId1947" Type="http://schemas.openxmlformats.org/officeDocument/2006/relationships/hyperlink" Target="https://www.cookie.fun/chains/base.svg" TargetMode="External"/><Relationship Id="rId3095" Type="http://schemas.openxmlformats.org/officeDocument/2006/relationships/hyperlink" Target="https://x.com/ghost93_x/status/1877896390199697676" TargetMode="External"/><Relationship Id="rId4146" Type="http://schemas.openxmlformats.org/officeDocument/2006/relationships/hyperlink" Target="https://pbs.twimg.com/profile_images/1877129018547347456/NA4h8iV1_normal.jpg" TargetMode="External"/><Relationship Id="rId1807" Type="http://schemas.openxmlformats.org/officeDocument/2006/relationships/hyperlink" Target="https://www.cookie.fun/agent/views" TargetMode="External"/><Relationship Id="rId3162" Type="http://schemas.openxmlformats.org/officeDocument/2006/relationships/hyperlink" Target="https://x.com/AltcoinGordon/status/1877632041476341988" TargetMode="External"/><Relationship Id="rId4006" Type="http://schemas.openxmlformats.org/officeDocument/2006/relationships/hyperlink" Target="https://pbs.twimg.com/profile_images/1844108422184153088/Fe89dwIa_400x400.jpg" TargetMode="External"/><Relationship Id="rId290" Type="http://schemas.openxmlformats.org/officeDocument/2006/relationships/hyperlink" Target="https://pbs.twimg.com/profile_images/1849154833162625025/8J0_jZJw_400x400.jpg" TargetMode="External"/><Relationship Id="rId3022" Type="http://schemas.openxmlformats.org/officeDocument/2006/relationships/hyperlink" Target="https://pbs.twimg.com/profile_images/1862104446634688512/l8DUQ6ns_400x400.jpg" TargetMode="External"/><Relationship Id="rId150" Type="http://schemas.openxmlformats.org/officeDocument/2006/relationships/hyperlink" Target="https://www.cookie.fun/agent/1" TargetMode="External"/><Relationship Id="rId3979" Type="http://schemas.openxmlformats.org/officeDocument/2006/relationships/hyperlink" Target="https://x.com/AprilCumberland/status/1877289634839117923" TargetMode="External"/><Relationship Id="rId2788" Type="http://schemas.openxmlformats.org/officeDocument/2006/relationships/hyperlink" Target="https://www.cookie.fun/chains/solana.svg" TargetMode="External"/><Relationship Id="rId2995" Type="http://schemas.openxmlformats.org/officeDocument/2006/relationships/hyperlink" Target="https://x.com/kucoincom/status/1878661100369309822" TargetMode="External"/><Relationship Id="rId3839" Type="http://schemas.openxmlformats.org/officeDocument/2006/relationships/hyperlink" Target="https://www.cookie.fun/chains/solana.svg" TargetMode="External"/><Relationship Id="rId967" Type="http://schemas.openxmlformats.org/officeDocument/2006/relationships/hyperlink" Target="https://www.cookie.fun/agent/717ai" TargetMode="External"/><Relationship Id="rId1597" Type="http://schemas.openxmlformats.org/officeDocument/2006/relationships/hyperlink" Target="https://www.cookie.fun/agent/genesis" TargetMode="External"/><Relationship Id="rId2648" Type="http://schemas.openxmlformats.org/officeDocument/2006/relationships/hyperlink" Target="https://x.com/CryptoGarga/status/1878836750791119211" TargetMode="External"/><Relationship Id="rId2855" Type="http://schemas.openxmlformats.org/officeDocument/2006/relationships/hyperlink" Target="https://pbs.twimg.com/profile_images/1876498814380679168/53maxu21_normal.jpg" TargetMode="External"/><Relationship Id="rId3906" Type="http://schemas.openxmlformats.org/officeDocument/2006/relationships/hyperlink" Target="https://www.cookie.fun/chains/base.svg" TargetMode="External"/><Relationship Id="rId96" Type="http://schemas.openxmlformats.org/officeDocument/2006/relationships/hyperlink" Target="https://x.com/carlosroldanx/status/1878112158313042164" TargetMode="External"/><Relationship Id="rId827" Type="http://schemas.openxmlformats.org/officeDocument/2006/relationships/hyperlink" Target="https://pbs.twimg.com/profile_images/1856386041399394304/C-opCl7k_400x400.jpg" TargetMode="External"/><Relationship Id="rId1457" Type="http://schemas.openxmlformats.org/officeDocument/2006/relationships/hyperlink" Target="https://pbs.twimg.com/profile_images/1855564427489058816/mgtoj0Hc_400x400.jpg" TargetMode="External"/><Relationship Id="rId1664" Type="http://schemas.openxmlformats.org/officeDocument/2006/relationships/hyperlink" Target="https://pbs.twimg.com/profile_images/1858097480417550336/vCgr9R08_400x400.jpg" TargetMode="External"/><Relationship Id="rId1871" Type="http://schemas.openxmlformats.org/officeDocument/2006/relationships/hyperlink" Target="https://pbs.twimg.com/profile_images/1875609977659838464/hiwH5-ie_400x400.jpg" TargetMode="External"/><Relationship Id="rId2508" Type="http://schemas.openxmlformats.org/officeDocument/2006/relationships/hyperlink" Target="https://x.com/RealKatoOG/status/1878177481007435920" TargetMode="External"/><Relationship Id="rId2715" Type="http://schemas.openxmlformats.org/officeDocument/2006/relationships/hyperlink" Target="https://www.cookie.fun/agent/fxn" TargetMode="External"/><Relationship Id="rId2922" Type="http://schemas.openxmlformats.org/officeDocument/2006/relationships/hyperlink" Target="https://x.com/SolProfessor565/status/1878482293398147154" TargetMode="External"/><Relationship Id="rId4070" Type="http://schemas.openxmlformats.org/officeDocument/2006/relationships/hyperlink" Target="https://pbs.twimg.com/profile_images/1820898804834369536/kEO4-xkf_normal.jpg" TargetMode="External"/><Relationship Id="rId1317" Type="http://schemas.openxmlformats.org/officeDocument/2006/relationships/hyperlink" Target="https://www.cookie.fun/chains/solana.svg" TargetMode="External"/><Relationship Id="rId1524" Type="http://schemas.openxmlformats.org/officeDocument/2006/relationships/hyperlink" Target="https://www.cookie.fun/chains/solana.svg" TargetMode="External"/><Relationship Id="rId1731" Type="http://schemas.openxmlformats.org/officeDocument/2006/relationships/hyperlink" Target="https://www.cookie.fun/chains/solana.svg" TargetMode="External"/><Relationship Id="rId23" Type="http://schemas.openxmlformats.org/officeDocument/2006/relationships/hyperlink" Target="https://www.cookie.fun/agent/ms2" TargetMode="External"/><Relationship Id="rId3489" Type="http://schemas.openxmlformats.org/officeDocument/2006/relationships/hyperlink" Target="https://pbs.twimg.com/profile_images/1500686052612182017/c3HpUqOT_normal.jpg" TargetMode="External"/><Relationship Id="rId3696" Type="http://schemas.openxmlformats.org/officeDocument/2006/relationships/hyperlink" Target="https://pbs.twimg.com/profile_images/1789875957857153024/YAz6jc7r_normal.jpg" TargetMode="External"/><Relationship Id="rId2298" Type="http://schemas.openxmlformats.org/officeDocument/2006/relationships/hyperlink" Target="https://x.com/AndreCronjeTech/status/1878528636657209481" TargetMode="External"/><Relationship Id="rId3349" Type="http://schemas.openxmlformats.org/officeDocument/2006/relationships/hyperlink" Target="https://pbs.twimg.com/profile_images/1811058570013855746/2EtuRWdi_normal.png" TargetMode="External"/><Relationship Id="rId3556" Type="http://schemas.openxmlformats.org/officeDocument/2006/relationships/hyperlink" Target="https://x.com/cryptomanran/status/1877632384159395935" TargetMode="External"/><Relationship Id="rId477" Type="http://schemas.openxmlformats.org/officeDocument/2006/relationships/hyperlink" Target="https://pbs.twimg.com/profile_images/1861208458218840064/wH3VMm0Q_400x400.jpg" TargetMode="External"/><Relationship Id="rId684" Type="http://schemas.openxmlformats.org/officeDocument/2006/relationships/hyperlink" Target="https://www.cookie.fun/chains/base.svg" TargetMode="External"/><Relationship Id="rId2158" Type="http://schemas.openxmlformats.org/officeDocument/2006/relationships/hyperlink" Target="https://www.cookie.fun/agent/amalgambio" TargetMode="External"/><Relationship Id="rId2365" Type="http://schemas.openxmlformats.org/officeDocument/2006/relationships/hyperlink" Target="https://pbs.twimg.com/profile_images/1478130385116672008/kpiOx18X_normal.jpg" TargetMode="External"/><Relationship Id="rId3209" Type="http://schemas.openxmlformats.org/officeDocument/2006/relationships/hyperlink" Target="https://x.com/keigowda/status/1877047910954602728" TargetMode="External"/><Relationship Id="rId3763" Type="http://schemas.openxmlformats.org/officeDocument/2006/relationships/hyperlink" Target="https://www.cookie.fun/agent/breaker" TargetMode="External"/><Relationship Id="rId3970" Type="http://schemas.openxmlformats.org/officeDocument/2006/relationships/hyperlink" Target="https://pbs.twimg.com/profile_images/1731300714507591680/IuPwFTx2_normal.jpg" TargetMode="External"/><Relationship Id="rId337" Type="http://schemas.openxmlformats.org/officeDocument/2006/relationships/hyperlink" Target="https://www.cookie.fun/agent/eef-terminal" TargetMode="External"/><Relationship Id="rId891" Type="http://schemas.openxmlformats.org/officeDocument/2006/relationships/hyperlink" Target="https://www.cookie.fun/chains/base.svg" TargetMode="External"/><Relationship Id="rId2018" Type="http://schemas.openxmlformats.org/officeDocument/2006/relationships/hyperlink" Target="https://pbs.twimg.com/profile_images/1662172520580038658/D324pclH_400x400.png" TargetMode="External"/><Relationship Id="rId2572" Type="http://schemas.openxmlformats.org/officeDocument/2006/relationships/hyperlink" Target="https://pbs.twimg.com/profile_images/1864120521006436353/ow2J66gu_400x400.jpg" TargetMode="External"/><Relationship Id="rId3416" Type="http://schemas.openxmlformats.org/officeDocument/2006/relationships/hyperlink" Target="https://pbs.twimg.com/profile_images/1874156302332837889/Q6P0KTv3_normal.jpg" TargetMode="External"/><Relationship Id="rId3623" Type="http://schemas.openxmlformats.org/officeDocument/2006/relationships/hyperlink" Target="https://x.com/AviFelman/status/1879212043259224575" TargetMode="External"/><Relationship Id="rId3830" Type="http://schemas.openxmlformats.org/officeDocument/2006/relationships/hyperlink" Target="https://www.cookie.fun/agent/pulse-bot" TargetMode="External"/><Relationship Id="rId544" Type="http://schemas.openxmlformats.org/officeDocument/2006/relationships/hyperlink" Target="https://www.cookie.fun/chains/base.svg" TargetMode="External"/><Relationship Id="rId751" Type="http://schemas.openxmlformats.org/officeDocument/2006/relationships/hyperlink" Target="https://www.cookie.fun/agent/lllama" TargetMode="External"/><Relationship Id="rId1174" Type="http://schemas.openxmlformats.org/officeDocument/2006/relationships/hyperlink" Target="https://www.cookie.fun/agent/kronto" TargetMode="External"/><Relationship Id="rId1381" Type="http://schemas.openxmlformats.org/officeDocument/2006/relationships/hyperlink" Target="https://www.cookie.fun/agent/astaria" TargetMode="External"/><Relationship Id="rId2225" Type="http://schemas.openxmlformats.org/officeDocument/2006/relationships/hyperlink" Target="https://pbs.twimg.com/profile_images/1870483057301499904/sQL6s3PE_400x400.jpg" TargetMode="External"/><Relationship Id="rId2432" Type="http://schemas.openxmlformats.org/officeDocument/2006/relationships/hyperlink" Target="https://x.com/legendarygainz_/status/1879281567463506365" TargetMode="External"/><Relationship Id="rId404" Type="http://schemas.openxmlformats.org/officeDocument/2006/relationships/hyperlink" Target="https://pbs.twimg.com/profile_images/1863435192670785536/plPDHqbv_400x400.jpg" TargetMode="External"/><Relationship Id="rId611" Type="http://schemas.openxmlformats.org/officeDocument/2006/relationships/hyperlink" Target="https://x.com/BigSky_7/status/1877458568728719773" TargetMode="External"/><Relationship Id="rId1034" Type="http://schemas.openxmlformats.org/officeDocument/2006/relationships/hyperlink" Target="https://pbs.twimg.com/profile_images/1878832838851665920/AK0iLGiv_400x400.jpg" TargetMode="External"/><Relationship Id="rId1241" Type="http://schemas.openxmlformats.org/officeDocument/2006/relationships/hyperlink" Target="https://pbs.twimg.com/profile_images/1863328259556974592/gfCJK_bF_400x400.jpg" TargetMode="External"/><Relationship Id="rId1101" Type="http://schemas.openxmlformats.org/officeDocument/2006/relationships/hyperlink" Target="https://www.cookie.fun/chains/solana.svg" TargetMode="External"/><Relationship Id="rId3066" Type="http://schemas.openxmlformats.org/officeDocument/2006/relationships/hyperlink" Target="https://x.com/Altsteinn/status/1877633789557391513" TargetMode="External"/><Relationship Id="rId3273" Type="http://schemas.openxmlformats.org/officeDocument/2006/relationships/hyperlink" Target="https://pbs.twimg.com/profile_images/1876827907114303488/-4F9E9Df_normal.jpg" TargetMode="External"/><Relationship Id="rId3480" Type="http://schemas.openxmlformats.org/officeDocument/2006/relationships/hyperlink" Target="https://www.cookie.fun/chains/base.svg" TargetMode="External"/><Relationship Id="rId4117" Type="http://schemas.openxmlformats.org/officeDocument/2006/relationships/hyperlink" Target="https://x.com/CryptoCurb/status/1879045545781874925" TargetMode="External"/><Relationship Id="rId194" Type="http://schemas.openxmlformats.org/officeDocument/2006/relationships/hyperlink" Target="https://www.cookie.fun/chains/base.svg" TargetMode="External"/><Relationship Id="rId1918" Type="http://schemas.openxmlformats.org/officeDocument/2006/relationships/hyperlink" Target="https://www.cookie.fun/agent/grinkle" TargetMode="External"/><Relationship Id="rId2082" Type="http://schemas.openxmlformats.org/officeDocument/2006/relationships/hyperlink" Target="https://www.cookie.fun/agent/maho" TargetMode="External"/><Relationship Id="rId3133" Type="http://schemas.openxmlformats.org/officeDocument/2006/relationships/hyperlink" Target="https://x.com/RealJonahBlake/status/1879308897816805860" TargetMode="External"/><Relationship Id="rId261" Type="http://schemas.openxmlformats.org/officeDocument/2006/relationships/hyperlink" Target="https://www.cookie.fun/chains/solana.svg" TargetMode="External"/><Relationship Id="rId3340" Type="http://schemas.openxmlformats.org/officeDocument/2006/relationships/hyperlink" Target="https://pbs.twimg.com/profile_images/1833982252272795649/YdQvXW46_normal.jpg" TargetMode="External"/><Relationship Id="rId2899" Type="http://schemas.openxmlformats.org/officeDocument/2006/relationships/hyperlink" Target="https://x.com/IxSwap/status/1879124793246785547" TargetMode="External"/><Relationship Id="rId3200" Type="http://schemas.openxmlformats.org/officeDocument/2006/relationships/hyperlink" Target="https://pbs.twimg.com/profile_images/1601794686397534208/b9X0uVka_normal.png" TargetMode="External"/><Relationship Id="rId121" Type="http://schemas.openxmlformats.org/officeDocument/2006/relationships/hyperlink" Target="https://www.cookie.fun/chains/ethereum.svg" TargetMode="External"/><Relationship Id="rId2759" Type="http://schemas.openxmlformats.org/officeDocument/2006/relationships/hyperlink" Target="https://pbs.twimg.com/profile_images/1583462717498728455/puvD9UlZ_normal.jpg" TargetMode="External"/><Relationship Id="rId2966" Type="http://schemas.openxmlformats.org/officeDocument/2006/relationships/hyperlink" Target="https://www.cookie.fun/chains/solana.svg" TargetMode="External"/><Relationship Id="rId938" Type="http://schemas.openxmlformats.org/officeDocument/2006/relationships/hyperlink" Target="https://pbs.twimg.com/profile_images/1875689424014733316/dNeyjYPe_400x400.jpg" TargetMode="External"/><Relationship Id="rId1568" Type="http://schemas.openxmlformats.org/officeDocument/2006/relationships/hyperlink" Target="https://pbs.twimg.com/profile_images/1856743882618200064/H5OMx3DK_400x400.jpg" TargetMode="External"/><Relationship Id="rId1775" Type="http://schemas.openxmlformats.org/officeDocument/2006/relationships/hyperlink" Target="https://pbs.twimg.com/profile_images/1874677857747718144/AVNfLU6p_400x400.jpg" TargetMode="External"/><Relationship Id="rId2619" Type="http://schemas.openxmlformats.org/officeDocument/2006/relationships/hyperlink" Target="https://www.cookie.fun/agent/act-i-the-ai-prophecy" TargetMode="External"/><Relationship Id="rId2826" Type="http://schemas.openxmlformats.org/officeDocument/2006/relationships/hyperlink" Target="https://pbs.twimg.com/profile_images/1588828286464888832/RRN2JuTl_normal.jpg" TargetMode="External"/><Relationship Id="rId67" Type="http://schemas.openxmlformats.org/officeDocument/2006/relationships/hyperlink" Target="https://www.cookie.fun/agent/based-aipe" TargetMode="External"/><Relationship Id="rId1428" Type="http://schemas.openxmlformats.org/officeDocument/2006/relationships/hyperlink" Target="https://www.cookie.fun/chains/solana.svg" TargetMode="External"/><Relationship Id="rId1635" Type="http://schemas.openxmlformats.org/officeDocument/2006/relationships/hyperlink" Target="https://www.cookie.fun/chains/solana.svg" TargetMode="External"/><Relationship Id="rId1982" Type="http://schemas.openxmlformats.org/officeDocument/2006/relationships/hyperlink" Target="https://pbs.twimg.com/profile_images/1859439376264056832/j5iSDUEt_400x400.jpg" TargetMode="External"/><Relationship Id="rId4041" Type="http://schemas.openxmlformats.org/officeDocument/2006/relationships/hyperlink" Target="https://x.com/MINHxDYNASTY/status/1879240982161768876" TargetMode="External"/><Relationship Id="rId1842" Type="http://schemas.openxmlformats.org/officeDocument/2006/relationships/hyperlink" Target="https://www.cookie.fun/chains/base.svg" TargetMode="External"/><Relationship Id="rId1702" Type="http://schemas.openxmlformats.org/officeDocument/2006/relationships/hyperlink" Target="https://www.cookie.fun/agent/lauraaiterminal" TargetMode="External"/><Relationship Id="rId3667" Type="http://schemas.openxmlformats.org/officeDocument/2006/relationships/hyperlink" Target="https://pbs.twimg.com/profile_images/1849037778711150592/VkQc15nT_400x400.jpg" TargetMode="External"/><Relationship Id="rId3874" Type="http://schemas.openxmlformats.org/officeDocument/2006/relationships/hyperlink" Target="https://pbs.twimg.com/profile_images/1860156958394974210/5zAJomsJ_400x400.jpg" TargetMode="External"/><Relationship Id="rId588" Type="http://schemas.openxmlformats.org/officeDocument/2006/relationships/hyperlink" Target="https://pbs.twimg.com/profile_images/1862520577291964416/Wpd_l3Ki_400x400.jpg" TargetMode="External"/><Relationship Id="rId795" Type="http://schemas.openxmlformats.org/officeDocument/2006/relationships/hyperlink" Target="https://www.cookie.fun/chains/solana.svg" TargetMode="External"/><Relationship Id="rId2269" Type="http://schemas.openxmlformats.org/officeDocument/2006/relationships/hyperlink" Target="https://pbs.twimg.com/profile_images/1848727772404797440/Zx1s4Rlh_normal.jpg" TargetMode="External"/><Relationship Id="rId2476" Type="http://schemas.openxmlformats.org/officeDocument/2006/relationships/hyperlink" Target="https://pbs.twimg.com/profile_images/1848450775397142529/HqRYsyQM_400x400.jpg" TargetMode="External"/><Relationship Id="rId2683" Type="http://schemas.openxmlformats.org/officeDocument/2006/relationships/hyperlink" Target="https://pbs.twimg.com/profile_images/1781921611165118464/stP8Ssgk_normal.jpg" TargetMode="External"/><Relationship Id="rId2890" Type="http://schemas.openxmlformats.org/officeDocument/2006/relationships/hyperlink" Target="https://x.com/JoshMcGruff/status/1879335313497264579" TargetMode="External"/><Relationship Id="rId3527" Type="http://schemas.openxmlformats.org/officeDocument/2006/relationships/hyperlink" Target="https://www.cookie.fun/chains/solana.svg" TargetMode="External"/><Relationship Id="rId3734" Type="http://schemas.openxmlformats.org/officeDocument/2006/relationships/hyperlink" Target="https://www.cookie.fun/chains/solana.svg" TargetMode="External"/><Relationship Id="rId3941" Type="http://schemas.openxmlformats.org/officeDocument/2006/relationships/hyperlink" Target="https://www.cookie.fun/chains/solana.svg" TargetMode="External"/><Relationship Id="rId448" Type="http://schemas.openxmlformats.org/officeDocument/2006/relationships/hyperlink" Target="https://www.cookie.fun/chains/solana.svg" TargetMode="External"/><Relationship Id="rId655" Type="http://schemas.openxmlformats.org/officeDocument/2006/relationships/hyperlink" Target="https://www.cookie.fun/agent/trench-timmy" TargetMode="External"/><Relationship Id="rId862" Type="http://schemas.openxmlformats.org/officeDocument/2006/relationships/hyperlink" Target="https://www.cookie.fun/agent/the-geisha" TargetMode="External"/><Relationship Id="rId1078" Type="http://schemas.openxmlformats.org/officeDocument/2006/relationships/hyperlink" Target="https://www.cookie.fun/agent/maga" TargetMode="External"/><Relationship Id="rId1285" Type="http://schemas.openxmlformats.org/officeDocument/2006/relationships/hyperlink" Target="https://www.cookie.fun/agent/oof" TargetMode="External"/><Relationship Id="rId1492" Type="http://schemas.openxmlformats.org/officeDocument/2006/relationships/hyperlink" Target="https://www.cookie.fun/agent/hal" TargetMode="External"/><Relationship Id="rId2129" Type="http://schemas.openxmlformats.org/officeDocument/2006/relationships/hyperlink" Target="https://www.cookie.fun/agent/meme-agent-jenna" TargetMode="External"/><Relationship Id="rId2336" Type="http://schemas.openxmlformats.org/officeDocument/2006/relationships/hyperlink" Target="https://x.com/DegenerateNews/status/1877346341854081180" TargetMode="External"/><Relationship Id="rId2543" Type="http://schemas.openxmlformats.org/officeDocument/2006/relationships/hyperlink" Target="https://pbs.twimg.com/profile_images/1869055102486446084/JVBRQliT_normal.jpg" TargetMode="External"/><Relationship Id="rId2750" Type="http://schemas.openxmlformats.org/officeDocument/2006/relationships/hyperlink" Target="https://x.com/RyzeLabs/status/1879178384091091221" TargetMode="External"/><Relationship Id="rId3801" Type="http://schemas.openxmlformats.org/officeDocument/2006/relationships/hyperlink" Target="https://pbs.twimg.com/profile_images/1878415813503528960/PlqL28iE_400x400.jpg" TargetMode="External"/><Relationship Id="rId308" Type="http://schemas.openxmlformats.org/officeDocument/2006/relationships/hyperlink" Target="https://pbs.twimg.com/profile_images/1835086069299064832/0huBpYB4_400x400.jpg" TargetMode="External"/><Relationship Id="rId515" Type="http://schemas.openxmlformats.org/officeDocument/2006/relationships/hyperlink" Target="https://www.cookie.fun/agent/virtual-alpha" TargetMode="External"/><Relationship Id="rId722" Type="http://schemas.openxmlformats.org/officeDocument/2006/relationships/hyperlink" Target="https://pbs.twimg.com/profile_images/1868913923535122432/yMO9c0X9_400x400.jpg" TargetMode="External"/><Relationship Id="rId1145" Type="http://schemas.openxmlformats.org/officeDocument/2006/relationships/hyperlink" Target="https://pbs.twimg.com/profile_images/1865532432360882176/4asIuyYP_400x400.jpg" TargetMode="External"/><Relationship Id="rId1352" Type="http://schemas.openxmlformats.org/officeDocument/2006/relationships/hyperlink" Target="https://pbs.twimg.com/profile_images/1859856286512250880/hZYRHpKR_400x400.jpg" TargetMode="External"/><Relationship Id="rId2403" Type="http://schemas.openxmlformats.org/officeDocument/2006/relationships/hyperlink" Target="https://www.cookie.fun/agent/alchemist-ai" TargetMode="External"/><Relationship Id="rId1005" Type="http://schemas.openxmlformats.org/officeDocument/2006/relationships/hyperlink" Target="https://www.cookie.fun/chains/solana.svg" TargetMode="External"/><Relationship Id="rId1212" Type="http://schemas.openxmlformats.org/officeDocument/2006/relationships/hyperlink" Target="https://www.cookie.fun/chains/solana.svg" TargetMode="External"/><Relationship Id="rId2610" Type="http://schemas.openxmlformats.org/officeDocument/2006/relationships/hyperlink" Target="https://x.com/yellowpantherx/status/1877373112011948255" TargetMode="External"/><Relationship Id="rId3177" Type="http://schemas.openxmlformats.org/officeDocument/2006/relationships/hyperlink" Target="https://pbs.twimg.com/profile_images/1637218141255131139/IY4gsV5h_normal.jpg" TargetMode="External"/><Relationship Id="rId3037" Type="http://schemas.openxmlformats.org/officeDocument/2006/relationships/hyperlink" Target="https://pbs.twimg.com/profile_images/1852816604612222976/g0lJgEnp_400x400.jpg" TargetMode="External"/><Relationship Id="rId3384" Type="http://schemas.openxmlformats.org/officeDocument/2006/relationships/hyperlink" Target="https://pbs.twimg.com/profile_images/1775346225019072513/gWL-bbsT_normal.jpg" TargetMode="External"/><Relationship Id="rId3591" Type="http://schemas.openxmlformats.org/officeDocument/2006/relationships/hyperlink" Target="https://www.cookie.fun/chains/base.svg" TargetMode="External"/><Relationship Id="rId2193" Type="http://schemas.openxmlformats.org/officeDocument/2006/relationships/hyperlink" Target="https://pbs.twimg.com/profile_images/1724734254192463873/KsDReGY1_400x400.jpg" TargetMode="External"/><Relationship Id="rId3244" Type="http://schemas.openxmlformats.org/officeDocument/2006/relationships/hyperlink" Target="https://x.com/gammichan/status/1879027711450214615" TargetMode="External"/><Relationship Id="rId3451" Type="http://schemas.openxmlformats.org/officeDocument/2006/relationships/hyperlink" Target="https://x.com/surfcoderepeat/status/1878141464447742419" TargetMode="External"/><Relationship Id="rId165" Type="http://schemas.openxmlformats.org/officeDocument/2006/relationships/hyperlink" Target="https://www.cookie.fun/agent/tmai" TargetMode="External"/><Relationship Id="rId372" Type="http://schemas.openxmlformats.org/officeDocument/2006/relationships/hyperlink" Target="https://www.cookie.fun/chains/solana.svg" TargetMode="External"/><Relationship Id="rId2053" Type="http://schemas.openxmlformats.org/officeDocument/2006/relationships/hyperlink" Target="https://www.cookie.fun/agent/agent-aiora" TargetMode="External"/><Relationship Id="rId2260" Type="http://schemas.openxmlformats.org/officeDocument/2006/relationships/hyperlink" Target="https://pbs.twimg.com/profile_images/1874758416658509824/UPaVddbm_400x400.jpg" TargetMode="External"/><Relationship Id="rId3104" Type="http://schemas.openxmlformats.org/officeDocument/2006/relationships/hyperlink" Target="https://x.com/NftPerks/status/1878758096127889887" TargetMode="External"/><Relationship Id="rId3311" Type="http://schemas.openxmlformats.org/officeDocument/2006/relationships/hyperlink" Target="https://www.cookie.fun/agent/ait" TargetMode="External"/><Relationship Id="rId232" Type="http://schemas.openxmlformats.org/officeDocument/2006/relationships/hyperlink" Target="https://www.cookie.fun/agent/break-fun" TargetMode="External"/><Relationship Id="rId2120" Type="http://schemas.openxmlformats.org/officeDocument/2006/relationships/hyperlink" Target="https://pbs.twimg.com/profile_images/1875246089861001216/8Q3GxnR-_400x400.jpg" TargetMode="External"/><Relationship Id="rId1679" Type="http://schemas.openxmlformats.org/officeDocument/2006/relationships/hyperlink" Target="https://pbs.twimg.com/profile_images/1858245480947634176/P1CbTcKg_400x400.jpg" TargetMode="External"/><Relationship Id="rId4085" Type="http://schemas.openxmlformats.org/officeDocument/2006/relationships/hyperlink" Target="https://www.cookie.fun/chains/solana.svg" TargetMode="External"/><Relationship Id="rId1886" Type="http://schemas.openxmlformats.org/officeDocument/2006/relationships/hyperlink" Target="https://pbs.twimg.com/profile_images/1875689982725177344/06lmeh4d_400x400.jpg" TargetMode="External"/><Relationship Id="rId2937" Type="http://schemas.openxmlformats.org/officeDocument/2006/relationships/hyperlink" Target="https://pbs.twimg.com/profile_images/1807955712611655680/VoSxLh_d_normal.jpg" TargetMode="External"/><Relationship Id="rId4152" Type="http://schemas.openxmlformats.org/officeDocument/2006/relationships/hyperlink" Target="https://www.cookie.fun/agent/echo-leaks" TargetMode="External"/><Relationship Id="rId909" Type="http://schemas.openxmlformats.org/officeDocument/2006/relationships/hyperlink" Target="https://www.cookie.fun/chains/base.svg" TargetMode="External"/><Relationship Id="rId1539" Type="http://schemas.openxmlformats.org/officeDocument/2006/relationships/hyperlink" Target="https://www.cookie.fun/chains/solana.svg" TargetMode="External"/><Relationship Id="rId1746" Type="http://schemas.openxmlformats.org/officeDocument/2006/relationships/hyperlink" Target="https://www.cookie.fun/chains/solana.svg" TargetMode="External"/><Relationship Id="rId1953" Type="http://schemas.openxmlformats.org/officeDocument/2006/relationships/hyperlink" Target="https://www.cookie.fun/chains/solana.svg" TargetMode="External"/><Relationship Id="rId38" Type="http://schemas.openxmlformats.org/officeDocument/2006/relationships/hyperlink" Target="https://www.cookie.fun/agent/dantegpu" TargetMode="External"/><Relationship Id="rId1606" Type="http://schemas.openxmlformats.org/officeDocument/2006/relationships/hyperlink" Target="https://www.cookie.fun/agent/pak" TargetMode="External"/><Relationship Id="rId1813" Type="http://schemas.openxmlformats.org/officeDocument/2006/relationships/hyperlink" Target="https://www.cookie.fun/agent/chase" TargetMode="External"/><Relationship Id="rId4012" Type="http://schemas.openxmlformats.org/officeDocument/2006/relationships/hyperlink" Target="https://www.cookie.fun/chains/base.svg" TargetMode="External"/><Relationship Id="rId3778" Type="http://schemas.openxmlformats.org/officeDocument/2006/relationships/hyperlink" Target="https://x.com/pentcle/status/1877451788229529625" TargetMode="External"/><Relationship Id="rId3985" Type="http://schemas.openxmlformats.org/officeDocument/2006/relationships/hyperlink" Target="https://www.cookie.fun/chains/solana.svg" TargetMode="External"/><Relationship Id="rId699" Type="http://schemas.openxmlformats.org/officeDocument/2006/relationships/hyperlink" Target="https://www.cookie.fun/chains/solana.svg" TargetMode="External"/><Relationship Id="rId2587" Type="http://schemas.openxmlformats.org/officeDocument/2006/relationships/hyperlink" Target="https://pbs.twimg.com/profile_images/1871743259619536896/4IEOn9xW_normal.jpg" TargetMode="External"/><Relationship Id="rId2794" Type="http://schemas.openxmlformats.org/officeDocument/2006/relationships/hyperlink" Target="https://pbs.twimg.com/profile_images/1619729617098506243/FZLFQ6He_normal.jpg" TargetMode="External"/><Relationship Id="rId3638" Type="http://schemas.openxmlformats.org/officeDocument/2006/relationships/hyperlink" Target="https://pbs.twimg.com/profile_images/1849959582111596544/CaQNoXD1_400x400.jpg" TargetMode="External"/><Relationship Id="rId3845" Type="http://schemas.openxmlformats.org/officeDocument/2006/relationships/hyperlink" Target="https://x.com/erequendiweb3/status/1878522670125380014" TargetMode="External"/><Relationship Id="rId559" Type="http://schemas.openxmlformats.org/officeDocument/2006/relationships/hyperlink" Target="https://www.cookie.fun/chains/base.svg" TargetMode="External"/><Relationship Id="rId766" Type="http://schemas.openxmlformats.org/officeDocument/2006/relationships/hyperlink" Target="https://www.cookie.fun/agent/kappy" TargetMode="External"/><Relationship Id="rId1189" Type="http://schemas.openxmlformats.org/officeDocument/2006/relationships/hyperlink" Target="https://www.cookie.fun/agent/meso" TargetMode="External"/><Relationship Id="rId1396" Type="http://schemas.openxmlformats.org/officeDocument/2006/relationships/hyperlink" Target="https://www.cookie.fun/agent/aira" TargetMode="External"/><Relationship Id="rId2447" Type="http://schemas.openxmlformats.org/officeDocument/2006/relationships/hyperlink" Target="https://pbs.twimg.com/profile_images/1863747720827244545/xoSWaM53_normal.png" TargetMode="External"/><Relationship Id="rId419" Type="http://schemas.openxmlformats.org/officeDocument/2006/relationships/hyperlink" Target="https://pbs.twimg.com/profile_images/1861800642584756224/-00s5N8R_400x400.jpg" TargetMode="External"/><Relationship Id="rId626" Type="http://schemas.openxmlformats.org/officeDocument/2006/relationships/hyperlink" Target="https://pbs.twimg.com/profile_images/1867075641549459456/t1OZQzz6_400x400.jpg" TargetMode="External"/><Relationship Id="rId973" Type="http://schemas.openxmlformats.org/officeDocument/2006/relationships/hyperlink" Target="https://www.cookie.fun/agent/robie" TargetMode="External"/><Relationship Id="rId1049" Type="http://schemas.openxmlformats.org/officeDocument/2006/relationships/hyperlink" Target="https://pbs.twimg.com/profile_images/1868790336870322176/OFFaZvv7_400x400.jpg" TargetMode="External"/><Relationship Id="rId1256" Type="http://schemas.openxmlformats.org/officeDocument/2006/relationships/hyperlink" Target="https://pbs.twimg.com/profile_images/1844640308786843648/qfb-nJBV_400x400.jpg" TargetMode="External"/><Relationship Id="rId2307" Type="http://schemas.openxmlformats.org/officeDocument/2006/relationships/hyperlink" Target="https://www.cookie.fun/agent/pippin" TargetMode="External"/><Relationship Id="rId2654" Type="http://schemas.openxmlformats.org/officeDocument/2006/relationships/hyperlink" Target="https://x.com/RealFlokiInu/status/1878096224449884431" TargetMode="External"/><Relationship Id="rId2861" Type="http://schemas.openxmlformats.org/officeDocument/2006/relationships/hyperlink" Target="https://pbs.twimg.com/profile_images/1819463930802028544/wZAMMX0W_normal.jpg" TargetMode="External"/><Relationship Id="rId3705" Type="http://schemas.openxmlformats.org/officeDocument/2006/relationships/hyperlink" Target="https://www.cookie.fun/agent/lenda" TargetMode="External"/><Relationship Id="rId3912" Type="http://schemas.openxmlformats.org/officeDocument/2006/relationships/hyperlink" Target="https://x.com/everythingempt0/status/1878356696193810742" TargetMode="External"/><Relationship Id="rId833" Type="http://schemas.openxmlformats.org/officeDocument/2006/relationships/hyperlink" Target="https://pbs.twimg.com/profile_images/1866977012079812608/dw3n9uX1_400x400.jpg" TargetMode="External"/><Relationship Id="rId1116" Type="http://schemas.openxmlformats.org/officeDocument/2006/relationships/hyperlink" Target="https://www.cookie.fun/chains/solana.svg" TargetMode="External"/><Relationship Id="rId1463" Type="http://schemas.openxmlformats.org/officeDocument/2006/relationships/hyperlink" Target="https://pbs.twimg.com/profile_images/1858799204862472192/tZuRX1mU_400x400.jpg" TargetMode="External"/><Relationship Id="rId1670" Type="http://schemas.openxmlformats.org/officeDocument/2006/relationships/hyperlink" Target="https://pbs.twimg.com/profile_images/1858007432670187520/E9fDPdbY_400x400.jpg" TargetMode="External"/><Relationship Id="rId2514" Type="http://schemas.openxmlformats.org/officeDocument/2006/relationships/hyperlink" Target="https://x.com/kucoincom/status/1879417417350381897" TargetMode="External"/><Relationship Id="rId2721" Type="http://schemas.openxmlformats.org/officeDocument/2006/relationships/hyperlink" Target="https://pbs.twimg.com/profile_images/1805288116577611776/FGDdsgTa_normal.jpg" TargetMode="External"/><Relationship Id="rId900" Type="http://schemas.openxmlformats.org/officeDocument/2006/relationships/hyperlink" Target="https://www.cookie.fun/chains/base.svg" TargetMode="External"/><Relationship Id="rId1323" Type="http://schemas.openxmlformats.org/officeDocument/2006/relationships/hyperlink" Target="https://www.cookie.fun/chains/solana.svg" TargetMode="External"/><Relationship Id="rId1530" Type="http://schemas.openxmlformats.org/officeDocument/2006/relationships/hyperlink" Target="https://www.cookie.fun/chains/solana.svg" TargetMode="External"/><Relationship Id="rId3288" Type="http://schemas.openxmlformats.org/officeDocument/2006/relationships/hyperlink" Target="https://www.cookie.fun/chains/solana.svg" TargetMode="External"/><Relationship Id="rId3495" Type="http://schemas.openxmlformats.org/officeDocument/2006/relationships/hyperlink" Target="https://www.cookie.fun/chains/ethereum.svg" TargetMode="External"/><Relationship Id="rId2097" Type="http://schemas.openxmlformats.org/officeDocument/2006/relationships/hyperlink" Target="https://www.cookie.fun/agent/solai-connect" TargetMode="External"/><Relationship Id="rId3148" Type="http://schemas.openxmlformats.org/officeDocument/2006/relationships/hyperlink" Target="https://www.cookie.fun/chains/solana.svg" TargetMode="External"/><Relationship Id="rId3355" Type="http://schemas.openxmlformats.org/officeDocument/2006/relationships/hyperlink" Target="https://pbs.twimg.com/profile_images/1847563671310127106/SAQZSToZ_normal.jpg" TargetMode="External"/><Relationship Id="rId3562" Type="http://schemas.openxmlformats.org/officeDocument/2006/relationships/hyperlink" Target="https://x.com/SeedifyFund/status/1878835439567564869" TargetMode="External"/><Relationship Id="rId276" Type="http://schemas.openxmlformats.org/officeDocument/2006/relationships/hyperlink" Target="https://www.cookie.fun/chains/solana.svg" TargetMode="External"/><Relationship Id="rId483" Type="http://schemas.openxmlformats.org/officeDocument/2006/relationships/hyperlink" Target="https://pbs.twimg.com/profile_images/1863213587805646848/pkNbwG8I_400x400.jpg" TargetMode="External"/><Relationship Id="rId690" Type="http://schemas.openxmlformats.org/officeDocument/2006/relationships/hyperlink" Target="https://www.cookie.fun/chains/solana.svg" TargetMode="External"/><Relationship Id="rId2164" Type="http://schemas.openxmlformats.org/officeDocument/2006/relationships/hyperlink" Target="https://www.cookie.fun/agent/ai16mc" TargetMode="External"/><Relationship Id="rId2371" Type="http://schemas.openxmlformats.org/officeDocument/2006/relationships/hyperlink" Target="https://pbs.twimg.com/profile_images/1876894667767468032/8z-b85Kk_normal.jpg" TargetMode="External"/><Relationship Id="rId3008" Type="http://schemas.openxmlformats.org/officeDocument/2006/relationships/hyperlink" Target="https://pbs.twimg.com/profile_images/1877633171413467136/91OOzFSV_normal.jpg" TargetMode="External"/><Relationship Id="rId3215" Type="http://schemas.openxmlformats.org/officeDocument/2006/relationships/hyperlink" Target="https://x.com/thepropgallery/status/1877091052865089726" TargetMode="External"/><Relationship Id="rId3422" Type="http://schemas.openxmlformats.org/officeDocument/2006/relationships/hyperlink" Target="https://x.com/onchainarmy/status/1878151443426734491" TargetMode="External"/><Relationship Id="rId136" Type="http://schemas.openxmlformats.org/officeDocument/2006/relationships/hyperlink" Target="https://pbs.twimg.com/profile_images/1856713981630783488/yXRWSvno_400x400.jpg" TargetMode="External"/><Relationship Id="rId343" Type="http://schemas.openxmlformats.org/officeDocument/2006/relationships/hyperlink" Target="https://www.cookie.fun/agent/affirmai" TargetMode="External"/><Relationship Id="rId550" Type="http://schemas.openxmlformats.org/officeDocument/2006/relationships/hyperlink" Target="https://www.cookie.fun/chains/base.svg" TargetMode="External"/><Relationship Id="rId1180" Type="http://schemas.openxmlformats.org/officeDocument/2006/relationships/hyperlink" Target="https://www.cookie.fun/agent/auralis" TargetMode="External"/><Relationship Id="rId2024" Type="http://schemas.openxmlformats.org/officeDocument/2006/relationships/hyperlink" Target="https://pbs.twimg.com/profile_images/1871406182901915648/1Gb_Fz-l_400x400.png" TargetMode="External"/><Relationship Id="rId2231" Type="http://schemas.openxmlformats.org/officeDocument/2006/relationships/hyperlink" Target="https://pbs.twimg.com/profile_images/1871376002602987520/e92YtUYK_400x400.png" TargetMode="External"/><Relationship Id="rId203" Type="http://schemas.openxmlformats.org/officeDocument/2006/relationships/hyperlink" Target="https://www.cookie.fun/chains/solana.svg" TargetMode="External"/><Relationship Id="rId1040" Type="http://schemas.openxmlformats.org/officeDocument/2006/relationships/hyperlink" Target="https://pbs.twimg.com/profile_images/1871545736686362624/RgdCuoUR_400x400.jpg" TargetMode="External"/><Relationship Id="rId410" Type="http://schemas.openxmlformats.org/officeDocument/2006/relationships/hyperlink" Target="https://pbs.twimg.com/profile_images/1851267230022967296/NEvWlXOS_400x400.jpg" TargetMode="External"/><Relationship Id="rId1997" Type="http://schemas.openxmlformats.org/officeDocument/2006/relationships/hyperlink" Target="https://pbs.twimg.com/profile_images/1857634093883707392/0DazzrNw_400x400.jpg" TargetMode="External"/><Relationship Id="rId4056" Type="http://schemas.openxmlformats.org/officeDocument/2006/relationships/hyperlink" Target="https://pbs.twimg.com/profile_images/1859637818030522368/CaQHTr9r_400x400.jpg" TargetMode="External"/><Relationship Id="rId1857" Type="http://schemas.openxmlformats.org/officeDocument/2006/relationships/hyperlink" Target="https://www.cookie.fun/chains/solana.svg" TargetMode="External"/><Relationship Id="rId2908" Type="http://schemas.openxmlformats.org/officeDocument/2006/relationships/hyperlink" Target="https://pbs.twimg.com/profile_images/1878522574977556480/-UmtKrAk_normal.jpg" TargetMode="External"/><Relationship Id="rId1717" Type="http://schemas.openxmlformats.org/officeDocument/2006/relationships/hyperlink" Target="https://www.cookie.fun/agent/aigen" TargetMode="External"/><Relationship Id="rId1924" Type="http://schemas.openxmlformats.org/officeDocument/2006/relationships/hyperlink" Target="https://www.cookie.fun/agent/fullspark-ai" TargetMode="External"/><Relationship Id="rId3072" Type="http://schemas.openxmlformats.org/officeDocument/2006/relationships/hyperlink" Target="https://pbs.twimg.com/profile_images/1865248625678520325/K8QQsqDl_normal.jpg" TargetMode="External"/><Relationship Id="rId4123" Type="http://schemas.openxmlformats.org/officeDocument/2006/relationships/hyperlink" Target="https://pbs.twimg.com/profile_images/1806079994000478208/PyfujI-a_normal.jpg" TargetMode="External"/><Relationship Id="rId3889" Type="http://schemas.openxmlformats.org/officeDocument/2006/relationships/hyperlink" Target="https://pbs.twimg.com/profile_images/1741228410397999104/hSup_xwc_normal.jpg" TargetMode="External"/><Relationship Id="rId2698" Type="http://schemas.openxmlformats.org/officeDocument/2006/relationships/hyperlink" Target="https://x.com/Route2FI/status/1878093414115242143" TargetMode="External"/><Relationship Id="rId3749" Type="http://schemas.openxmlformats.org/officeDocument/2006/relationships/hyperlink" Target="https://x.com/tradinglord/status/1877970703720264045" TargetMode="External"/><Relationship Id="rId3956" Type="http://schemas.openxmlformats.org/officeDocument/2006/relationships/hyperlink" Target="https://www.cookie.fun/chains/solana.svg" TargetMode="External"/><Relationship Id="rId877" Type="http://schemas.openxmlformats.org/officeDocument/2006/relationships/hyperlink" Target="https://www.cookie.fun/agent/argus" TargetMode="External"/><Relationship Id="rId2558" Type="http://schemas.openxmlformats.org/officeDocument/2006/relationships/hyperlink" Target="https://x.com/gem_insider/status/1877309350353490122" TargetMode="External"/><Relationship Id="rId2765" Type="http://schemas.openxmlformats.org/officeDocument/2006/relationships/hyperlink" Target="https://www.cookie.fun/chains/solana.svg" TargetMode="External"/><Relationship Id="rId2972" Type="http://schemas.openxmlformats.org/officeDocument/2006/relationships/hyperlink" Target="https://pbs.twimg.com/profile_images/1874108066469466112/MY-brhVa_normal.jpg" TargetMode="External"/><Relationship Id="rId3609" Type="http://schemas.openxmlformats.org/officeDocument/2006/relationships/hyperlink" Target="https://pbs.twimg.com/profile_images/1877338697797971968/UlV0Tuu8_normal.jpg" TargetMode="External"/><Relationship Id="rId3816" Type="http://schemas.openxmlformats.org/officeDocument/2006/relationships/hyperlink" Target="https://www.cookie.fun/chains/base.svg" TargetMode="External"/><Relationship Id="rId737" Type="http://schemas.openxmlformats.org/officeDocument/2006/relationships/hyperlink" Target="https://pbs.twimg.com/profile_images/1863963345675571200/IPW0isQ6_400x400.png" TargetMode="External"/><Relationship Id="rId944" Type="http://schemas.openxmlformats.org/officeDocument/2006/relationships/hyperlink" Target="https://pbs.twimg.com/profile_images/1872341162146836480/TpfjwIWR_400x400.jpg" TargetMode="External"/><Relationship Id="rId1367" Type="http://schemas.openxmlformats.org/officeDocument/2006/relationships/hyperlink" Target="https://pbs.twimg.com/profile_images/1859668647024750592/Dln8_fNZ_400x400.jpg" TargetMode="External"/><Relationship Id="rId1574" Type="http://schemas.openxmlformats.org/officeDocument/2006/relationships/hyperlink" Target="https://pbs.twimg.com/profile_images/1858436372673220608/Wvh-3zFt_400x400.jpg" TargetMode="External"/><Relationship Id="rId1781" Type="http://schemas.openxmlformats.org/officeDocument/2006/relationships/hyperlink" Target="https://pbs.twimg.com/profile_images/1874766876045090816/OgzrmxrY_400x400.jpg" TargetMode="External"/><Relationship Id="rId2418" Type="http://schemas.openxmlformats.org/officeDocument/2006/relationships/hyperlink" Target="https://x.com/findGBC/status/1877032287373533201" TargetMode="External"/><Relationship Id="rId2625" Type="http://schemas.openxmlformats.org/officeDocument/2006/relationships/hyperlink" Target="https://pbs.twimg.com/profile_images/1607593522701701122/zv1J_K2-_normal.jpg" TargetMode="External"/><Relationship Id="rId2832" Type="http://schemas.openxmlformats.org/officeDocument/2006/relationships/hyperlink" Target="https://pbs.twimg.com/profile_images/1855156346012024833/Cyq1S8xL_normal.png" TargetMode="External"/><Relationship Id="rId73" Type="http://schemas.openxmlformats.org/officeDocument/2006/relationships/hyperlink" Target="https://www.cookie.fun/agent/parry" TargetMode="External"/><Relationship Id="rId804" Type="http://schemas.openxmlformats.org/officeDocument/2006/relationships/hyperlink" Target="https://www.cookie.fun/chains/solana.svg" TargetMode="External"/><Relationship Id="rId1227" Type="http://schemas.openxmlformats.org/officeDocument/2006/relationships/hyperlink" Target="https://www.cookie.fun/chains/solana.svg" TargetMode="External"/><Relationship Id="rId1434" Type="http://schemas.openxmlformats.org/officeDocument/2006/relationships/hyperlink" Target="https://www.cookie.fun/chains/solana.svg" TargetMode="External"/><Relationship Id="rId1641" Type="http://schemas.openxmlformats.org/officeDocument/2006/relationships/hyperlink" Target="https://www.cookie.fun/chains/solana.svg" TargetMode="External"/><Relationship Id="rId1501" Type="http://schemas.openxmlformats.org/officeDocument/2006/relationships/hyperlink" Target="https://www.cookie.fun/agent/laps" TargetMode="External"/><Relationship Id="rId3399" Type="http://schemas.openxmlformats.org/officeDocument/2006/relationships/hyperlink" Target="https://x.com/ghost93_x/status/1879033909960396821" TargetMode="External"/><Relationship Id="rId3259" Type="http://schemas.openxmlformats.org/officeDocument/2006/relationships/hyperlink" Target="https://x.com/EmblemVault/status/1877884129288790282" TargetMode="External"/><Relationship Id="rId3466" Type="http://schemas.openxmlformats.org/officeDocument/2006/relationships/hyperlink" Target="https://x.com/EzMoneyGems/status/1879211066195951762" TargetMode="External"/><Relationship Id="rId387" Type="http://schemas.openxmlformats.org/officeDocument/2006/relationships/hyperlink" Target="https://www.cookie.fun/chains/solana.svg" TargetMode="External"/><Relationship Id="rId594" Type="http://schemas.openxmlformats.org/officeDocument/2006/relationships/hyperlink" Target="https://pbs.twimg.com/profile_images/1860280726257831936/FGoQqF15_400x400.jpg" TargetMode="External"/><Relationship Id="rId2068" Type="http://schemas.openxmlformats.org/officeDocument/2006/relationships/hyperlink" Target="https://pbs.twimg.com/profile_images/1867558551058522112/t1Aq0Jq6_400x400.jpg" TargetMode="External"/><Relationship Id="rId2275" Type="http://schemas.openxmlformats.org/officeDocument/2006/relationships/hyperlink" Target="https://pbs.twimg.com/profile_images/1868298971837255680/cN-ikO7h_normal.jpg" TargetMode="External"/><Relationship Id="rId3119" Type="http://schemas.openxmlformats.org/officeDocument/2006/relationships/hyperlink" Target="https://x.com/skyyman69/status/1877690100869480922" TargetMode="External"/><Relationship Id="rId3326" Type="http://schemas.openxmlformats.org/officeDocument/2006/relationships/hyperlink" Target="https://pbs.twimg.com/profile_images/1423875044598456321/SVjwd6Bb_normal.jpg" TargetMode="External"/><Relationship Id="rId3673" Type="http://schemas.openxmlformats.org/officeDocument/2006/relationships/hyperlink" Target="https://x.com/ataberk/status/1879166730976837809" TargetMode="External"/><Relationship Id="rId3880" Type="http://schemas.openxmlformats.org/officeDocument/2006/relationships/hyperlink" Target="https://x.com/CapoXXIII/status/1877680843621126417" TargetMode="External"/><Relationship Id="rId247" Type="http://schemas.openxmlformats.org/officeDocument/2006/relationships/hyperlink" Target="https://www.cookie.fun/chains/solana.svg" TargetMode="External"/><Relationship Id="rId1084" Type="http://schemas.openxmlformats.org/officeDocument/2006/relationships/hyperlink" Target="https://www.cookie.fun/agent/omen" TargetMode="External"/><Relationship Id="rId2482" Type="http://schemas.openxmlformats.org/officeDocument/2006/relationships/hyperlink" Target="https://x.com/Mepo2000/status/1878794037483704703" TargetMode="External"/><Relationship Id="rId3533" Type="http://schemas.openxmlformats.org/officeDocument/2006/relationships/hyperlink" Target="https://x.com/demonegoo/status/1877420569412428136" TargetMode="External"/><Relationship Id="rId3740" Type="http://schemas.openxmlformats.org/officeDocument/2006/relationships/hyperlink" Target="https://pbs.twimg.com/profile_images/1762203537981788160/EELgUbyY_normal.jpg" TargetMode="External"/><Relationship Id="rId107" Type="http://schemas.openxmlformats.org/officeDocument/2006/relationships/hyperlink" Target="https://www.cookie.fun/agent/astropepex" TargetMode="External"/><Relationship Id="rId454" Type="http://schemas.openxmlformats.org/officeDocument/2006/relationships/hyperlink" Target="https://www.cookie.fun/chains/solana.svg" TargetMode="External"/><Relationship Id="rId661" Type="http://schemas.openxmlformats.org/officeDocument/2006/relationships/hyperlink" Target="https://www.cookie.fun/agent/bubbacat" TargetMode="External"/><Relationship Id="rId1291" Type="http://schemas.openxmlformats.org/officeDocument/2006/relationships/hyperlink" Target="https://www.cookie.fun/agent/lisa" TargetMode="External"/><Relationship Id="rId2135" Type="http://schemas.openxmlformats.org/officeDocument/2006/relationships/hyperlink" Target="https://pbs.twimg.com/profile_images/1872080944355766272/Lf5Tx2_O_400x400.jpg" TargetMode="External"/><Relationship Id="rId2342" Type="http://schemas.openxmlformats.org/officeDocument/2006/relationships/hyperlink" Target="https://x.com/kkashi_yt/status/1879168237449175368" TargetMode="External"/><Relationship Id="rId3600" Type="http://schemas.openxmlformats.org/officeDocument/2006/relationships/hyperlink" Target="https://pbs.twimg.com/profile_images/1859124422776680450/8sI7cwpm_400x400.jpg" TargetMode="External"/><Relationship Id="rId314" Type="http://schemas.openxmlformats.org/officeDocument/2006/relationships/hyperlink" Target="https://pbs.twimg.com/profile_images/1823892996619702272/9tao8i-m_400x400.jpg" TargetMode="External"/><Relationship Id="rId521" Type="http://schemas.openxmlformats.org/officeDocument/2006/relationships/hyperlink" Target="https://www.cookie.fun/agent/ali-for-fx-protocol" TargetMode="External"/><Relationship Id="rId1151" Type="http://schemas.openxmlformats.org/officeDocument/2006/relationships/hyperlink" Target="https://pbs.twimg.com/profile_images/1646228012952584207/9Z0eyfX-_400x400.jpg" TargetMode="External"/><Relationship Id="rId2202" Type="http://schemas.openxmlformats.org/officeDocument/2006/relationships/hyperlink" Target="http://noscam.ai/" TargetMode="External"/><Relationship Id="rId1011" Type="http://schemas.openxmlformats.org/officeDocument/2006/relationships/hyperlink" Target="https://www.cookie.fun/chains/solana.svg" TargetMode="External"/><Relationship Id="rId1968" Type="http://schemas.openxmlformats.org/officeDocument/2006/relationships/hyperlink" Target="https://www.cookie.fun/chains/base.svg" TargetMode="External"/><Relationship Id="rId4167" Type="http://schemas.openxmlformats.org/officeDocument/2006/relationships/hyperlink" Target="https://www.cookie.fun/chains/solana.svg" TargetMode="External"/><Relationship Id="rId3183" Type="http://schemas.openxmlformats.org/officeDocument/2006/relationships/hyperlink" Target="https://x.com/MookieNFT/status/1878535773211046090" TargetMode="External"/><Relationship Id="rId3390" Type="http://schemas.openxmlformats.org/officeDocument/2006/relationships/hyperlink" Target="https://pbs.twimg.com/profile_images/1859624800030773248/qxhEDwLW_normal.png" TargetMode="External"/><Relationship Id="rId4027" Type="http://schemas.openxmlformats.org/officeDocument/2006/relationships/hyperlink" Target="https://pbs.twimg.com/profile_images/1866163885310406656/1VumDxP2_400x400.jpg" TargetMode="External"/><Relationship Id="rId1828" Type="http://schemas.openxmlformats.org/officeDocument/2006/relationships/hyperlink" Target="https://www.cookie.fun/agent/jenny-ai" TargetMode="External"/><Relationship Id="rId3043" Type="http://schemas.openxmlformats.org/officeDocument/2006/relationships/hyperlink" Target="https://x.com/CoinbaseAssets/status/1878873511369847218" TargetMode="External"/><Relationship Id="rId3250" Type="http://schemas.openxmlformats.org/officeDocument/2006/relationships/hyperlink" Target="https://x.com/basilda_a/status/1877768898214601102" TargetMode="External"/><Relationship Id="rId171" Type="http://schemas.openxmlformats.org/officeDocument/2006/relationships/hyperlink" Target="https://www.cookie.fun/agent/puppet-master" TargetMode="External"/><Relationship Id="rId3110" Type="http://schemas.openxmlformats.org/officeDocument/2006/relationships/hyperlink" Target="https://www.cookie.fun/agent/mizuki" TargetMode="External"/><Relationship Id="rId988" Type="http://schemas.openxmlformats.org/officeDocument/2006/relationships/hyperlink" Target="https://www.cookie.fun/agent/capo" TargetMode="External"/><Relationship Id="rId2669" Type="http://schemas.openxmlformats.org/officeDocument/2006/relationships/hyperlink" Target="https://www.cookie.fun/chains/solana.svg" TargetMode="External"/><Relationship Id="rId2876" Type="http://schemas.openxmlformats.org/officeDocument/2006/relationships/hyperlink" Target="https://x.com/jkrdoc/status/1878749089288106407" TargetMode="External"/><Relationship Id="rId3927" Type="http://schemas.openxmlformats.org/officeDocument/2006/relationships/hyperlink" Target="https://x.com/Block100x/status/1878991874985484713" TargetMode="External"/><Relationship Id="rId848" Type="http://schemas.openxmlformats.org/officeDocument/2006/relationships/hyperlink" Target="https://pbs.twimg.com/profile_images/1866164376807280640/ztGReWko_400x400.jpg" TargetMode="External"/><Relationship Id="rId1478" Type="http://schemas.openxmlformats.org/officeDocument/2006/relationships/hyperlink" Target="https://pbs.twimg.com/profile_images/1858654328355188736/SnhANVa5_400x400.jpg" TargetMode="External"/><Relationship Id="rId1685" Type="http://schemas.openxmlformats.org/officeDocument/2006/relationships/hyperlink" Target="https://pbs.twimg.com/profile_images/1859121625666338816/g4M4eTeu_400x400.jpg" TargetMode="External"/><Relationship Id="rId1892" Type="http://schemas.openxmlformats.org/officeDocument/2006/relationships/hyperlink" Target="https://pbs.twimg.com/profile_images/1875850869071376385/qsHj6zxl_400x400.jpg" TargetMode="External"/><Relationship Id="rId2529" Type="http://schemas.openxmlformats.org/officeDocument/2006/relationships/hyperlink" Target="https://pbs.twimg.com/profile_images/1869796810660728832/kVg5fFiQ_normal.jpg" TargetMode="External"/><Relationship Id="rId2736" Type="http://schemas.openxmlformats.org/officeDocument/2006/relationships/hyperlink" Target="https://x.com/avocado_toast2/status/1878143988781462012" TargetMode="External"/><Relationship Id="rId4091" Type="http://schemas.openxmlformats.org/officeDocument/2006/relationships/hyperlink" Target="https://www.cookie.fun/agent/d00d" TargetMode="External"/><Relationship Id="rId708" Type="http://schemas.openxmlformats.org/officeDocument/2006/relationships/hyperlink" Target="https://www.cookie.fun/chains/solana.svg" TargetMode="External"/><Relationship Id="rId915" Type="http://schemas.openxmlformats.org/officeDocument/2006/relationships/hyperlink" Target="https://www.cookie.fun/chains/base.svg" TargetMode="External"/><Relationship Id="rId1338" Type="http://schemas.openxmlformats.org/officeDocument/2006/relationships/hyperlink" Target="https://www.cookie.fun/chains/solana.svg" TargetMode="External"/><Relationship Id="rId1545" Type="http://schemas.openxmlformats.org/officeDocument/2006/relationships/hyperlink" Target="https://www.cookie.fun/chains/solana.svg" TargetMode="External"/><Relationship Id="rId2943" Type="http://schemas.openxmlformats.org/officeDocument/2006/relationships/hyperlink" Target="https://www.cookie.fun/agent/acolyte" TargetMode="External"/><Relationship Id="rId1405" Type="http://schemas.openxmlformats.org/officeDocument/2006/relationships/hyperlink" Target="https://www.cookie.fun/agent/gnome" TargetMode="External"/><Relationship Id="rId1752" Type="http://schemas.openxmlformats.org/officeDocument/2006/relationships/hyperlink" Target="https://www.cookie.fun/chains/base.svg" TargetMode="External"/><Relationship Id="rId2803" Type="http://schemas.openxmlformats.org/officeDocument/2006/relationships/hyperlink" Target="https://x.com/SuperRareBot/status/1878201594505806124" TargetMode="External"/><Relationship Id="rId44" Type="http://schemas.openxmlformats.org/officeDocument/2006/relationships/hyperlink" Target="https://www.cookie.fun/agent/aicz" TargetMode="External"/><Relationship Id="rId1612" Type="http://schemas.openxmlformats.org/officeDocument/2006/relationships/hyperlink" Target="https://www.cookie.fun/agent/zero2" TargetMode="External"/><Relationship Id="rId498" Type="http://schemas.openxmlformats.org/officeDocument/2006/relationships/hyperlink" Target="https://pbs.twimg.com/profile_images/1856871278524710912/_M1cgT4m_400x400.jpg" TargetMode="External"/><Relationship Id="rId2179" Type="http://schemas.openxmlformats.org/officeDocument/2006/relationships/hyperlink" Target="https://pbs.twimg.com/profile_images/1877817311257571328/x8ExqPSF_400x400.png" TargetMode="External"/><Relationship Id="rId3577" Type="http://schemas.openxmlformats.org/officeDocument/2006/relationships/hyperlink" Target="https://pbs.twimg.com/profile_images/1857974364852891648/Hupg0yzK_normal.jpg" TargetMode="External"/><Relationship Id="rId3784" Type="http://schemas.openxmlformats.org/officeDocument/2006/relationships/hyperlink" Target="https://x.com/dwr/status/1879227013674021208" TargetMode="External"/><Relationship Id="rId3991" Type="http://schemas.openxmlformats.org/officeDocument/2006/relationships/hyperlink" Target="https://x.com/halusolana/status/1878935012432826858" TargetMode="External"/><Relationship Id="rId2386" Type="http://schemas.openxmlformats.org/officeDocument/2006/relationships/hyperlink" Target="https://x.com/LevisNFT/status/1878477533852619229" TargetMode="External"/><Relationship Id="rId2593" Type="http://schemas.openxmlformats.org/officeDocument/2006/relationships/hyperlink" Target="https://pbs.twimg.com/profile_images/1871330840774426625/pjvENjuB_normal.jpg" TargetMode="External"/><Relationship Id="rId3437" Type="http://schemas.openxmlformats.org/officeDocument/2006/relationships/hyperlink" Target="https://pbs.twimg.com/profile_images/1818670359903617024/LO_CXF5C_normal.jpg" TargetMode="External"/><Relationship Id="rId3644" Type="http://schemas.openxmlformats.org/officeDocument/2006/relationships/hyperlink" Target="https://x.com/official_verge_/status/1878905328118665538" TargetMode="External"/><Relationship Id="rId3851" Type="http://schemas.openxmlformats.org/officeDocument/2006/relationships/hyperlink" Target="https://pbs.twimg.com/profile_images/1624131627054923776/LBkY1wv9_normal.jpg" TargetMode="External"/><Relationship Id="rId358" Type="http://schemas.openxmlformats.org/officeDocument/2006/relationships/hyperlink" Target="https://www.cookie.fun/agent/mutant" TargetMode="External"/><Relationship Id="rId565" Type="http://schemas.openxmlformats.org/officeDocument/2006/relationships/hyperlink" Target="https://www.cookie.fun/chains/base.svg" TargetMode="External"/><Relationship Id="rId772" Type="http://schemas.openxmlformats.org/officeDocument/2006/relationships/hyperlink" Target="https://www.cookie.fun/agent/woodland-critters" TargetMode="External"/><Relationship Id="rId1195" Type="http://schemas.openxmlformats.org/officeDocument/2006/relationships/hyperlink" Target="https://www.cookie.fun/agent/the-queen" TargetMode="External"/><Relationship Id="rId2039" Type="http://schemas.openxmlformats.org/officeDocument/2006/relationships/hyperlink" Target="https://pbs.twimg.com/profile_images/1859703870060101633/xVfvsOOq_400x400.jpg" TargetMode="External"/><Relationship Id="rId2246" Type="http://schemas.openxmlformats.org/officeDocument/2006/relationships/hyperlink" Target="https://www.cookie.fun/chains/solana.svg" TargetMode="External"/><Relationship Id="rId2453" Type="http://schemas.openxmlformats.org/officeDocument/2006/relationships/hyperlink" Target="https://www.cookie.fun/chains/base.svg" TargetMode="External"/><Relationship Id="rId2660" Type="http://schemas.openxmlformats.org/officeDocument/2006/relationships/hyperlink" Target="https://x.com/gem_insider/status/1878932048355946662" TargetMode="External"/><Relationship Id="rId3504" Type="http://schemas.openxmlformats.org/officeDocument/2006/relationships/hyperlink" Target="https://pbs.twimg.com/profile_images/1760942755545800704/wFBpdSgp_normal.jpg" TargetMode="External"/><Relationship Id="rId3711" Type="http://schemas.openxmlformats.org/officeDocument/2006/relationships/hyperlink" Target="https://pbs.twimg.com/profile_images/1838913974504771584/Wzg_Ec0R_normal.jpg" TargetMode="External"/><Relationship Id="rId218" Type="http://schemas.openxmlformats.org/officeDocument/2006/relationships/hyperlink" Target="https://www.cookie.fun/chains/solana.svg" TargetMode="External"/><Relationship Id="rId425" Type="http://schemas.openxmlformats.org/officeDocument/2006/relationships/hyperlink" Target="https://pbs.twimg.com/profile_images/1862578623896518656/kZBIom7e_400x400.jpg" TargetMode="External"/><Relationship Id="rId632" Type="http://schemas.openxmlformats.org/officeDocument/2006/relationships/hyperlink" Target="https://pbs.twimg.com/profile_images/1863787040321769473/0r8WpiLb_400x400.jpg" TargetMode="External"/><Relationship Id="rId1055" Type="http://schemas.openxmlformats.org/officeDocument/2006/relationships/hyperlink" Target="https://pbs.twimg.com/profile_images/1869624584288555008/E_oQsky4_400x400.jpg" TargetMode="External"/><Relationship Id="rId1262" Type="http://schemas.openxmlformats.org/officeDocument/2006/relationships/hyperlink" Target="https://pbs.twimg.com/profile_images/1799953187450884096/gQrX73u9_400x400.jpg" TargetMode="External"/><Relationship Id="rId2106" Type="http://schemas.openxmlformats.org/officeDocument/2006/relationships/hyperlink" Target="https://pbs.twimg.com/profile_images/1871375467074449409/FaV84rIC_400x400.jpg" TargetMode="External"/><Relationship Id="rId2313" Type="http://schemas.openxmlformats.org/officeDocument/2006/relationships/hyperlink" Target="https://pbs.twimg.com/profile_images/1452754543217831938/T2O-66Yy_normal.jpg" TargetMode="External"/><Relationship Id="rId2520" Type="http://schemas.openxmlformats.org/officeDocument/2006/relationships/hyperlink" Target="https://x.com/CryptoKaduna/status/1878901326635270206" TargetMode="External"/><Relationship Id="rId1122" Type="http://schemas.openxmlformats.org/officeDocument/2006/relationships/hyperlink" Target="https://www.cookie.fun/chains/solana.svg" TargetMode="External"/><Relationship Id="rId3087" Type="http://schemas.openxmlformats.org/officeDocument/2006/relationships/hyperlink" Target="https://pbs.twimg.com/profile_images/1877855839840833536/vCy9HOn__normal.png" TargetMode="External"/><Relationship Id="rId3294" Type="http://schemas.openxmlformats.org/officeDocument/2006/relationships/hyperlink" Target="https://pbs.twimg.com/profile_images/1775649841562980353/2E0MAPqa_normal.jpg" TargetMode="External"/><Relationship Id="rId4138" Type="http://schemas.openxmlformats.org/officeDocument/2006/relationships/hyperlink" Target="https://www.cookie.fun/chains/solana.svg" TargetMode="External"/><Relationship Id="rId1939" Type="http://schemas.openxmlformats.org/officeDocument/2006/relationships/hyperlink" Target="https://x.com/camolNFT/status/1878836680578490540" TargetMode="External"/><Relationship Id="rId3154" Type="http://schemas.openxmlformats.org/officeDocument/2006/relationships/hyperlink" Target="https://pbs.twimg.com/profile_images/1815592146910466048/qQzzHE0R_normal.jpg" TargetMode="External"/><Relationship Id="rId3361" Type="http://schemas.openxmlformats.org/officeDocument/2006/relationships/hyperlink" Target="https://pbs.twimg.com/profile_images/1536483903774531586/KHNPU1AN_normal.jpg" TargetMode="External"/><Relationship Id="rId282" Type="http://schemas.openxmlformats.org/officeDocument/2006/relationships/hyperlink" Target="https://www.cookie.fun/chains/solana.svg" TargetMode="External"/><Relationship Id="rId2170" Type="http://schemas.openxmlformats.org/officeDocument/2006/relationships/hyperlink" Target="https://www.cookie.fun/agent/jinai" TargetMode="External"/><Relationship Id="rId3014" Type="http://schemas.openxmlformats.org/officeDocument/2006/relationships/hyperlink" Target="https://www.cookie.fun/chains/solana.svg" TargetMode="External"/><Relationship Id="rId3221" Type="http://schemas.openxmlformats.org/officeDocument/2006/relationships/hyperlink" Target="https://x.com/TheCryptoKazi/status/1877045781368111292" TargetMode="External"/><Relationship Id="rId8" Type="http://schemas.openxmlformats.org/officeDocument/2006/relationships/hyperlink" Target="https://pbs.twimg.com/profile_images/1863155460410388480/rQQWkBWT_400x400.jpg" TargetMode="External"/><Relationship Id="rId142" Type="http://schemas.openxmlformats.org/officeDocument/2006/relationships/hyperlink" Target="https://pbs.twimg.com/profile_images/1859909269002596352/FOlE7Vza_400x400.jpg" TargetMode="External"/><Relationship Id="rId2030" Type="http://schemas.openxmlformats.org/officeDocument/2006/relationships/hyperlink" Target="https://www.cookie.fun/chains/solana.svg" TargetMode="External"/><Relationship Id="rId2987" Type="http://schemas.openxmlformats.org/officeDocument/2006/relationships/hyperlink" Target="https://x.com/mrpunkdoteth/status/1878518891942731846" TargetMode="External"/><Relationship Id="rId959" Type="http://schemas.openxmlformats.org/officeDocument/2006/relationships/hyperlink" Target="https://pbs.twimg.com/profile_images/1862960964171190272/VVf8dJSU_400x400.jpg" TargetMode="External"/><Relationship Id="rId1589" Type="http://schemas.openxmlformats.org/officeDocument/2006/relationships/hyperlink" Target="https://pbs.twimg.com/profile_images/1847501135810052096/N_8oIKg6_400x400.jpg" TargetMode="External"/><Relationship Id="rId1449" Type="http://schemas.openxmlformats.org/officeDocument/2006/relationships/hyperlink" Target="https://www.cookie.fun/chains/solana.svg" TargetMode="External"/><Relationship Id="rId1796" Type="http://schemas.openxmlformats.org/officeDocument/2006/relationships/hyperlink" Target="https://pbs.twimg.com/profile_images/1873756106188554240/mz1x8UVQ_400x400.jpg" TargetMode="External"/><Relationship Id="rId2847" Type="http://schemas.openxmlformats.org/officeDocument/2006/relationships/hyperlink" Target="https://www.cookie.fun/chains/base.svg" TargetMode="External"/><Relationship Id="rId4062" Type="http://schemas.openxmlformats.org/officeDocument/2006/relationships/hyperlink" Target="https://www.cookie.fun/agent/hyperstition" TargetMode="External"/><Relationship Id="rId88" Type="http://schemas.openxmlformats.org/officeDocument/2006/relationships/hyperlink" Target="https://pbs.twimg.com/profile_images/1443216875874394124/oduXY60G_normal.jpg" TargetMode="External"/><Relationship Id="rId819" Type="http://schemas.openxmlformats.org/officeDocument/2006/relationships/hyperlink" Target="https://www.cookie.fun/chains/base.svg" TargetMode="External"/><Relationship Id="rId1656" Type="http://schemas.openxmlformats.org/officeDocument/2006/relationships/hyperlink" Target="https://www.cookie.fun/chains/solana.svg" TargetMode="External"/><Relationship Id="rId1863" Type="http://schemas.openxmlformats.org/officeDocument/2006/relationships/hyperlink" Target="https://www.cookie.fun/chains/base.svg" TargetMode="External"/><Relationship Id="rId2707" Type="http://schemas.openxmlformats.org/officeDocument/2006/relationships/hyperlink" Target="https://pbs.twimg.com/profile_images/1352548197835681793/P8tRO3U2_normal.jpg" TargetMode="External"/><Relationship Id="rId2914" Type="http://schemas.openxmlformats.org/officeDocument/2006/relationships/hyperlink" Target="https://pbs.twimg.com/profile_images/1809986552753512448/75hA8G2n_normal.jpg" TargetMode="External"/><Relationship Id="rId1309" Type="http://schemas.openxmlformats.org/officeDocument/2006/relationships/hyperlink" Target="https://www.cookie.fun/agent/bronty" TargetMode="External"/><Relationship Id="rId1516" Type="http://schemas.openxmlformats.org/officeDocument/2006/relationships/hyperlink" Target="https://www.cookie.fun/agent/epstain" TargetMode="External"/><Relationship Id="rId1723" Type="http://schemas.openxmlformats.org/officeDocument/2006/relationships/hyperlink" Target="https://www.cookie.fun/agent/uncle" TargetMode="External"/><Relationship Id="rId1930" Type="http://schemas.openxmlformats.org/officeDocument/2006/relationships/hyperlink" Target="https://www.cookie.fun/agent/brantly" TargetMode="External"/><Relationship Id="rId15" Type="http://schemas.openxmlformats.org/officeDocument/2006/relationships/hyperlink" Target="https://www.cookie.fun/chains/solana.svg" TargetMode="External"/><Relationship Id="rId3688" Type="http://schemas.openxmlformats.org/officeDocument/2006/relationships/hyperlink" Target="https://x.com/Teeznutz11/status/1877619066279514484" TargetMode="External"/><Relationship Id="rId3895" Type="http://schemas.openxmlformats.org/officeDocument/2006/relationships/hyperlink" Target="https://pbs.twimg.com/profile_images/1770036400290766848/nMbXqIk1_400x400.jpg" TargetMode="External"/><Relationship Id="rId2497" Type="http://schemas.openxmlformats.org/officeDocument/2006/relationships/hyperlink" Target="https://pbs.twimg.com/profile_images/1422538477900423170/tRsq0F8Y_normal.png" TargetMode="External"/><Relationship Id="rId3548" Type="http://schemas.openxmlformats.org/officeDocument/2006/relationships/hyperlink" Target="https://www.cookie.fun/chains/ethereum.svg" TargetMode="External"/><Relationship Id="rId3755" Type="http://schemas.openxmlformats.org/officeDocument/2006/relationships/hyperlink" Target="https://www.cookie.fun/agent/pls" TargetMode="External"/><Relationship Id="rId469" Type="http://schemas.openxmlformats.org/officeDocument/2006/relationships/hyperlink" Target="https://www.cookie.fun/chains/solana.svg" TargetMode="External"/><Relationship Id="rId676" Type="http://schemas.openxmlformats.org/officeDocument/2006/relationships/hyperlink" Target="https://www.cookie.fun/agent/eminem" TargetMode="External"/><Relationship Id="rId883" Type="http://schemas.openxmlformats.org/officeDocument/2006/relationships/hyperlink" Target="https://www.cookie.fun/agent/don-trump" TargetMode="External"/><Relationship Id="rId1099" Type="http://schemas.openxmlformats.org/officeDocument/2006/relationships/hyperlink" Target="https://www.cookie.fun/agent/marioai" TargetMode="External"/><Relationship Id="rId2357" Type="http://schemas.openxmlformats.org/officeDocument/2006/relationships/hyperlink" Target="https://www.cookie.fun/chains/solana.svg" TargetMode="External"/><Relationship Id="rId2564" Type="http://schemas.openxmlformats.org/officeDocument/2006/relationships/hyperlink" Target="https://x.com/TheEliteCrypto/status/1877615762224926984" TargetMode="External"/><Relationship Id="rId3408" Type="http://schemas.openxmlformats.org/officeDocument/2006/relationships/hyperlink" Target="https://www.cookie.fun/agent/digimon" TargetMode="External"/><Relationship Id="rId3615" Type="http://schemas.openxmlformats.org/officeDocument/2006/relationships/hyperlink" Target="https://www.cookie.fun/agent/reality-spiral" TargetMode="External"/><Relationship Id="rId3962" Type="http://schemas.openxmlformats.org/officeDocument/2006/relationships/hyperlink" Target="https://pbs.twimg.com/profile_images/1785526747884314624/d6v3VcN7_normal.jpg" TargetMode="External"/><Relationship Id="rId329" Type="http://schemas.openxmlformats.org/officeDocument/2006/relationships/hyperlink" Target="https://pbs.twimg.com/profile_images/1858299408380477440/ap96udSu_400x400.jpg" TargetMode="External"/><Relationship Id="rId536" Type="http://schemas.openxmlformats.org/officeDocument/2006/relationships/hyperlink" Target="https://www.cookie.fun/agent/fairbid-ai" TargetMode="External"/><Relationship Id="rId1166" Type="http://schemas.openxmlformats.org/officeDocument/2006/relationships/hyperlink" Target="https://pbs.twimg.com/profile_images/1864775397780389888/ootiXmgu_400x400.jpg" TargetMode="External"/><Relationship Id="rId1373" Type="http://schemas.openxmlformats.org/officeDocument/2006/relationships/hyperlink" Target="https://pbs.twimg.com/profile_images/1856724176356159488/VRzx9qNj_400x400.jpg" TargetMode="External"/><Relationship Id="rId2217" Type="http://schemas.openxmlformats.org/officeDocument/2006/relationships/hyperlink" Target="https://pbs.twimg.com/profile_images/1828017366233481216/5FobxNpm_400x400.jpg" TargetMode="External"/><Relationship Id="rId2771" Type="http://schemas.openxmlformats.org/officeDocument/2006/relationships/hyperlink" Target="https://pbs.twimg.com/profile_images/1831292852024045568/yH2FvLwm_normal.jpg" TargetMode="External"/><Relationship Id="rId3822" Type="http://schemas.openxmlformats.org/officeDocument/2006/relationships/hyperlink" Target="https://www.cookie.fun/agent/tardi" TargetMode="External"/><Relationship Id="rId743" Type="http://schemas.openxmlformats.org/officeDocument/2006/relationships/hyperlink" Target="https://pbs.twimg.com/profile_images/1863402731425222656/EM3zkMyg_400x400.jpg" TargetMode="External"/><Relationship Id="rId950" Type="http://schemas.openxmlformats.org/officeDocument/2006/relationships/hyperlink" Target="https://pbs.twimg.com/profile_images/1873051749222649856/ljK3Mon5_400x400.jpg" TargetMode="External"/><Relationship Id="rId1026" Type="http://schemas.openxmlformats.org/officeDocument/2006/relationships/hyperlink" Target="https://www.cookie.fun/chains/solana.svg" TargetMode="External"/><Relationship Id="rId1580" Type="http://schemas.openxmlformats.org/officeDocument/2006/relationships/hyperlink" Target="https://pbs.twimg.com/profile_images/1858384176262619136/PkTe6Ghl_400x400.jpg" TargetMode="External"/><Relationship Id="rId2424" Type="http://schemas.openxmlformats.org/officeDocument/2006/relationships/hyperlink" Target="https://x.com/kceeonyekachi1/status/1877486107618574524" TargetMode="External"/><Relationship Id="rId2631" Type="http://schemas.openxmlformats.org/officeDocument/2006/relationships/hyperlink" Target="https://www.cookie.fun/agent/kween" TargetMode="External"/><Relationship Id="rId603" Type="http://schemas.openxmlformats.org/officeDocument/2006/relationships/hyperlink" Target="https://pbs.twimg.com/profile_images/1865006172522020864/0fGTxC1t_400x400.jpg" TargetMode="External"/><Relationship Id="rId810" Type="http://schemas.openxmlformats.org/officeDocument/2006/relationships/hyperlink" Target="https://www.cookie.fun/chains/solana.svg" TargetMode="External"/><Relationship Id="rId1233" Type="http://schemas.openxmlformats.org/officeDocument/2006/relationships/hyperlink" Target="https://www.cookie.fun/chains/solana.svg" TargetMode="External"/><Relationship Id="rId1440" Type="http://schemas.openxmlformats.org/officeDocument/2006/relationships/hyperlink" Target="https://www.cookie.fun/chains/solana.svg" TargetMode="External"/><Relationship Id="rId1300" Type="http://schemas.openxmlformats.org/officeDocument/2006/relationships/hyperlink" Target="https://www.cookie.fun/agent/2g1c" TargetMode="External"/><Relationship Id="rId3198" Type="http://schemas.openxmlformats.org/officeDocument/2006/relationships/hyperlink" Target="https://pbs.twimg.com/profile_images/1862670486359928832/pHf7ZfS1_normal.jpg" TargetMode="External"/><Relationship Id="rId3058" Type="http://schemas.openxmlformats.org/officeDocument/2006/relationships/hyperlink" Target="https://pbs.twimg.com/profile_images/1760946460340695040/8GEx_4x4_normal.jpg" TargetMode="External"/><Relationship Id="rId3265" Type="http://schemas.openxmlformats.org/officeDocument/2006/relationships/hyperlink" Target="https://pbs.twimg.com/profile_images/1868347870757457920/v0lXAjW0_400x400.jpg" TargetMode="External"/><Relationship Id="rId3472" Type="http://schemas.openxmlformats.org/officeDocument/2006/relationships/hyperlink" Target="https://www.cookie.fun/chains/solana.svg" TargetMode="External"/><Relationship Id="rId4109" Type="http://schemas.openxmlformats.org/officeDocument/2006/relationships/hyperlink" Target="https://www.cookie.fun/agent/gods" TargetMode="External"/><Relationship Id="rId186" Type="http://schemas.openxmlformats.org/officeDocument/2006/relationships/hyperlink" Target="https://www.cookie.fun/agent/esc" TargetMode="External"/><Relationship Id="rId393" Type="http://schemas.openxmlformats.org/officeDocument/2006/relationships/hyperlink" Target="https://www.cookie.fun/chains/base.svg" TargetMode="External"/><Relationship Id="rId2074" Type="http://schemas.openxmlformats.org/officeDocument/2006/relationships/hyperlink" Target="https://www.cookie.fun/agent/gaishasolana-assistant" TargetMode="External"/><Relationship Id="rId2281" Type="http://schemas.openxmlformats.org/officeDocument/2006/relationships/hyperlink" Target="https://pbs.twimg.com/profile_images/1766155710432526336/cXUlVP1F_normal.jpg" TargetMode="External"/><Relationship Id="rId3125" Type="http://schemas.openxmlformats.org/officeDocument/2006/relationships/hyperlink" Target="https://x.com/RealJonahBlake/status/1877856053146099823" TargetMode="External"/><Relationship Id="rId3332" Type="http://schemas.openxmlformats.org/officeDocument/2006/relationships/hyperlink" Target="https://pbs.twimg.com/profile_images/1423875044598456321/SVjwd6Bb_normal.jpg" TargetMode="External"/><Relationship Id="rId253" Type="http://schemas.openxmlformats.org/officeDocument/2006/relationships/hyperlink" Target="https://www.cookie.fun/agent/dream-machine" TargetMode="External"/><Relationship Id="rId460" Type="http://schemas.openxmlformats.org/officeDocument/2006/relationships/hyperlink" Target="https://www.cookie.fun/chains/base.svg" TargetMode="External"/><Relationship Id="rId1090" Type="http://schemas.openxmlformats.org/officeDocument/2006/relationships/hyperlink" Target="https://www.cookie.fun/agent/porkystein" TargetMode="External"/><Relationship Id="rId2141" Type="http://schemas.openxmlformats.org/officeDocument/2006/relationships/hyperlink" Target="https://www.cookie.fun/agent/hardtoget-fun" TargetMode="External"/><Relationship Id="rId113" Type="http://schemas.openxmlformats.org/officeDocument/2006/relationships/hyperlink" Target="https://www.cookie.fun/agent/rokos-matrix" TargetMode="External"/><Relationship Id="rId320" Type="http://schemas.openxmlformats.org/officeDocument/2006/relationships/hyperlink" Target="https://pbs.twimg.com/profile_images/1835408482880598016/Tq17j5EN_400x400.jpg" TargetMode="External"/><Relationship Id="rId2001" Type="http://schemas.openxmlformats.org/officeDocument/2006/relationships/hyperlink" Target="https://www.cookie.fun/chains/solana.svg" TargetMode="External"/><Relationship Id="rId2958" Type="http://schemas.openxmlformats.org/officeDocument/2006/relationships/hyperlink" Target="https://x.com/AltCryptoGems/status/1878831874040385568" TargetMode="External"/><Relationship Id="rId1767" Type="http://schemas.openxmlformats.org/officeDocument/2006/relationships/hyperlink" Target="https://www.cookie.fun/chains/base.svg" TargetMode="External"/><Relationship Id="rId1974" Type="http://schemas.openxmlformats.org/officeDocument/2006/relationships/hyperlink" Target="https://www.cookie.fun/chains/solana.svg" TargetMode="External"/><Relationship Id="rId2818" Type="http://schemas.openxmlformats.org/officeDocument/2006/relationships/hyperlink" Target="https://pbs.twimg.com/profile_images/1834157145299763200/Fh1b6K9r_normal.jpg" TargetMode="External"/><Relationship Id="rId4173" Type="http://schemas.openxmlformats.org/officeDocument/2006/relationships/hyperlink" Target="https://www.cookie.fun/chains/solana.svg" TargetMode="External"/><Relationship Id="rId59" Type="http://schemas.openxmlformats.org/officeDocument/2006/relationships/hyperlink" Target="https://pbs.twimg.com/profile_images/1869157567504830464/03gPfYhA_400x400.jpg" TargetMode="External"/><Relationship Id="rId1627" Type="http://schemas.openxmlformats.org/officeDocument/2006/relationships/hyperlink" Target="https://www.cookie.fun/agent/haliey" TargetMode="External"/><Relationship Id="rId1834" Type="http://schemas.openxmlformats.org/officeDocument/2006/relationships/hyperlink" Target="https://www.cookie.fun/agent/cora" TargetMode="External"/><Relationship Id="rId4033" Type="http://schemas.openxmlformats.org/officeDocument/2006/relationships/hyperlink" Target="https://pbs.twimg.com/profile_images/1742900420178067456/qoi0yk-x_400x400.jpg" TargetMode="External"/><Relationship Id="rId3799" Type="http://schemas.openxmlformats.org/officeDocument/2006/relationships/hyperlink" Target="https://pbs.twimg.com/profile_images/1874108066469466112/MY-brhVa_normal.jpg" TargetMode="External"/><Relationship Id="rId4100" Type="http://schemas.openxmlformats.org/officeDocument/2006/relationships/hyperlink" Target="https://pbs.twimg.com/profile_images/1648452089218220034/RbS3lwh8_normal.jpg" TargetMode="External"/><Relationship Id="rId1901" Type="http://schemas.openxmlformats.org/officeDocument/2006/relationships/hyperlink" Target="https://pbs.twimg.com/profile_images/1869444127991255040/3_5yQItF_400x400.jpg" TargetMode="External"/><Relationship Id="rId3659" Type="http://schemas.openxmlformats.org/officeDocument/2006/relationships/hyperlink" Target="https://x.com/halusolana/status/1877124501982392496" TargetMode="External"/><Relationship Id="rId3866" Type="http://schemas.openxmlformats.org/officeDocument/2006/relationships/hyperlink" Target="https://x.com/_seacasa/status/1878904622322270218" TargetMode="External"/><Relationship Id="rId787" Type="http://schemas.openxmlformats.org/officeDocument/2006/relationships/hyperlink" Target="https://www.cookie.fun/agent/kol-exe" TargetMode="External"/><Relationship Id="rId994" Type="http://schemas.openxmlformats.org/officeDocument/2006/relationships/hyperlink" Target="https://www.cookie.fun/agent/becco" TargetMode="External"/><Relationship Id="rId2468" Type="http://schemas.openxmlformats.org/officeDocument/2006/relationships/hyperlink" Target="https://x.com/gem_insider/status/1878075378402767009" TargetMode="External"/><Relationship Id="rId2675" Type="http://schemas.openxmlformats.org/officeDocument/2006/relationships/hyperlink" Target="https://pbs.twimg.com/profile_images/1843332857097256960/GrKcXY8G_normal.jpg" TargetMode="External"/><Relationship Id="rId2882" Type="http://schemas.openxmlformats.org/officeDocument/2006/relationships/hyperlink" Target="https://pbs.twimg.com/profile_images/1864588990453829637/neLlNQRN_400x400.jpg" TargetMode="External"/><Relationship Id="rId3519" Type="http://schemas.openxmlformats.org/officeDocument/2006/relationships/hyperlink" Target="https://x.com/reubs_btc/status/1877789136523854323" TargetMode="External"/><Relationship Id="rId3726" Type="http://schemas.openxmlformats.org/officeDocument/2006/relationships/hyperlink" Target="https://pbs.twimg.com/profile_images/1667663760994062343/tZKyyd-O_normal.jpg" TargetMode="External"/><Relationship Id="rId3933" Type="http://schemas.openxmlformats.org/officeDocument/2006/relationships/hyperlink" Target="https://pbs.twimg.com/profile_images/1627883596861042688/Qjtf93Zv_normal.jpg" TargetMode="External"/><Relationship Id="rId647" Type="http://schemas.openxmlformats.org/officeDocument/2006/relationships/hyperlink" Target="https://pbs.twimg.com/profile_images/1852747924910080000/kUPvnukR_400x400.jpg" TargetMode="External"/><Relationship Id="rId854" Type="http://schemas.openxmlformats.org/officeDocument/2006/relationships/hyperlink" Target="https://pbs.twimg.com/profile_images/1856657553414930432/yZ61f2_Y_400x400.jpg" TargetMode="External"/><Relationship Id="rId1277" Type="http://schemas.openxmlformats.org/officeDocument/2006/relationships/hyperlink" Target="https://pbs.twimg.com/profile_images/1861997228329467904/q5rSKdLv_400x400.jpg" TargetMode="External"/><Relationship Id="rId1484" Type="http://schemas.openxmlformats.org/officeDocument/2006/relationships/hyperlink" Target="https://pbs.twimg.com/profile_images/1858658870505467904/pnCY_sr7_400x400.jpg" TargetMode="External"/><Relationship Id="rId1691" Type="http://schemas.openxmlformats.org/officeDocument/2006/relationships/hyperlink" Target="https://pbs.twimg.com/profile_images/1857835786718134273/tjFLewbV_400x400.jpg" TargetMode="External"/><Relationship Id="rId2328" Type="http://schemas.openxmlformats.org/officeDocument/2006/relationships/hyperlink" Target="https://x.com/osf_rekt/status/1878763886901637232" TargetMode="External"/><Relationship Id="rId2535" Type="http://schemas.openxmlformats.org/officeDocument/2006/relationships/hyperlink" Target="https://www.cookie.fun/agent/clanker" TargetMode="External"/><Relationship Id="rId2742" Type="http://schemas.openxmlformats.org/officeDocument/2006/relationships/hyperlink" Target="https://x.com/BiteyeCN/status/1877249880021942569" TargetMode="External"/><Relationship Id="rId507" Type="http://schemas.openxmlformats.org/officeDocument/2006/relationships/hyperlink" Target="https://pbs.twimg.com/profile_images/1856333485608218624/3cgTlFyX_400x400.jpg" TargetMode="External"/><Relationship Id="rId714" Type="http://schemas.openxmlformats.org/officeDocument/2006/relationships/hyperlink" Target="https://www.cookie.fun/chains/solana.svg" TargetMode="External"/><Relationship Id="rId921" Type="http://schemas.openxmlformats.org/officeDocument/2006/relationships/hyperlink" Target="https://www.cookie.fun/chains/base.svg" TargetMode="External"/><Relationship Id="rId1137" Type="http://schemas.openxmlformats.org/officeDocument/2006/relationships/hyperlink" Target="https://www.cookie.fun/chains/solana.svg" TargetMode="External"/><Relationship Id="rId1344" Type="http://schemas.openxmlformats.org/officeDocument/2006/relationships/hyperlink" Target="https://www.cookie.fun/chains/solana.svg" TargetMode="External"/><Relationship Id="rId1551" Type="http://schemas.openxmlformats.org/officeDocument/2006/relationships/hyperlink" Target="https://www.cookie.fun/chains/solana.svg" TargetMode="External"/><Relationship Id="rId2602" Type="http://schemas.openxmlformats.org/officeDocument/2006/relationships/hyperlink" Target="https://x.com/CryptoStreamHub/status/1877288309594140795" TargetMode="External"/><Relationship Id="rId50" Type="http://schemas.openxmlformats.org/officeDocument/2006/relationships/hyperlink" Target="https://www.cookie.fun/agent/vitai" TargetMode="External"/><Relationship Id="rId1204" Type="http://schemas.openxmlformats.org/officeDocument/2006/relationships/hyperlink" Target="https://www.cookie.fun/agent/broc" TargetMode="External"/><Relationship Id="rId1411" Type="http://schemas.openxmlformats.org/officeDocument/2006/relationships/hyperlink" Target="https://www.cookie.fun/agent/val" TargetMode="External"/><Relationship Id="rId3169" Type="http://schemas.openxmlformats.org/officeDocument/2006/relationships/hyperlink" Target="https://www.cookie.fun/agent/nova-on-mars" TargetMode="External"/><Relationship Id="rId3376" Type="http://schemas.openxmlformats.org/officeDocument/2006/relationships/hyperlink" Target="https://pbs.twimg.com/profile_images/1773418874014437378/N-AojrRc_normal.jpg" TargetMode="External"/><Relationship Id="rId3583" Type="http://schemas.openxmlformats.org/officeDocument/2006/relationships/hyperlink" Target="https://www.cookie.fun/agent/singularry" TargetMode="External"/><Relationship Id="rId297" Type="http://schemas.openxmlformats.org/officeDocument/2006/relationships/hyperlink" Target="https://www.cookie.fun/chains/ethereum.svg" TargetMode="External"/><Relationship Id="rId2185" Type="http://schemas.openxmlformats.org/officeDocument/2006/relationships/hyperlink" Target="https://pbs.twimg.com/profile_images/1870707249418502144/TRW-BDjm_400x400.jpg" TargetMode="External"/><Relationship Id="rId2392" Type="http://schemas.openxmlformats.org/officeDocument/2006/relationships/hyperlink" Target="https://pbs.twimg.com/profile_images/1876739391827156992/nPxhO4VR_400x400.jpg" TargetMode="External"/><Relationship Id="rId3029" Type="http://schemas.openxmlformats.org/officeDocument/2006/relationships/hyperlink" Target="https://x.com/ponzisaur/status/1878438102177329315" TargetMode="External"/><Relationship Id="rId3236" Type="http://schemas.openxmlformats.org/officeDocument/2006/relationships/hyperlink" Target="https://pbs.twimg.com/profile_images/1684526956266635264/xdq5pFT5_normal.jpg" TargetMode="External"/><Relationship Id="rId3790" Type="http://schemas.openxmlformats.org/officeDocument/2006/relationships/hyperlink" Target="https://www.cookie.fun/agent/cent" TargetMode="External"/><Relationship Id="rId157" Type="http://schemas.openxmlformats.org/officeDocument/2006/relationships/hyperlink" Target="https://pbs.twimg.com/profile_images/1865081273649369088/TTcphXmn_400x400.jpg" TargetMode="External"/><Relationship Id="rId364" Type="http://schemas.openxmlformats.org/officeDocument/2006/relationships/hyperlink" Target="https://www.cookie.fun/agent/ainti" TargetMode="External"/><Relationship Id="rId2045" Type="http://schemas.openxmlformats.org/officeDocument/2006/relationships/hyperlink" Target="https://www.cookie.fun/chains/solana.svg" TargetMode="External"/><Relationship Id="rId3443" Type="http://schemas.openxmlformats.org/officeDocument/2006/relationships/hyperlink" Target="https://pbs.twimg.com/profile_images/1854577887870926867/_6Iqcp_C_400x400.jpg" TargetMode="External"/><Relationship Id="rId3650" Type="http://schemas.openxmlformats.org/officeDocument/2006/relationships/hyperlink" Target="https://pbs.twimg.com/profile_images/1864780324716318723/042e0cRa_400x400.jpg" TargetMode="External"/><Relationship Id="rId571" Type="http://schemas.openxmlformats.org/officeDocument/2006/relationships/hyperlink" Target="https://www.cookie.fun/chains/base.svg" TargetMode="External"/><Relationship Id="rId2252" Type="http://schemas.openxmlformats.org/officeDocument/2006/relationships/hyperlink" Target="https://www.cookie.fun/chains/base.svg" TargetMode="External"/><Relationship Id="rId3303" Type="http://schemas.openxmlformats.org/officeDocument/2006/relationships/hyperlink" Target="https://pbs.twimg.com/profile_images/1866626786399780864/rm7xDNBH_400x400.png" TargetMode="External"/><Relationship Id="rId3510" Type="http://schemas.openxmlformats.org/officeDocument/2006/relationships/hyperlink" Target="https://pbs.twimg.com/profile_images/1846050908196478976/xPBmmzHw_normal.jpg" TargetMode="External"/><Relationship Id="rId224" Type="http://schemas.openxmlformats.org/officeDocument/2006/relationships/hyperlink" Target="https://www.cookie.fun/agent/bruh-a16gems" TargetMode="External"/><Relationship Id="rId431" Type="http://schemas.openxmlformats.org/officeDocument/2006/relationships/hyperlink" Target="https://pbs.twimg.com/profile_images/1821850955614453760/Qz5EYVuQ_normal.jpg" TargetMode="External"/><Relationship Id="rId1061" Type="http://schemas.openxmlformats.org/officeDocument/2006/relationships/hyperlink" Target="https://pbs.twimg.com/profile_images/1869182915499732992/9f_1K1u-_400x400.jpg" TargetMode="External"/><Relationship Id="rId2112" Type="http://schemas.openxmlformats.org/officeDocument/2006/relationships/hyperlink" Target="https://www.cookie.fun/agent/nizo" TargetMode="External"/><Relationship Id="rId1878" Type="http://schemas.openxmlformats.org/officeDocument/2006/relationships/hyperlink" Target="https://www.cookie.fun/chains/base.svg" TargetMode="External"/><Relationship Id="rId2929" Type="http://schemas.openxmlformats.org/officeDocument/2006/relationships/hyperlink" Target="https://pbs.twimg.com/profile_images/1732097798424662016/XksPWfST_normal.jpg" TargetMode="External"/><Relationship Id="rId4077" Type="http://schemas.openxmlformats.org/officeDocument/2006/relationships/hyperlink" Target="https://pbs.twimg.com/profile_images/1554027145420500992/0oOUOv6L_normal.jpg" TargetMode="External"/><Relationship Id="rId1738" Type="http://schemas.openxmlformats.org/officeDocument/2006/relationships/hyperlink" Target="https://www.cookie.fun/agent/katya" TargetMode="External"/><Relationship Id="rId3093" Type="http://schemas.openxmlformats.org/officeDocument/2006/relationships/hyperlink" Target="https://x.com/gem_detecter/status/1877962394384896402" TargetMode="External"/><Relationship Id="rId4144" Type="http://schemas.openxmlformats.org/officeDocument/2006/relationships/hyperlink" Target="https://www.cookie.fun/chains/solana.svg" TargetMode="External"/><Relationship Id="rId1945" Type="http://schemas.openxmlformats.org/officeDocument/2006/relationships/hyperlink" Target="https://www.cookie.fun/agent/aixcalls" TargetMode="External"/><Relationship Id="rId3160" Type="http://schemas.openxmlformats.org/officeDocument/2006/relationships/hyperlink" Target="https://x.com/WhalesMarket/status/1877009541432291329" TargetMode="External"/><Relationship Id="rId4004" Type="http://schemas.openxmlformats.org/officeDocument/2006/relationships/hyperlink" Target="https://pbs.twimg.com/profile_images/1836206264667529216/Hnup_YWx_normal.jpg" TargetMode="External"/><Relationship Id="rId1805" Type="http://schemas.openxmlformats.org/officeDocument/2006/relationships/hyperlink" Target="https://pbs.twimg.com/profile_images/1868720269398876160/BfqKvE8n_400x400.jpg" TargetMode="External"/><Relationship Id="rId3020" Type="http://schemas.openxmlformats.org/officeDocument/2006/relationships/hyperlink" Target="https://pbs.twimg.com/profile_images/1871596575354413056/ivDFWKbb_normal.jpg" TargetMode="External"/><Relationship Id="rId3977" Type="http://schemas.openxmlformats.org/officeDocument/2006/relationships/hyperlink" Target="https://pbs.twimg.com/profile_images/1861736901503574016/hj2rCEj5_400x400.jpg" TargetMode="External"/><Relationship Id="rId898" Type="http://schemas.openxmlformats.org/officeDocument/2006/relationships/hyperlink" Target="https://www.cookie.fun/agent/h1dr4" TargetMode="External"/><Relationship Id="rId2579" Type="http://schemas.openxmlformats.org/officeDocument/2006/relationships/hyperlink" Target="https://pbs.twimg.com/profile_images/1831182575689240576/7HmOAeIK_normal.jpg" TargetMode="External"/><Relationship Id="rId2786" Type="http://schemas.openxmlformats.org/officeDocument/2006/relationships/hyperlink" Target="https://www.cookie.fun/agent/agency" TargetMode="External"/><Relationship Id="rId2993" Type="http://schemas.openxmlformats.org/officeDocument/2006/relationships/hyperlink" Target="https://x.com/liaoblove520/status/1879444313425506631" TargetMode="External"/><Relationship Id="rId3837" Type="http://schemas.openxmlformats.org/officeDocument/2006/relationships/hyperlink" Target="https://www.cookie.fun/agent/universal-operating-system" TargetMode="External"/><Relationship Id="rId758" Type="http://schemas.openxmlformats.org/officeDocument/2006/relationships/hyperlink" Target="https://pbs.twimg.com/profile_images/1872377597725696000/nLaM-vWL_400x400.jpg" TargetMode="External"/><Relationship Id="rId965" Type="http://schemas.openxmlformats.org/officeDocument/2006/relationships/hyperlink" Target="https://pbs.twimg.com/profile_images/1873045789175627777/-PBuO659_400x400.jpg" TargetMode="External"/><Relationship Id="rId1388" Type="http://schemas.openxmlformats.org/officeDocument/2006/relationships/hyperlink" Target="https://pbs.twimg.com/profile_images/1859347522927394816/ONLI4YBH_400x400.jpg" TargetMode="External"/><Relationship Id="rId1595" Type="http://schemas.openxmlformats.org/officeDocument/2006/relationships/hyperlink" Target="https://pbs.twimg.com/profile_images/1858320468920455168/O8BKnPr6_400x400.jpg" TargetMode="External"/><Relationship Id="rId2439" Type="http://schemas.openxmlformats.org/officeDocument/2006/relationships/hyperlink" Target="https://www.cookie.fun/agent/neur" TargetMode="External"/><Relationship Id="rId2646" Type="http://schemas.openxmlformats.org/officeDocument/2006/relationships/hyperlink" Target="https://x.com/veratheape/status/1878968744472707535" TargetMode="External"/><Relationship Id="rId2853" Type="http://schemas.openxmlformats.org/officeDocument/2006/relationships/hyperlink" Target="https://pbs.twimg.com/profile_images/1793152711468449792/Eep6GiEc_normal.jpg" TargetMode="External"/><Relationship Id="rId3904" Type="http://schemas.openxmlformats.org/officeDocument/2006/relationships/hyperlink" Target="https://www.cookie.fun/agent/just-juni" TargetMode="External"/><Relationship Id="rId94" Type="http://schemas.openxmlformats.org/officeDocument/2006/relationships/hyperlink" Target="https://x.com/ZoraWeb3/status/1877941380439330890" TargetMode="External"/><Relationship Id="rId618" Type="http://schemas.openxmlformats.org/officeDocument/2006/relationships/hyperlink" Target="https://www.cookie.fun/chains/solana.svg" TargetMode="External"/><Relationship Id="rId825" Type="http://schemas.openxmlformats.org/officeDocument/2006/relationships/hyperlink" Target="https://www.cookie.fun/chains/solana.svg" TargetMode="External"/><Relationship Id="rId1248" Type="http://schemas.openxmlformats.org/officeDocument/2006/relationships/hyperlink" Target="https://www.cookie.fun/chains/solana.svg" TargetMode="External"/><Relationship Id="rId1455" Type="http://schemas.openxmlformats.org/officeDocument/2006/relationships/hyperlink" Target="https://www.cookie.fun/chains/solana.svg" TargetMode="External"/><Relationship Id="rId1662" Type="http://schemas.openxmlformats.org/officeDocument/2006/relationships/hyperlink" Target="https://www.cookie.fun/chains/solana.svg" TargetMode="External"/><Relationship Id="rId2506" Type="http://schemas.openxmlformats.org/officeDocument/2006/relationships/hyperlink" Target="https://x.com/RealKatoOG/status/1877392868311990507" TargetMode="External"/><Relationship Id="rId1108" Type="http://schemas.openxmlformats.org/officeDocument/2006/relationships/hyperlink" Target="https://www.cookie.fun/agent/cmm" TargetMode="External"/><Relationship Id="rId1315" Type="http://schemas.openxmlformats.org/officeDocument/2006/relationships/hyperlink" Target="https://www.cookie.fun/agent/cobie" TargetMode="External"/><Relationship Id="rId2713" Type="http://schemas.openxmlformats.org/officeDocument/2006/relationships/hyperlink" Target="https://pbs.twimg.com/profile_images/1762381335791054848/mSMeyQDS_normal.jpg" TargetMode="External"/><Relationship Id="rId2920" Type="http://schemas.openxmlformats.org/officeDocument/2006/relationships/hyperlink" Target="https://pbs.twimg.com/profile_images/1821527383888760833/b63M3brg_400x400.jpg" TargetMode="External"/><Relationship Id="rId1522" Type="http://schemas.openxmlformats.org/officeDocument/2006/relationships/hyperlink" Target="https://www.cookie.fun/agent/meowai" TargetMode="External"/><Relationship Id="rId21" Type="http://schemas.openxmlformats.org/officeDocument/2006/relationships/hyperlink" Target="https://pbs.twimg.com/profile_images/1858964730418769920/9zfot3jm_400x400.jpg" TargetMode="External"/><Relationship Id="rId2089" Type="http://schemas.openxmlformats.org/officeDocument/2006/relationships/hyperlink" Target="https://pbs.twimg.com/profile_images/1849496703117795328/PhngEK_t_400x400.jpg" TargetMode="External"/><Relationship Id="rId3487" Type="http://schemas.openxmlformats.org/officeDocument/2006/relationships/hyperlink" Target="https://pbs.twimg.com/profile_images/1653754789241446401/whh0PdFN_normal.jpg" TargetMode="External"/><Relationship Id="rId3694" Type="http://schemas.openxmlformats.org/officeDocument/2006/relationships/hyperlink" Target="https://pbs.twimg.com/profile_images/1661206679109926914/vrJrdhSx_normal.jpg" TargetMode="External"/><Relationship Id="rId2296" Type="http://schemas.openxmlformats.org/officeDocument/2006/relationships/hyperlink" Target="https://pbs.twimg.com/profile_images/1855895551688196096/7VZQ0qhB_400x400.jpg" TargetMode="External"/><Relationship Id="rId3347" Type="http://schemas.openxmlformats.org/officeDocument/2006/relationships/hyperlink" Target="https://www.cookie.fun/chains/base.svg" TargetMode="External"/><Relationship Id="rId3554" Type="http://schemas.openxmlformats.org/officeDocument/2006/relationships/hyperlink" Target="https://pbs.twimg.com/profile_images/1855995934649540608/_9KYSE6e_400x400.jpg" TargetMode="External"/><Relationship Id="rId3761" Type="http://schemas.openxmlformats.org/officeDocument/2006/relationships/hyperlink" Target="https://pbs.twimg.com/profile_images/1864214204103962624/dRJ834sQ_400x400.jpg" TargetMode="External"/><Relationship Id="rId268" Type="http://schemas.openxmlformats.org/officeDocument/2006/relationships/hyperlink" Target="https://www.cookie.fun/agent/rosie-the-robot" TargetMode="External"/><Relationship Id="rId475" Type="http://schemas.openxmlformats.org/officeDocument/2006/relationships/hyperlink" Target="https://www.cookie.fun/chains/solana.svg" TargetMode="External"/><Relationship Id="rId682" Type="http://schemas.openxmlformats.org/officeDocument/2006/relationships/hyperlink" Target="https://www.cookie.fun/agent/kevin-ai" TargetMode="External"/><Relationship Id="rId2156" Type="http://schemas.openxmlformats.org/officeDocument/2006/relationships/hyperlink" Target="https://www.cookie.fun/agent/cryptocustodian" TargetMode="External"/><Relationship Id="rId2363" Type="http://schemas.openxmlformats.org/officeDocument/2006/relationships/hyperlink" Target="https://pbs.twimg.com/profile_images/1604796574415978496/SIffz3a6_normal.jpg" TargetMode="External"/><Relationship Id="rId2570" Type="http://schemas.openxmlformats.org/officeDocument/2006/relationships/hyperlink" Target="https://x.com/TheEliteCrypto/status/1878064495790063807" TargetMode="External"/><Relationship Id="rId3207" Type="http://schemas.openxmlformats.org/officeDocument/2006/relationships/hyperlink" Target="https://x.com/halecar2/status/1877453350830059953" TargetMode="External"/><Relationship Id="rId3414" Type="http://schemas.openxmlformats.org/officeDocument/2006/relationships/hyperlink" Target="https://pbs.twimg.com/profile_images/1875001155891478528/lo2Bj4aa_normal.jpg" TargetMode="External"/><Relationship Id="rId3621" Type="http://schemas.openxmlformats.org/officeDocument/2006/relationships/hyperlink" Target="https://x.com/AerodromeFi/status/1879287409864810763" TargetMode="External"/><Relationship Id="rId128" Type="http://schemas.openxmlformats.org/officeDocument/2006/relationships/hyperlink" Target="https://pbs.twimg.com/profile_images/1851127432222302208/60yW4YQ-_normal.jpg" TargetMode="External"/><Relationship Id="rId335" Type="http://schemas.openxmlformats.org/officeDocument/2006/relationships/hyperlink" Target="https://pbs.twimg.com/profile_images/1852279099684773888/Fs2Fnk1U_400x400.jpg" TargetMode="External"/><Relationship Id="rId542" Type="http://schemas.openxmlformats.org/officeDocument/2006/relationships/hyperlink" Target="https://www.cookie.fun/agent/cryptoninja-yui" TargetMode="External"/><Relationship Id="rId1172" Type="http://schemas.openxmlformats.org/officeDocument/2006/relationships/hyperlink" Target="https://pbs.twimg.com/profile_images/1864071689459400704/m5oQfbo2_400x400.jpg" TargetMode="External"/><Relationship Id="rId2016" Type="http://schemas.openxmlformats.org/officeDocument/2006/relationships/hyperlink" Target="https://www.cookie.fun/chains/solana.svg" TargetMode="External"/><Relationship Id="rId2223" Type="http://schemas.openxmlformats.org/officeDocument/2006/relationships/hyperlink" Target="https://pbs.twimg.com/profile_images/1871415024906018816/pMwUewDU_400x400.png" TargetMode="External"/><Relationship Id="rId2430" Type="http://schemas.openxmlformats.org/officeDocument/2006/relationships/hyperlink" Target="https://x.com/Degen__Ape__/status/1878713663353491764" TargetMode="External"/><Relationship Id="rId402" Type="http://schemas.openxmlformats.org/officeDocument/2006/relationships/hyperlink" Target="https://www.cookie.fun/chains/base.svg" TargetMode="External"/><Relationship Id="rId1032" Type="http://schemas.openxmlformats.org/officeDocument/2006/relationships/hyperlink" Target="https://www.cookie.fun/chains/solana.svg" TargetMode="External"/><Relationship Id="rId1989" Type="http://schemas.openxmlformats.org/officeDocument/2006/relationships/hyperlink" Target="https://www.cookie.fun/chains/base.svg" TargetMode="External"/><Relationship Id="rId4048" Type="http://schemas.openxmlformats.org/officeDocument/2006/relationships/hyperlink" Target="https://www.cookie.fun/agent/vainguard" TargetMode="External"/><Relationship Id="rId1849" Type="http://schemas.openxmlformats.org/officeDocument/2006/relationships/hyperlink" Target="https://www.cookie.fun/agent/proofai" TargetMode="External"/><Relationship Id="rId3064" Type="http://schemas.openxmlformats.org/officeDocument/2006/relationships/hyperlink" Target="https://x.com/sentosumosaba/status/1879359023604248975" TargetMode="External"/><Relationship Id="rId192" Type="http://schemas.openxmlformats.org/officeDocument/2006/relationships/hyperlink" Target="https://www.cookie.fun/agent/luigi" TargetMode="External"/><Relationship Id="rId1709" Type="http://schemas.openxmlformats.org/officeDocument/2006/relationships/hyperlink" Target="https://pbs.twimg.com/profile_images/1873957526837899264/vjRryoGS_400x400.jpg" TargetMode="External"/><Relationship Id="rId1916" Type="http://schemas.openxmlformats.org/officeDocument/2006/relationships/hyperlink" Target="https://pbs.twimg.com/profile_images/1876208255187267585/jfzwlgUT_400x400.jpg" TargetMode="External"/><Relationship Id="rId3271" Type="http://schemas.openxmlformats.org/officeDocument/2006/relationships/hyperlink" Target="https://pbs.twimg.com/profile_images/1876827907114303488/-4F9E9Df_normal.jpg" TargetMode="External"/><Relationship Id="rId4115" Type="http://schemas.openxmlformats.org/officeDocument/2006/relationships/hyperlink" Target="https://pbs.twimg.com/profile_images/1858694437225787393/5k-Oj-yq_400x400.jpg" TargetMode="External"/><Relationship Id="rId2080" Type="http://schemas.openxmlformats.org/officeDocument/2006/relationships/hyperlink" Target="https://www.cookie.fun/agent/bumbacat" TargetMode="External"/><Relationship Id="rId3131" Type="http://schemas.openxmlformats.org/officeDocument/2006/relationships/hyperlink" Target="https://x.com/RealJonahBlake/status/1878525403482013748" TargetMode="External"/><Relationship Id="rId2897" Type="http://schemas.openxmlformats.org/officeDocument/2006/relationships/hyperlink" Target="https://x.com/Tyler_Did_It/status/1877342520948015516" TargetMode="External"/><Relationship Id="rId3948" Type="http://schemas.openxmlformats.org/officeDocument/2006/relationships/hyperlink" Target="https://pbs.twimg.com/profile_images/1607439693964267520/4u_BxpEm_normal.jpg" TargetMode="External"/><Relationship Id="rId869" Type="http://schemas.openxmlformats.org/officeDocument/2006/relationships/hyperlink" Target="https://pbs.twimg.com/profile_images/1870211995770757120/6GiDu9Ge_400x400.jpg" TargetMode="External"/><Relationship Id="rId1499" Type="http://schemas.openxmlformats.org/officeDocument/2006/relationships/hyperlink" Target="https://pbs.twimg.com/profile_images/1857476301948391424/6J8cWa-d_400x400.png" TargetMode="External"/><Relationship Id="rId729" Type="http://schemas.openxmlformats.org/officeDocument/2006/relationships/hyperlink" Target="https://www.cookie.fun/chains/solana.svg" TargetMode="External"/><Relationship Id="rId1359" Type="http://schemas.openxmlformats.org/officeDocument/2006/relationships/hyperlink" Target="https://www.cookie.fun/chains/solana.svg" TargetMode="External"/><Relationship Id="rId2757" Type="http://schemas.openxmlformats.org/officeDocument/2006/relationships/hyperlink" Target="https://pbs.twimg.com/profile_images/1777347995467689984/4nWHCFic_normal.jpg" TargetMode="External"/><Relationship Id="rId2964" Type="http://schemas.openxmlformats.org/officeDocument/2006/relationships/hyperlink" Target="https://www.cookie.fun/agent/shoggoth" TargetMode="External"/><Relationship Id="rId3808" Type="http://schemas.openxmlformats.org/officeDocument/2006/relationships/hyperlink" Target="https://x.com/HogwartsCrypto/status/1877693617088938307" TargetMode="External"/><Relationship Id="rId936" Type="http://schemas.openxmlformats.org/officeDocument/2006/relationships/hyperlink" Target="https://www.cookie.fun/chains/base.svg" TargetMode="External"/><Relationship Id="rId1219" Type="http://schemas.openxmlformats.org/officeDocument/2006/relationships/hyperlink" Target="https://www.cookie.fun/agent/doomcoin" TargetMode="External"/><Relationship Id="rId1566" Type="http://schemas.openxmlformats.org/officeDocument/2006/relationships/hyperlink" Target="https://www.cookie.fun/chains/solana.svg" TargetMode="External"/><Relationship Id="rId1773" Type="http://schemas.openxmlformats.org/officeDocument/2006/relationships/hyperlink" Target="https://www.cookie.fun/chains/solana.svg" TargetMode="External"/><Relationship Id="rId1980" Type="http://schemas.openxmlformats.org/officeDocument/2006/relationships/hyperlink" Target="https://www.cookie.fun/chains/solana.svg" TargetMode="External"/><Relationship Id="rId2617" Type="http://schemas.openxmlformats.org/officeDocument/2006/relationships/hyperlink" Target="https://pbs.twimg.com/profile_images/1874559219052994560/uBBccsAO_normal.jpg" TargetMode="External"/><Relationship Id="rId2824" Type="http://schemas.openxmlformats.org/officeDocument/2006/relationships/hyperlink" Target="https://www.cookie.fun/chains/solana.svg" TargetMode="External"/><Relationship Id="rId65" Type="http://schemas.openxmlformats.org/officeDocument/2006/relationships/hyperlink" Target="https://pbs.twimg.com/profile_images/1862076942389854208/zr7_N6Ay_400x400.png" TargetMode="External"/><Relationship Id="rId1426" Type="http://schemas.openxmlformats.org/officeDocument/2006/relationships/hyperlink" Target="https://www.cookie.fun/agent/teslai" TargetMode="External"/><Relationship Id="rId1633" Type="http://schemas.openxmlformats.org/officeDocument/2006/relationships/hyperlink" Target="https://www.cookie.fun/agent/sbf" TargetMode="External"/><Relationship Id="rId1840" Type="http://schemas.openxmlformats.org/officeDocument/2006/relationships/hyperlink" Target="https://www.cookie.fun/agent/aidrop-agent" TargetMode="External"/><Relationship Id="rId1700" Type="http://schemas.openxmlformats.org/officeDocument/2006/relationships/hyperlink" Target="https://pbs.twimg.com/profile_images/1860159647270780928/8hW-5It3_400x400.jpg" TargetMode="External"/><Relationship Id="rId3598" Type="http://schemas.openxmlformats.org/officeDocument/2006/relationships/hyperlink" Target="https://pbs.twimg.com/profile_images/1857657965144158209/QP3z9ONe_normal.jpg" TargetMode="External"/><Relationship Id="rId3458" Type="http://schemas.openxmlformats.org/officeDocument/2006/relationships/hyperlink" Target="https://pbs.twimg.com/profile_images/1801175932314480641/8EhejS8-_normal.jpg" TargetMode="External"/><Relationship Id="rId3665" Type="http://schemas.openxmlformats.org/officeDocument/2006/relationships/hyperlink" Target="https://pbs.twimg.com/profile_images/1631379859992616960/FK9BSqd2_normal.jpg" TargetMode="External"/><Relationship Id="rId3872" Type="http://schemas.openxmlformats.org/officeDocument/2006/relationships/hyperlink" Target="https://www.cookie.fun/chains/solana.svg" TargetMode="External"/><Relationship Id="rId379" Type="http://schemas.openxmlformats.org/officeDocument/2006/relationships/hyperlink" Target="https://www.cookie.fun/agent/mirra" TargetMode="External"/><Relationship Id="rId586" Type="http://schemas.openxmlformats.org/officeDocument/2006/relationships/hyperlink" Target="https://www.cookie.fun/chains/base.svg" TargetMode="External"/><Relationship Id="rId793" Type="http://schemas.openxmlformats.org/officeDocument/2006/relationships/hyperlink" Target="https://www.cookie.fun/agent/grifterai" TargetMode="External"/><Relationship Id="rId2267" Type="http://schemas.openxmlformats.org/officeDocument/2006/relationships/hyperlink" Target="https://pbs.twimg.com/profile_images/1847355632728350720/n0mcDQKk_normal.jpg" TargetMode="External"/><Relationship Id="rId2474" Type="http://schemas.openxmlformats.org/officeDocument/2006/relationships/hyperlink" Target="https://x.com/jollygreenmoney/status/1877183094081675347" TargetMode="External"/><Relationship Id="rId2681" Type="http://schemas.openxmlformats.org/officeDocument/2006/relationships/hyperlink" Target="https://www.cookie.fun/chains/solana.svg" TargetMode="External"/><Relationship Id="rId3318" Type="http://schemas.openxmlformats.org/officeDocument/2006/relationships/hyperlink" Target="https://x.com/Tim_4444/status/1877266427196932315" TargetMode="External"/><Relationship Id="rId3525" Type="http://schemas.openxmlformats.org/officeDocument/2006/relationships/hyperlink" Target="https://www.cookie.fun/agent/ropairito" TargetMode="External"/><Relationship Id="rId239" Type="http://schemas.openxmlformats.org/officeDocument/2006/relationships/hyperlink" Target="https://www.cookie.fun/agent/janet" TargetMode="External"/><Relationship Id="rId446" Type="http://schemas.openxmlformats.org/officeDocument/2006/relationships/hyperlink" Target="https://www.cookie.fun/agent/beepy-uncensored-comedian-ai" TargetMode="External"/><Relationship Id="rId653" Type="http://schemas.openxmlformats.org/officeDocument/2006/relationships/hyperlink" Target="https://pbs.twimg.com/profile_images/1734774081961242624/SHaLzgK9_400x400.jpg" TargetMode="External"/><Relationship Id="rId1076" Type="http://schemas.openxmlformats.org/officeDocument/2006/relationships/hyperlink" Target="https://pbs.twimg.com/profile_images/1865940915862269952/s71oumtG_400x400.jpg" TargetMode="External"/><Relationship Id="rId1283" Type="http://schemas.openxmlformats.org/officeDocument/2006/relationships/hyperlink" Target="https://pbs.twimg.com/profile_images/1861558545533083648/lLYGfPCs_400x400.jpg" TargetMode="External"/><Relationship Id="rId1490" Type="http://schemas.openxmlformats.org/officeDocument/2006/relationships/hyperlink" Target="https://pbs.twimg.com/profile_images/1865071524266340375/bD1o8RtO_400x400.jpg" TargetMode="External"/><Relationship Id="rId2127" Type="http://schemas.openxmlformats.org/officeDocument/2006/relationships/hyperlink" Target="https://www.cookie.fun/agent/8-bit-oracle" TargetMode="External"/><Relationship Id="rId2334" Type="http://schemas.openxmlformats.org/officeDocument/2006/relationships/hyperlink" Target="https://x.com/DegenerateNews/status/1878132594740457915" TargetMode="External"/><Relationship Id="rId3732" Type="http://schemas.openxmlformats.org/officeDocument/2006/relationships/hyperlink" Target="https://www.cookie.fun/agent/lulu" TargetMode="External"/><Relationship Id="rId306" Type="http://schemas.openxmlformats.org/officeDocument/2006/relationships/hyperlink" Target="https://www.cookie.fun/chains/ethereum.svg" TargetMode="External"/><Relationship Id="rId860" Type="http://schemas.openxmlformats.org/officeDocument/2006/relationships/hyperlink" Target="https://pbs.twimg.com/profile_images/1869899348353470464/vrHrThSf_400x400.jpg" TargetMode="External"/><Relationship Id="rId1143" Type="http://schemas.openxmlformats.org/officeDocument/2006/relationships/hyperlink" Target="https://www.cookie.fun/chains/solana.svg" TargetMode="External"/><Relationship Id="rId2541" Type="http://schemas.openxmlformats.org/officeDocument/2006/relationships/hyperlink" Target="https://pbs.twimg.com/profile_images/1554027145420500992/0oOUOv6L_normal.jpg" TargetMode="External"/><Relationship Id="rId513" Type="http://schemas.openxmlformats.org/officeDocument/2006/relationships/hyperlink" Target="https://pbs.twimg.com/profile_images/1873849562793693184/BuVhjenW_400x400.jpg" TargetMode="External"/><Relationship Id="rId720" Type="http://schemas.openxmlformats.org/officeDocument/2006/relationships/hyperlink" Target="https://www.cookie.fun/chains/solana.svg" TargetMode="External"/><Relationship Id="rId1350" Type="http://schemas.openxmlformats.org/officeDocument/2006/relationships/hyperlink" Target="https://www.cookie.fun/chains/solana.svg" TargetMode="External"/><Relationship Id="rId2401" Type="http://schemas.openxmlformats.org/officeDocument/2006/relationships/hyperlink" Target="https://pbs.twimg.com/profile_images/1572199012790603778/GF4NXSKr_normal.jpg" TargetMode="External"/><Relationship Id="rId4159" Type="http://schemas.openxmlformats.org/officeDocument/2006/relationships/hyperlink" Target="https://www.cookie.fun/chains/base.svg" TargetMode="External"/><Relationship Id="rId1003" Type="http://schemas.openxmlformats.org/officeDocument/2006/relationships/hyperlink" Target="https://www.cookie.fun/agent/based" TargetMode="External"/><Relationship Id="rId1210" Type="http://schemas.openxmlformats.org/officeDocument/2006/relationships/hyperlink" Target="https://www.cookie.fun/agent/milai16z" TargetMode="External"/><Relationship Id="rId3175" Type="http://schemas.openxmlformats.org/officeDocument/2006/relationships/hyperlink" Target="https://pbs.twimg.com/profile_images/1752826759504965632/_BJV6z9l_normal.jpg" TargetMode="External"/><Relationship Id="rId3382" Type="http://schemas.openxmlformats.org/officeDocument/2006/relationships/hyperlink" Target="https://www.cookie.fun/chains/base.svg" TargetMode="External"/><Relationship Id="rId4019" Type="http://schemas.openxmlformats.org/officeDocument/2006/relationships/hyperlink" Target="https://pbs.twimg.com/profile_images/1868940776518139904/0QxshsAj_400x400.jpg" TargetMode="External"/><Relationship Id="rId2191" Type="http://schemas.openxmlformats.org/officeDocument/2006/relationships/hyperlink" Target="https://pbs.twimg.com/profile_images/1879374078311845888/MR9qfUFJ_400x400.jpg" TargetMode="External"/><Relationship Id="rId3035" Type="http://schemas.openxmlformats.org/officeDocument/2006/relationships/hyperlink" Target="https://x.com/MaransCrypto/status/1878003149270859830" TargetMode="External"/><Relationship Id="rId3242" Type="http://schemas.openxmlformats.org/officeDocument/2006/relationships/hyperlink" Target="https://pbs.twimg.com/profile_images/1856269985984757760/xkbnlwQ5_400x400.jpg" TargetMode="External"/><Relationship Id="rId163" Type="http://schemas.openxmlformats.org/officeDocument/2006/relationships/hyperlink" Target="https://pbs.twimg.com/profile_images/1860455945626697728/I4jpHgIM_400x400.jpg" TargetMode="External"/><Relationship Id="rId370" Type="http://schemas.openxmlformats.org/officeDocument/2006/relationships/hyperlink" Target="https://www.cookie.fun/agent/intai" TargetMode="External"/><Relationship Id="rId2051" Type="http://schemas.openxmlformats.org/officeDocument/2006/relationships/hyperlink" Target="https://www.cookie.fun/agent/vly-agent" TargetMode="External"/><Relationship Id="rId3102" Type="http://schemas.openxmlformats.org/officeDocument/2006/relationships/hyperlink" Target="https://x.com/NftPerks/status/1877252904861487222" TargetMode="External"/><Relationship Id="rId230" Type="http://schemas.openxmlformats.org/officeDocument/2006/relationships/hyperlink" Target="https://x.com/elohprojects/status/1879009539649065400" TargetMode="External"/><Relationship Id="rId2868" Type="http://schemas.openxmlformats.org/officeDocument/2006/relationships/hyperlink" Target="https://x.com/betashop/status/1878124501465985233" TargetMode="External"/><Relationship Id="rId3919" Type="http://schemas.openxmlformats.org/officeDocument/2006/relationships/hyperlink" Target="https://www.cookie.fun/chains/base.svg" TargetMode="External"/><Relationship Id="rId4083" Type="http://schemas.openxmlformats.org/officeDocument/2006/relationships/hyperlink" Target="https://www.cookie.fun/agent/kiri" TargetMode="External"/><Relationship Id="rId1677" Type="http://schemas.openxmlformats.org/officeDocument/2006/relationships/hyperlink" Target="https://www.cookie.fun/chains/solana.svg" TargetMode="External"/><Relationship Id="rId1884" Type="http://schemas.openxmlformats.org/officeDocument/2006/relationships/hyperlink" Target="https://www.cookie.fun/chains/base.svg" TargetMode="External"/><Relationship Id="rId2728" Type="http://schemas.openxmlformats.org/officeDocument/2006/relationships/hyperlink" Target="https://pbs.twimg.com/profile_images/1850630946757955584/KguKyWIV_400x400.jpg" TargetMode="External"/><Relationship Id="rId2935" Type="http://schemas.openxmlformats.org/officeDocument/2006/relationships/hyperlink" Target="https://pbs.twimg.com/profile_images/1807955712611655680/VoSxLh_d_normal.jpg" TargetMode="External"/><Relationship Id="rId907" Type="http://schemas.openxmlformats.org/officeDocument/2006/relationships/hyperlink" Target="https://www.cookie.fun/agent/na-by-virtuals" TargetMode="External"/><Relationship Id="rId1537" Type="http://schemas.openxmlformats.org/officeDocument/2006/relationships/hyperlink" Target="https://www.cookie.fun/agent/zeldai" TargetMode="External"/><Relationship Id="rId1744" Type="http://schemas.openxmlformats.org/officeDocument/2006/relationships/hyperlink" Target="https://www.cookie.fun/agent/swarmy" TargetMode="External"/><Relationship Id="rId1951" Type="http://schemas.openxmlformats.org/officeDocument/2006/relationships/hyperlink" Target="https://www.cookie.fun/agent/mio" TargetMode="External"/><Relationship Id="rId4150" Type="http://schemas.openxmlformats.org/officeDocument/2006/relationships/hyperlink" Target="https://x.com/Cobratate/status/1877403108428378470" TargetMode="External"/><Relationship Id="rId36" Type="http://schemas.openxmlformats.org/officeDocument/2006/relationships/hyperlink" Target="https://pbs.twimg.com/profile_images/1874857676938657792/NVeFX7LA_400x400.jpg" TargetMode="External"/><Relationship Id="rId1604" Type="http://schemas.openxmlformats.org/officeDocument/2006/relationships/hyperlink" Target="https://pbs.twimg.com/profile_images/1858342223957426176/cxtmh_tg_400x400.jpg" TargetMode="External"/><Relationship Id="rId4010" Type="http://schemas.openxmlformats.org/officeDocument/2006/relationships/hyperlink" Target="https://www.cookie.fun/agent/kogin" TargetMode="External"/><Relationship Id="rId1811" Type="http://schemas.openxmlformats.org/officeDocument/2006/relationships/hyperlink" Target="https://pbs.twimg.com/profile_images/1874935676392579072/gSYo9INt_400x400.jpg" TargetMode="External"/><Relationship Id="rId3569" Type="http://schemas.openxmlformats.org/officeDocument/2006/relationships/hyperlink" Target="https://x.com/HanzoYasunaga/status/1877783764719300784" TargetMode="External"/><Relationship Id="rId697" Type="http://schemas.openxmlformats.org/officeDocument/2006/relationships/hyperlink" Target="https://www.cookie.fun/agent/zero-byte" TargetMode="External"/><Relationship Id="rId2378" Type="http://schemas.openxmlformats.org/officeDocument/2006/relationships/hyperlink" Target="https://x.com/rektmando/status/1877363883960058103" TargetMode="External"/><Relationship Id="rId3429" Type="http://schemas.openxmlformats.org/officeDocument/2006/relationships/hyperlink" Target="https://pbs.twimg.com/profile_images/1869085516538286080/l3flH4yb_normal.jpg" TargetMode="External"/><Relationship Id="rId3776" Type="http://schemas.openxmlformats.org/officeDocument/2006/relationships/hyperlink" Target="https://x.com/_ilmoi/status/1878027128832147782" TargetMode="External"/><Relationship Id="rId3983" Type="http://schemas.openxmlformats.org/officeDocument/2006/relationships/hyperlink" Target="https://www.cookie.fun/agent/koala-ai" TargetMode="External"/><Relationship Id="rId1187" Type="http://schemas.openxmlformats.org/officeDocument/2006/relationships/hyperlink" Target="https://pbs.twimg.com/profile_images/1874526257825595392/NIc0sjjB_400x400.png" TargetMode="External"/><Relationship Id="rId2585" Type="http://schemas.openxmlformats.org/officeDocument/2006/relationships/hyperlink" Target="https://www.cookie.fun/chains/solana.svg" TargetMode="External"/><Relationship Id="rId2792" Type="http://schemas.openxmlformats.org/officeDocument/2006/relationships/hyperlink" Target="https://pbs.twimg.com/profile_images/1619729617098506243/FZLFQ6He_normal.jpg" TargetMode="External"/><Relationship Id="rId3636" Type="http://schemas.openxmlformats.org/officeDocument/2006/relationships/hyperlink" Target="https://pbs.twimg.com/profile_images/1746996681801863168/GQkHnQH6_normal.jpg" TargetMode="External"/><Relationship Id="rId3843" Type="http://schemas.openxmlformats.org/officeDocument/2006/relationships/hyperlink" Target="https://www.cookie.fun/agent/supplyvest" TargetMode="External"/><Relationship Id="rId557" Type="http://schemas.openxmlformats.org/officeDocument/2006/relationships/hyperlink" Target="https://www.cookie.fun/agent/matrix" TargetMode="External"/><Relationship Id="rId764" Type="http://schemas.openxmlformats.org/officeDocument/2006/relationships/hyperlink" Target="https://pbs.twimg.com/profile_images/1860606649142276096/OMPPid7q_400x400.jpg" TargetMode="External"/><Relationship Id="rId971" Type="http://schemas.openxmlformats.org/officeDocument/2006/relationships/hyperlink" Target="https://pbs.twimg.com/profile_images/1865751958658629632/lwn_rYmg_400x400.jpg" TargetMode="External"/><Relationship Id="rId1394" Type="http://schemas.openxmlformats.org/officeDocument/2006/relationships/hyperlink" Target="https://pbs.twimg.com/profile_images/1859258189369556993/AHCU1q2x_400x400.jpg" TargetMode="External"/><Relationship Id="rId2238" Type="http://schemas.openxmlformats.org/officeDocument/2006/relationships/hyperlink" Target="https://www.cookie.fun/agent/mr-house" TargetMode="External"/><Relationship Id="rId2445" Type="http://schemas.openxmlformats.org/officeDocument/2006/relationships/hyperlink" Target="https://pbs.twimg.com/profile_images/1352548197835681793/P8tRO3U2_normal.jpg" TargetMode="External"/><Relationship Id="rId2652" Type="http://schemas.openxmlformats.org/officeDocument/2006/relationships/hyperlink" Target="https://x.com/CryptoVonDoom/status/1879021428974190948" TargetMode="External"/><Relationship Id="rId3703" Type="http://schemas.openxmlformats.org/officeDocument/2006/relationships/hyperlink" Target="https://pbs.twimg.com/profile_images/1862089894551519232/IWxyjG4M_400x400.jpg" TargetMode="External"/><Relationship Id="rId3910" Type="http://schemas.openxmlformats.org/officeDocument/2006/relationships/hyperlink" Target="https://pbs.twimg.com/profile_images/1871564431282638849/hhy2WNIl_400x400.jpg" TargetMode="External"/><Relationship Id="rId417" Type="http://schemas.openxmlformats.org/officeDocument/2006/relationships/hyperlink" Target="https://www.cookie.fun/chains/solana.svg" TargetMode="External"/><Relationship Id="rId624" Type="http://schemas.openxmlformats.org/officeDocument/2006/relationships/hyperlink" Target="https://www.cookie.fun/chains/solana.svg" TargetMode="External"/><Relationship Id="rId831" Type="http://schemas.openxmlformats.org/officeDocument/2006/relationships/hyperlink" Target="https://www.cookie.fun/chains/solana.svg" TargetMode="External"/><Relationship Id="rId1047" Type="http://schemas.openxmlformats.org/officeDocument/2006/relationships/hyperlink" Target="https://www.cookie.fun/chains/solana.svg" TargetMode="External"/><Relationship Id="rId1254" Type="http://schemas.openxmlformats.org/officeDocument/2006/relationships/hyperlink" Target="https://www.cookie.fun/chains/solana.svg" TargetMode="External"/><Relationship Id="rId1461" Type="http://schemas.openxmlformats.org/officeDocument/2006/relationships/hyperlink" Target="https://www.cookie.fun/chains/solana.svg" TargetMode="External"/><Relationship Id="rId2305" Type="http://schemas.openxmlformats.org/officeDocument/2006/relationships/hyperlink" Target="https://pbs.twimg.com/profile_images/1679453527100518402/XagGubNX_normal.jpg" TargetMode="External"/><Relationship Id="rId2512" Type="http://schemas.openxmlformats.org/officeDocument/2006/relationships/hyperlink" Target="https://pbs.twimg.com/profile_images/1859206358094036993/pCC29QeL_400x400.jpg" TargetMode="External"/><Relationship Id="rId1114" Type="http://schemas.openxmlformats.org/officeDocument/2006/relationships/hyperlink" Target="https://www.cookie.fun/agent/kermit" TargetMode="External"/><Relationship Id="rId1321" Type="http://schemas.openxmlformats.org/officeDocument/2006/relationships/hyperlink" Target="https://www.cookie.fun/agent/chml" TargetMode="External"/><Relationship Id="rId3079" Type="http://schemas.openxmlformats.org/officeDocument/2006/relationships/hyperlink" Target="https://x.com/OGDfarmer/status/1877010510480085452" TargetMode="External"/><Relationship Id="rId3286" Type="http://schemas.openxmlformats.org/officeDocument/2006/relationships/hyperlink" Target="https://www.cookie.fun/agent/predo" TargetMode="External"/><Relationship Id="rId3493" Type="http://schemas.openxmlformats.org/officeDocument/2006/relationships/hyperlink" Target="https://www.cookie.fun/agent/grok" TargetMode="External"/><Relationship Id="rId2095" Type="http://schemas.openxmlformats.org/officeDocument/2006/relationships/hyperlink" Target="https://www.cookie.fun/agent/onion-agent" TargetMode="External"/><Relationship Id="rId3146" Type="http://schemas.openxmlformats.org/officeDocument/2006/relationships/hyperlink" Target="https://www.cookie.fun/agent/opus" TargetMode="External"/><Relationship Id="rId3353" Type="http://schemas.openxmlformats.org/officeDocument/2006/relationships/hyperlink" Target="https://pbs.twimg.com/profile_images/1845206387380387862/7_mC9djK_normal.jpg" TargetMode="External"/><Relationship Id="rId274" Type="http://schemas.openxmlformats.org/officeDocument/2006/relationships/hyperlink" Target="https://www.cookie.fun/agent/slop" TargetMode="External"/><Relationship Id="rId481" Type="http://schemas.openxmlformats.org/officeDocument/2006/relationships/hyperlink" Target="https://www.cookie.fun/chains/base.svg" TargetMode="External"/><Relationship Id="rId2162" Type="http://schemas.openxmlformats.org/officeDocument/2006/relationships/hyperlink" Target="https://www.cookie.fun/agent/aishow" TargetMode="External"/><Relationship Id="rId3006" Type="http://schemas.openxmlformats.org/officeDocument/2006/relationships/hyperlink" Target="https://pbs.twimg.com/profile_images/1877633171413467136/91OOzFSV_normal.jpg" TargetMode="External"/><Relationship Id="rId3560" Type="http://schemas.openxmlformats.org/officeDocument/2006/relationships/hyperlink" Target="https://www.cookie.fun/agent/punky" TargetMode="External"/><Relationship Id="rId134" Type="http://schemas.openxmlformats.org/officeDocument/2006/relationships/hyperlink" Target="https://www.cookie.fun/chains/solana.svg" TargetMode="External"/><Relationship Id="rId3213" Type="http://schemas.openxmlformats.org/officeDocument/2006/relationships/hyperlink" Target="https://x.com/broke0x/status/1877225407746900370" TargetMode="External"/><Relationship Id="rId3420" Type="http://schemas.openxmlformats.org/officeDocument/2006/relationships/hyperlink" Target="https://pbs.twimg.com/profile_images/1877206546754490368/TmQirp55_400x400.jpg" TargetMode="External"/><Relationship Id="rId341" Type="http://schemas.openxmlformats.org/officeDocument/2006/relationships/hyperlink" Target="https://pbs.twimg.com/profile_images/1849939397619171328/vEiEQsbb_400x400.jpg" TargetMode="External"/><Relationship Id="rId2022" Type="http://schemas.openxmlformats.org/officeDocument/2006/relationships/hyperlink" Target="https://www.cookie.fun/chains/solana.svg" TargetMode="External"/><Relationship Id="rId2979" Type="http://schemas.openxmlformats.org/officeDocument/2006/relationships/hyperlink" Target="https://x.com/mrpunkdoteth/status/1878474033966301419" TargetMode="External"/><Relationship Id="rId201" Type="http://schemas.openxmlformats.org/officeDocument/2006/relationships/hyperlink" Target="https://www.cookie.fun/agent/smug-rat-ai" TargetMode="External"/><Relationship Id="rId1788" Type="http://schemas.openxmlformats.org/officeDocument/2006/relationships/hyperlink" Target="https://www.cookie.fun/chains/base.svg" TargetMode="External"/><Relationship Id="rId1995" Type="http://schemas.openxmlformats.org/officeDocument/2006/relationships/hyperlink" Target="https://www.cookie.fun/chains/solana.svg" TargetMode="External"/><Relationship Id="rId2839" Type="http://schemas.openxmlformats.org/officeDocument/2006/relationships/hyperlink" Target="https://pbs.twimg.com/profile_images/1872645310021058560/kIpIqTCP_normal.jpg" TargetMode="External"/><Relationship Id="rId1648" Type="http://schemas.openxmlformats.org/officeDocument/2006/relationships/hyperlink" Target="https://www.cookie.fun/agent/sailor" TargetMode="External"/><Relationship Id="rId4054" Type="http://schemas.openxmlformats.org/officeDocument/2006/relationships/hyperlink" Target="https://pbs.twimg.com/profile_images/1755983593925378048/kYutau0B_normal.jpg" TargetMode="External"/><Relationship Id="rId1508" Type="http://schemas.openxmlformats.org/officeDocument/2006/relationships/hyperlink" Target="https://pbs.twimg.com/profile_images/1856912784526544896/CwGFv7Uv_400x400.jpg" TargetMode="External"/><Relationship Id="rId1855" Type="http://schemas.openxmlformats.org/officeDocument/2006/relationships/hyperlink" Target="https://www.cookie.fun/agent/mcs" TargetMode="External"/><Relationship Id="rId2906" Type="http://schemas.openxmlformats.org/officeDocument/2006/relationships/hyperlink" Target="https://www.cookie.fun/chains/base.svg" TargetMode="External"/><Relationship Id="rId3070" Type="http://schemas.openxmlformats.org/officeDocument/2006/relationships/hyperlink" Target="https://www.cookie.fun/chains/solana.svg" TargetMode="External"/><Relationship Id="rId4121" Type="http://schemas.openxmlformats.org/officeDocument/2006/relationships/hyperlink" Target="https://www.cookie.fun/chains/solana.svg" TargetMode="External"/><Relationship Id="rId1715" Type="http://schemas.openxmlformats.org/officeDocument/2006/relationships/hyperlink" Target="https://pbs.twimg.com/profile_images/1874021756718964737/aNYpzCwd_400x400.jpg" TargetMode="External"/><Relationship Id="rId1922" Type="http://schemas.openxmlformats.org/officeDocument/2006/relationships/hyperlink" Target="https://pbs.twimg.com/profile_images/1876290706932658176/n_9o5LZc_400x400.jpg" TargetMode="External"/><Relationship Id="rId3887" Type="http://schemas.openxmlformats.org/officeDocument/2006/relationships/hyperlink" Target="https://www.cookie.fun/chains/base.svg" TargetMode="External"/><Relationship Id="rId2489" Type="http://schemas.openxmlformats.org/officeDocument/2006/relationships/hyperlink" Target="https://www.cookie.fun/chains/base.svg" TargetMode="External"/><Relationship Id="rId2696" Type="http://schemas.openxmlformats.org/officeDocument/2006/relationships/hyperlink" Target="https://x.com/traderrocko/status/1877098332209709314" TargetMode="External"/><Relationship Id="rId3747" Type="http://schemas.openxmlformats.org/officeDocument/2006/relationships/hyperlink" Target="https://x.com/QuintenFrancois/status/1877017542041972960" TargetMode="External"/><Relationship Id="rId3954" Type="http://schemas.openxmlformats.org/officeDocument/2006/relationships/hyperlink" Target="https://www.cookie.fun/agent/retard-ai" TargetMode="External"/><Relationship Id="rId668" Type="http://schemas.openxmlformats.org/officeDocument/2006/relationships/hyperlink" Target="https://pbs.twimg.com/profile_images/1866999791156158464/eu2ukVsg_400x400.jpg" TargetMode="External"/><Relationship Id="rId875" Type="http://schemas.openxmlformats.org/officeDocument/2006/relationships/hyperlink" Target="https://pbs.twimg.com/profile_images/1849832855469228032/MAC6DXdi_400x400.jpg" TargetMode="External"/><Relationship Id="rId1298" Type="http://schemas.openxmlformats.org/officeDocument/2006/relationships/hyperlink" Target="https://pbs.twimg.com/profile_images/1861008058547425281/rtD6Bh5d_400x400.png" TargetMode="External"/><Relationship Id="rId2349" Type="http://schemas.openxmlformats.org/officeDocument/2006/relationships/hyperlink" Target="https://pbs.twimg.com/profile_images/1869055102486446084/JVBRQliT_normal.jpg" TargetMode="External"/><Relationship Id="rId2556" Type="http://schemas.openxmlformats.org/officeDocument/2006/relationships/hyperlink" Target="https://x.com/BiteyeCN/status/1877249880021942569" TargetMode="External"/><Relationship Id="rId2763" Type="http://schemas.openxmlformats.org/officeDocument/2006/relationships/hyperlink" Target="https://www.cookie.fun/agent/kwant" TargetMode="External"/><Relationship Id="rId2970" Type="http://schemas.openxmlformats.org/officeDocument/2006/relationships/hyperlink" Target="https://pbs.twimg.com/profile_images/1786874758421983232/L06COzZ-_normal.jpg" TargetMode="External"/><Relationship Id="rId3607" Type="http://schemas.openxmlformats.org/officeDocument/2006/relationships/hyperlink" Target="https://pbs.twimg.com/profile_images/1867840509521408003/Cij6uQwV_normal.jpg" TargetMode="External"/><Relationship Id="rId3814" Type="http://schemas.openxmlformats.org/officeDocument/2006/relationships/hyperlink" Target="https://www.cookie.fun/agent/draiftking" TargetMode="External"/><Relationship Id="rId528" Type="http://schemas.openxmlformats.org/officeDocument/2006/relationships/hyperlink" Target="https://pbs.twimg.com/profile_images/1858988784999645184/gLqfYFfE_400x400.jpg" TargetMode="External"/><Relationship Id="rId735" Type="http://schemas.openxmlformats.org/officeDocument/2006/relationships/hyperlink" Target="https://www.cookie.fun/chains/solana.svg" TargetMode="External"/><Relationship Id="rId942" Type="http://schemas.openxmlformats.org/officeDocument/2006/relationships/hyperlink" Target="https://www.cookie.fun/chains/base.svg" TargetMode="External"/><Relationship Id="rId1158" Type="http://schemas.openxmlformats.org/officeDocument/2006/relationships/hyperlink" Target="https://www.cookie.fun/chains/solana.svg" TargetMode="External"/><Relationship Id="rId1365" Type="http://schemas.openxmlformats.org/officeDocument/2006/relationships/hyperlink" Target="https://www.cookie.fun/chains/solana.svg" TargetMode="External"/><Relationship Id="rId1572" Type="http://schemas.openxmlformats.org/officeDocument/2006/relationships/hyperlink" Target="https://www.cookie.fun/chains/solana.svg" TargetMode="External"/><Relationship Id="rId2209" Type="http://schemas.openxmlformats.org/officeDocument/2006/relationships/hyperlink" Target="https://www.cookie.fun/agent/prebulls-xyz" TargetMode="External"/><Relationship Id="rId2416" Type="http://schemas.openxmlformats.org/officeDocument/2006/relationships/hyperlink" Target="https://pbs.twimg.com/profile_images/1867839899635769344/1ysmAfQI_400x400.jpg" TargetMode="External"/><Relationship Id="rId2623" Type="http://schemas.openxmlformats.org/officeDocument/2006/relationships/hyperlink" Target="https://pbs.twimg.com/profile_images/1679453527100518402/XagGubNX_normal.jpg" TargetMode="External"/><Relationship Id="rId1018" Type="http://schemas.openxmlformats.org/officeDocument/2006/relationships/hyperlink" Target="https://www.cookie.fun/agent/lattice" TargetMode="External"/><Relationship Id="rId1225" Type="http://schemas.openxmlformats.org/officeDocument/2006/relationships/hyperlink" Target="https://www.cookie.fun/agent/666x" TargetMode="External"/><Relationship Id="rId1432" Type="http://schemas.openxmlformats.org/officeDocument/2006/relationships/hyperlink" Target="https://www.cookie.fun/agent/gal" TargetMode="External"/><Relationship Id="rId2830" Type="http://schemas.openxmlformats.org/officeDocument/2006/relationships/hyperlink" Target="https://pbs.twimg.com/profile_images/1768029358315171840/ZbsKj_pI_normal.jpg" TargetMode="External"/><Relationship Id="rId71" Type="http://schemas.openxmlformats.org/officeDocument/2006/relationships/hyperlink" Target="https://pbs.twimg.com/profile_images/1870888035182915584/I5dR-ZKU_400x400.jpg" TargetMode="External"/><Relationship Id="rId802" Type="http://schemas.openxmlformats.org/officeDocument/2006/relationships/hyperlink" Target="https://www.cookie.fun/agent/agent-one-darkholme-twitter-bot" TargetMode="External"/><Relationship Id="rId3397" Type="http://schemas.openxmlformats.org/officeDocument/2006/relationships/hyperlink" Target="https://x.com/ghost93_x/status/1879309308170735831" TargetMode="External"/><Relationship Id="rId178" Type="http://schemas.openxmlformats.org/officeDocument/2006/relationships/hyperlink" Target="https://pbs.twimg.com/profile_images/1877462935926149122/JgESHykK_400x400.jpg" TargetMode="External"/><Relationship Id="rId3257" Type="http://schemas.openxmlformats.org/officeDocument/2006/relationships/hyperlink" Target="https://x.com/gem_detecter/status/1877906710989582424" TargetMode="External"/><Relationship Id="rId3464" Type="http://schemas.openxmlformats.org/officeDocument/2006/relationships/hyperlink" Target="https://x.com/gem_insider/status/1879499914797003249" TargetMode="External"/><Relationship Id="rId3671" Type="http://schemas.openxmlformats.org/officeDocument/2006/relationships/hyperlink" Target="https://x.com/JasonNFT/status/1877252581031862687" TargetMode="External"/><Relationship Id="rId385" Type="http://schemas.openxmlformats.org/officeDocument/2006/relationships/hyperlink" Target="https://www.cookie.fun/agent/david-goggins-ai" TargetMode="External"/><Relationship Id="rId592" Type="http://schemas.openxmlformats.org/officeDocument/2006/relationships/hyperlink" Target="https://www.cookie.fun/chains/base.svg" TargetMode="External"/><Relationship Id="rId2066" Type="http://schemas.openxmlformats.org/officeDocument/2006/relationships/hyperlink" Target="https://pbs.twimg.com/profile_images/1862655678319353856/MVXGw_dM_400x400.jpg" TargetMode="External"/><Relationship Id="rId2273" Type="http://schemas.openxmlformats.org/officeDocument/2006/relationships/hyperlink" Target="https://www.cookie.fun/chains/solana.svg" TargetMode="External"/><Relationship Id="rId2480" Type="http://schemas.openxmlformats.org/officeDocument/2006/relationships/hyperlink" Target="https://x.com/apixtwts/status/1878857486708642148" TargetMode="External"/><Relationship Id="rId3117" Type="http://schemas.openxmlformats.org/officeDocument/2006/relationships/hyperlink" Target="https://x.com/mr_benft/status/1878112676238246187" TargetMode="External"/><Relationship Id="rId3324" Type="http://schemas.openxmlformats.org/officeDocument/2006/relationships/hyperlink" Target="https://www.cookie.fun/chains/base.svg" TargetMode="External"/><Relationship Id="rId3531" Type="http://schemas.openxmlformats.org/officeDocument/2006/relationships/hyperlink" Target="https://x.com/kristophershinn/status/1878930612553384041" TargetMode="External"/><Relationship Id="rId245" Type="http://schemas.openxmlformats.org/officeDocument/2006/relationships/hyperlink" Target="https://www.cookie.fun/agent/flavia-is-online" TargetMode="External"/><Relationship Id="rId452" Type="http://schemas.openxmlformats.org/officeDocument/2006/relationships/hyperlink" Target="https://www.cookie.fun/agent/ascendia" TargetMode="External"/><Relationship Id="rId1082" Type="http://schemas.openxmlformats.org/officeDocument/2006/relationships/hyperlink" Target="https://pbs.twimg.com/profile_images/1868482666309308416/ex0OH-Yc_400x400.jpg" TargetMode="External"/><Relationship Id="rId2133" Type="http://schemas.openxmlformats.org/officeDocument/2006/relationships/hyperlink" Target="https://pbs.twimg.com/profile_images/1867446802552696832/24re4phz_400x400.jpg" TargetMode="External"/><Relationship Id="rId2340" Type="http://schemas.openxmlformats.org/officeDocument/2006/relationships/hyperlink" Target="https://x.com/gammichan/status/1877936121289605335" TargetMode="External"/><Relationship Id="rId105" Type="http://schemas.openxmlformats.org/officeDocument/2006/relationships/hyperlink" Target="https://pbs.twimg.com/profile_images/1650735063846522881/HVJYdgCF_400x400.jpg" TargetMode="External"/><Relationship Id="rId312" Type="http://schemas.openxmlformats.org/officeDocument/2006/relationships/hyperlink" Target="https://www.cookie.fun/chains/solana.svg" TargetMode="External"/><Relationship Id="rId2200" Type="http://schemas.openxmlformats.org/officeDocument/2006/relationships/hyperlink" Target="https://www.cookie.fun/agent/noscam-ai" TargetMode="External"/><Relationship Id="rId4098" Type="http://schemas.openxmlformats.org/officeDocument/2006/relationships/hyperlink" Target="https://www.cookie.fun/chains/base.svg" TargetMode="External"/><Relationship Id="rId1899" Type="http://schemas.openxmlformats.org/officeDocument/2006/relationships/hyperlink" Target="https://www.cookie.fun/chains/base.svg" TargetMode="External"/><Relationship Id="rId4165" Type="http://schemas.openxmlformats.org/officeDocument/2006/relationships/hyperlink" Target="https://www.cookie.fun/agent/high-ai" TargetMode="External"/><Relationship Id="rId1759" Type="http://schemas.openxmlformats.org/officeDocument/2006/relationships/hyperlink" Target="https://www.cookie.fun/agent/mushroom-intelligence" TargetMode="External"/><Relationship Id="rId1966" Type="http://schemas.openxmlformats.org/officeDocument/2006/relationships/hyperlink" Target="https://www.cookie.fun/agent/swart" TargetMode="External"/><Relationship Id="rId3181" Type="http://schemas.openxmlformats.org/officeDocument/2006/relationships/hyperlink" Target="https://pbs.twimg.com/profile_images/1863417281822490624/VVBVwC0R_400x400.jpg" TargetMode="External"/><Relationship Id="rId4025" Type="http://schemas.openxmlformats.org/officeDocument/2006/relationships/hyperlink" Target="https://www.cookie.fun/chains/solana.svg" TargetMode="External"/><Relationship Id="rId1619" Type="http://schemas.openxmlformats.org/officeDocument/2006/relationships/hyperlink" Target="https://pbs.twimg.com/profile_images/1858334480420745216/MU4htFV-_400x400.jpg" TargetMode="External"/><Relationship Id="rId1826" Type="http://schemas.openxmlformats.org/officeDocument/2006/relationships/hyperlink" Target="https://pbs.twimg.com/profile_images/1866505134890504192/sP8NtHxo_400x400.jpg" TargetMode="External"/><Relationship Id="rId3041" Type="http://schemas.openxmlformats.org/officeDocument/2006/relationships/hyperlink" Target="https://x.com/CoinbaseAssets/status/1879215891449020772" TargetMode="External"/><Relationship Id="rId3998" Type="http://schemas.openxmlformats.org/officeDocument/2006/relationships/hyperlink" Target="https://x.com/bledi_gmi/status/1877007989996961970" TargetMode="External"/><Relationship Id="rId3858" Type="http://schemas.openxmlformats.org/officeDocument/2006/relationships/hyperlink" Target="https://pbs.twimg.com/profile_images/1876981306044944384/skdWmQbK_normal.jpg" TargetMode="External"/><Relationship Id="rId779" Type="http://schemas.openxmlformats.org/officeDocument/2006/relationships/hyperlink" Target="https://pbs.twimg.com/profile_images/1866724267062112256/3xAIOnd1_400x400.jpg" TargetMode="External"/><Relationship Id="rId986" Type="http://schemas.openxmlformats.org/officeDocument/2006/relationships/hyperlink" Target="https://pbs.twimg.com/profile_images/1450923200741773320/HU7-Z5UW_400x400.jpg" TargetMode="External"/><Relationship Id="rId2667" Type="http://schemas.openxmlformats.org/officeDocument/2006/relationships/hyperlink" Target="https://www.cookie.fun/agent/tetsuo" TargetMode="External"/><Relationship Id="rId3718" Type="http://schemas.openxmlformats.org/officeDocument/2006/relationships/hyperlink" Target="https://x.com/AmeerWeb3/status/1877829559002734954" TargetMode="External"/><Relationship Id="rId639" Type="http://schemas.openxmlformats.org/officeDocument/2006/relationships/hyperlink" Target="https://www.cookie.fun/chains/base.svg" TargetMode="External"/><Relationship Id="rId1269" Type="http://schemas.openxmlformats.org/officeDocument/2006/relationships/hyperlink" Target="https://www.cookie.fun/chains/solana.svg" TargetMode="External"/><Relationship Id="rId1476" Type="http://schemas.openxmlformats.org/officeDocument/2006/relationships/hyperlink" Target="https://www.cookie.fun/chains/solana.svg" TargetMode="External"/><Relationship Id="rId2874" Type="http://schemas.openxmlformats.org/officeDocument/2006/relationships/hyperlink" Target="https://x.com/CryptoKaduna/status/1878529087578222703" TargetMode="External"/><Relationship Id="rId3925" Type="http://schemas.openxmlformats.org/officeDocument/2006/relationships/hyperlink" Target="https://x.com/HammerToe/status/1878595517544071458" TargetMode="External"/><Relationship Id="rId846" Type="http://schemas.openxmlformats.org/officeDocument/2006/relationships/hyperlink" Target="https://www.cookie.fun/chains/base.svg" TargetMode="External"/><Relationship Id="rId1129" Type="http://schemas.openxmlformats.org/officeDocument/2006/relationships/hyperlink" Target="https://www.cookie.fun/agent/ailon" TargetMode="External"/><Relationship Id="rId1683" Type="http://schemas.openxmlformats.org/officeDocument/2006/relationships/hyperlink" Target="https://www.cookie.fun/chains/solana.svg" TargetMode="External"/><Relationship Id="rId1890" Type="http://schemas.openxmlformats.org/officeDocument/2006/relationships/hyperlink" Target="https://www.cookie.fun/chains/base.svg" TargetMode="External"/><Relationship Id="rId2527" Type="http://schemas.openxmlformats.org/officeDocument/2006/relationships/hyperlink" Target="https://pbs.twimg.com/profile_images/1877097814901071873/FM9Ujjye_normal.jpg" TargetMode="External"/><Relationship Id="rId2734" Type="http://schemas.openxmlformats.org/officeDocument/2006/relationships/hyperlink" Target="https://x.com/OGDfarmer/status/1877895046608936991" TargetMode="External"/><Relationship Id="rId2941" Type="http://schemas.openxmlformats.org/officeDocument/2006/relationships/hyperlink" Target="https://pbs.twimg.com/profile_images/1876491110555488256/uwXwjqCF_normal.jpg" TargetMode="External"/><Relationship Id="rId706" Type="http://schemas.openxmlformats.org/officeDocument/2006/relationships/hyperlink" Target="https://www.cookie.fun/agent/beffai" TargetMode="External"/><Relationship Id="rId913" Type="http://schemas.openxmlformats.org/officeDocument/2006/relationships/hyperlink" Target="https://www.cookie.fun/agent/player-1" TargetMode="External"/><Relationship Id="rId1336" Type="http://schemas.openxmlformats.org/officeDocument/2006/relationships/hyperlink" Target="https://www.cookie.fun/agent/aider" TargetMode="External"/><Relationship Id="rId1543" Type="http://schemas.openxmlformats.org/officeDocument/2006/relationships/hyperlink" Target="https://www.cookie.fun/agent/tt" TargetMode="External"/><Relationship Id="rId1750" Type="http://schemas.openxmlformats.org/officeDocument/2006/relationships/hyperlink" Target="https://www.cookie.fun/agent/bimo" TargetMode="External"/><Relationship Id="rId2801" Type="http://schemas.openxmlformats.org/officeDocument/2006/relationships/hyperlink" Target="https://x.com/verse_works/status/1877827620739698875" TargetMode="External"/><Relationship Id="rId42" Type="http://schemas.openxmlformats.org/officeDocument/2006/relationships/hyperlink" Target="https://pbs.twimg.com/profile_images/1862375090551152640/PDBWB426_400x400.jpg" TargetMode="External"/><Relationship Id="rId1403" Type="http://schemas.openxmlformats.org/officeDocument/2006/relationships/hyperlink" Target="https://pbs.twimg.com/profile_images/1859189391044050944/QVX2wDHg_400x400.jpg" TargetMode="External"/><Relationship Id="rId1610" Type="http://schemas.openxmlformats.org/officeDocument/2006/relationships/hyperlink" Target="https://pbs.twimg.com/profile_images/1858340755841937408/PygOoA6H_400x400.jpg" TargetMode="External"/><Relationship Id="rId3368" Type="http://schemas.openxmlformats.org/officeDocument/2006/relationships/hyperlink" Target="https://www.cookie.fun/agent/naval" TargetMode="External"/><Relationship Id="rId3575" Type="http://schemas.openxmlformats.org/officeDocument/2006/relationships/hyperlink" Target="https://pbs.twimg.com/profile_images/1877097814901071873/FM9Ujjye_normal.jpg" TargetMode="External"/><Relationship Id="rId3782" Type="http://schemas.openxmlformats.org/officeDocument/2006/relationships/hyperlink" Target="https://x.com/DemAzuki/status/1879416988906193011" TargetMode="External"/><Relationship Id="rId289" Type="http://schemas.openxmlformats.org/officeDocument/2006/relationships/hyperlink" Target="https://www.cookie.fun/agent/shitcoin" TargetMode="External"/><Relationship Id="rId496" Type="http://schemas.openxmlformats.org/officeDocument/2006/relationships/hyperlink" Target="https://www.cookie.fun/chains/solana.svg" TargetMode="External"/><Relationship Id="rId2177" Type="http://schemas.openxmlformats.org/officeDocument/2006/relationships/hyperlink" Target="https://pbs.twimg.com/profile_images/1871393862217797633/Z8Slptrg_400x400.jpg" TargetMode="External"/><Relationship Id="rId2384" Type="http://schemas.openxmlformats.org/officeDocument/2006/relationships/hyperlink" Target="https://x.com/notthreadguy/status/1879038636769083557" TargetMode="External"/><Relationship Id="rId2591" Type="http://schemas.openxmlformats.org/officeDocument/2006/relationships/hyperlink" Target="https://pbs.twimg.com/profile_images/1871330840774426625/pjvENjuB_normal.jpg" TargetMode="External"/><Relationship Id="rId3228" Type="http://schemas.openxmlformats.org/officeDocument/2006/relationships/hyperlink" Target="https://pbs.twimg.com/profile_images/1779633957165756418/WUIJVOqw_normal.jpg" TargetMode="External"/><Relationship Id="rId3435" Type="http://schemas.openxmlformats.org/officeDocument/2006/relationships/hyperlink" Target="https://pbs.twimg.com/profile_images/1869139507397734401/K6GG6cvD_normal.jpg" TargetMode="External"/><Relationship Id="rId3642" Type="http://schemas.openxmlformats.org/officeDocument/2006/relationships/hyperlink" Target="https://x.com/rickstarr031/status/1878472038081323294" TargetMode="External"/><Relationship Id="rId149" Type="http://schemas.openxmlformats.org/officeDocument/2006/relationships/hyperlink" Target="https://www.cookie.fun/chains/solana.svg" TargetMode="External"/><Relationship Id="rId356" Type="http://schemas.openxmlformats.org/officeDocument/2006/relationships/hyperlink" Target="https://pbs.twimg.com/profile_images/1859428583577366528/wImEuzQT_400x400.jpg" TargetMode="External"/><Relationship Id="rId563" Type="http://schemas.openxmlformats.org/officeDocument/2006/relationships/hyperlink" Target="https://www.cookie.fun/agent/alex-titan" TargetMode="External"/><Relationship Id="rId770" Type="http://schemas.openxmlformats.org/officeDocument/2006/relationships/hyperlink" Target="https://pbs.twimg.com/profile_images/1860520453674024960/aJr-CoVt_400x400.jpg" TargetMode="External"/><Relationship Id="rId1193" Type="http://schemas.openxmlformats.org/officeDocument/2006/relationships/hyperlink" Target="https://pbs.twimg.com/profile_images/1863656172705775617/HT-X90qo_400x400.jpg" TargetMode="External"/><Relationship Id="rId2037" Type="http://schemas.openxmlformats.org/officeDocument/2006/relationships/hyperlink" Target="https://pbs.twimg.com/profile_images/1875202142996238336/crSacLj4_400x400.jpg" TargetMode="External"/><Relationship Id="rId2244" Type="http://schemas.openxmlformats.org/officeDocument/2006/relationships/hyperlink" Target="https://www.cookie.fun/agent/hentai6900" TargetMode="External"/><Relationship Id="rId2451" Type="http://schemas.openxmlformats.org/officeDocument/2006/relationships/hyperlink" Target="https://www.cookie.fun/agent/vader-ai" TargetMode="External"/><Relationship Id="rId216" Type="http://schemas.openxmlformats.org/officeDocument/2006/relationships/hyperlink" Target="https://www.cookie.fun/agent/gaydar-ai" TargetMode="External"/><Relationship Id="rId423" Type="http://schemas.openxmlformats.org/officeDocument/2006/relationships/hyperlink" Target="https://www.cookie.fun/chains/base.svg" TargetMode="External"/><Relationship Id="rId1053" Type="http://schemas.openxmlformats.org/officeDocument/2006/relationships/hyperlink" Target="https://www.cookie.fun/chains/solana.svg" TargetMode="External"/><Relationship Id="rId1260" Type="http://schemas.openxmlformats.org/officeDocument/2006/relationships/hyperlink" Target="https://www.cookie.fun/chains/solana.svg" TargetMode="External"/><Relationship Id="rId2104" Type="http://schemas.openxmlformats.org/officeDocument/2006/relationships/hyperlink" Target="https://pbs.twimg.com/profile_images/1873757222502793216/jfeHJQtC_400x400.jpg" TargetMode="External"/><Relationship Id="rId3502" Type="http://schemas.openxmlformats.org/officeDocument/2006/relationships/hyperlink" Target="https://www.cookie.fun/chains/base.svg" TargetMode="External"/><Relationship Id="rId630" Type="http://schemas.openxmlformats.org/officeDocument/2006/relationships/hyperlink" Target="https://www.cookie.fun/chains/solana.svg" TargetMode="External"/><Relationship Id="rId2311" Type="http://schemas.openxmlformats.org/officeDocument/2006/relationships/hyperlink" Target="https://pbs.twimg.com/profile_images/1551771778472497152/ocyqhsbm_normal.jpg" TargetMode="External"/><Relationship Id="rId4069" Type="http://schemas.openxmlformats.org/officeDocument/2006/relationships/hyperlink" Target="https://x.com/marvellousdefi_/status/1877711676537012617" TargetMode="External"/><Relationship Id="rId1120" Type="http://schemas.openxmlformats.org/officeDocument/2006/relationships/hyperlink" Target="https://www.cookie.fun/agent/evelyn" TargetMode="External"/><Relationship Id="rId1937" Type="http://schemas.openxmlformats.org/officeDocument/2006/relationships/hyperlink" Target="https://x.com/LOR3LORD/status/1878164830932091290" TargetMode="External"/><Relationship Id="rId3085" Type="http://schemas.openxmlformats.org/officeDocument/2006/relationships/hyperlink" Target="https://pbs.twimg.com/profile_images/1875393071594024960/-KWjHWhP_normal.jpg" TargetMode="External"/><Relationship Id="rId3292" Type="http://schemas.openxmlformats.org/officeDocument/2006/relationships/hyperlink" Target="https://pbs.twimg.com/profile_images/1775649841562980353/2E0MAPqa_normal.jpg" TargetMode="External"/><Relationship Id="rId4136" Type="http://schemas.openxmlformats.org/officeDocument/2006/relationships/hyperlink" Target="https://www.cookie.fun/agent/brokie" TargetMode="External"/><Relationship Id="rId3152" Type="http://schemas.openxmlformats.org/officeDocument/2006/relationships/hyperlink" Target="https://pbs.twimg.com/profile_images/1722153907499986944/xv3-3-Gn_normal.jpg" TargetMode="External"/><Relationship Id="rId280" Type="http://schemas.openxmlformats.org/officeDocument/2006/relationships/hyperlink" Target="https://www.cookie.fun/agent/gmika" TargetMode="External"/><Relationship Id="rId3012" Type="http://schemas.openxmlformats.org/officeDocument/2006/relationships/hyperlink" Target="https://www.cookie.fun/agent/duck-ai" TargetMode="External"/><Relationship Id="rId140" Type="http://schemas.openxmlformats.org/officeDocument/2006/relationships/hyperlink" Target="https://www.cookie.fun/chains/solana.svg" TargetMode="External"/><Relationship Id="rId3969" Type="http://schemas.openxmlformats.org/officeDocument/2006/relationships/hyperlink" Target="https://x.com/yyds123888/status/1877370144974049597" TargetMode="External"/><Relationship Id="rId6" Type="http://schemas.openxmlformats.org/officeDocument/2006/relationships/hyperlink" Target="https://www.cookie.fun/chains/solana.svg" TargetMode="External"/><Relationship Id="rId2778" Type="http://schemas.openxmlformats.org/officeDocument/2006/relationships/hyperlink" Target="https://pbs.twimg.com/profile_images/1750880316196089856/YplOr-oj_normal.jpg" TargetMode="External"/><Relationship Id="rId2985" Type="http://schemas.openxmlformats.org/officeDocument/2006/relationships/hyperlink" Target="https://x.com/mrpunkdoteth/status/1879508914645184898" TargetMode="External"/><Relationship Id="rId3829" Type="http://schemas.openxmlformats.org/officeDocument/2006/relationships/hyperlink" Target="https://pbs.twimg.com/profile_images/1785909064188530688/6pVGdxWW_normal.jpg" TargetMode="External"/><Relationship Id="rId957" Type="http://schemas.openxmlformats.org/officeDocument/2006/relationships/hyperlink" Target="https://www.cookie.fun/chains/base.svg" TargetMode="External"/><Relationship Id="rId1587" Type="http://schemas.openxmlformats.org/officeDocument/2006/relationships/hyperlink" Target="https://www.cookie.fun/chains/solana.svg" TargetMode="External"/><Relationship Id="rId1794" Type="http://schemas.openxmlformats.org/officeDocument/2006/relationships/hyperlink" Target="https://www.cookie.fun/chains/base.svg" TargetMode="External"/><Relationship Id="rId2638" Type="http://schemas.openxmlformats.org/officeDocument/2006/relationships/hyperlink" Target="https://x.com/traderrocko/status/1877098332209709314" TargetMode="External"/><Relationship Id="rId2845" Type="http://schemas.openxmlformats.org/officeDocument/2006/relationships/hyperlink" Target="https://www.cookie.fun/agent/wai" TargetMode="External"/><Relationship Id="rId86" Type="http://schemas.openxmlformats.org/officeDocument/2006/relationships/hyperlink" Target="https://www.cookie.fun/chains/base.svg" TargetMode="External"/><Relationship Id="rId817" Type="http://schemas.openxmlformats.org/officeDocument/2006/relationships/hyperlink" Target="https://www.cookie.fun/agent/base-intern" TargetMode="External"/><Relationship Id="rId1447" Type="http://schemas.openxmlformats.org/officeDocument/2006/relationships/hyperlink" Target="https://www.cookie.fun/agent/koko" TargetMode="External"/><Relationship Id="rId1654" Type="http://schemas.openxmlformats.org/officeDocument/2006/relationships/hyperlink" Target="https://www.cookie.fun/agent/sonnai" TargetMode="External"/><Relationship Id="rId1861" Type="http://schemas.openxmlformats.org/officeDocument/2006/relationships/hyperlink" Target="https://www.cookie.fun/agent/nostrobotus" TargetMode="External"/><Relationship Id="rId2705" Type="http://schemas.openxmlformats.org/officeDocument/2006/relationships/hyperlink" Target="https://www.cookie.fun/chains/base.svg" TargetMode="External"/><Relationship Id="rId2912" Type="http://schemas.openxmlformats.org/officeDocument/2006/relationships/hyperlink" Target="https://pbs.twimg.com/profile_images/1642829233809489922/GF1F9OZC_normal.jpg" TargetMode="External"/><Relationship Id="rId4060" Type="http://schemas.openxmlformats.org/officeDocument/2006/relationships/hyperlink" Target="https://www.cookie.fun/agent/cleopetra" TargetMode="External"/><Relationship Id="rId1307" Type="http://schemas.openxmlformats.org/officeDocument/2006/relationships/hyperlink" Target="https://pbs.twimg.com/profile_images/1870213835681898496/ysiQhMCL_400x400.jpg" TargetMode="External"/><Relationship Id="rId1514" Type="http://schemas.openxmlformats.org/officeDocument/2006/relationships/hyperlink" Target="https://pbs.twimg.com/profile_images/1858649755624370178/8LA61Ysu_400x400.jpg" TargetMode="External"/><Relationship Id="rId1721" Type="http://schemas.openxmlformats.org/officeDocument/2006/relationships/hyperlink" Target="https://pbs.twimg.com/profile_images/1874144241439432704/V6KM_hQ-_400x400.png" TargetMode="External"/><Relationship Id="rId13" Type="http://schemas.openxmlformats.org/officeDocument/2006/relationships/hyperlink" Target="https://www.cookie.fun/agent/gemxbt" TargetMode="External"/><Relationship Id="rId3479" Type="http://schemas.openxmlformats.org/officeDocument/2006/relationships/hyperlink" Target="https://pbs.twimg.com/profile_images/1853746914006904832/WDZIgzka_400x400.jpg" TargetMode="External"/><Relationship Id="rId3686" Type="http://schemas.openxmlformats.org/officeDocument/2006/relationships/hyperlink" Target="https://x.com/Defi0xJeff/status/1877304490648547627" TargetMode="External"/><Relationship Id="rId2288" Type="http://schemas.openxmlformats.org/officeDocument/2006/relationships/hyperlink" Target="https://x.com/mattdorta/status/1878879696890528226" TargetMode="External"/><Relationship Id="rId2495" Type="http://schemas.openxmlformats.org/officeDocument/2006/relationships/hyperlink" Target="https://pbs.twimg.com/profile_images/1795636010442985473/zxOfI_KX_normal.jpg" TargetMode="External"/><Relationship Id="rId3339" Type="http://schemas.openxmlformats.org/officeDocument/2006/relationships/hyperlink" Target="https://x.com/DamiDefi/status/1878425706423808310" TargetMode="External"/><Relationship Id="rId3893" Type="http://schemas.openxmlformats.org/officeDocument/2006/relationships/hyperlink" Target="https://pbs.twimg.com/profile_images/1685118750339604482/0A63xtY__normal.jpg" TargetMode="External"/><Relationship Id="rId467" Type="http://schemas.openxmlformats.org/officeDocument/2006/relationships/hyperlink" Target="https://www.cookie.fun/agent/pronut" TargetMode="External"/><Relationship Id="rId1097" Type="http://schemas.openxmlformats.org/officeDocument/2006/relationships/hyperlink" Target="https://pbs.twimg.com/profile_images/1867988751290388480/Dpg0IUfD_400x400.jpg" TargetMode="External"/><Relationship Id="rId2148" Type="http://schemas.openxmlformats.org/officeDocument/2006/relationships/hyperlink" Target="https://www.cookie.fun/agent/fictionx-ai" TargetMode="External"/><Relationship Id="rId3546" Type="http://schemas.openxmlformats.org/officeDocument/2006/relationships/hyperlink" Target="https://www.cookie.fun/agent/artificial-general-intelligence" TargetMode="External"/><Relationship Id="rId3753" Type="http://schemas.openxmlformats.org/officeDocument/2006/relationships/hyperlink" Target="https://x.com/DEXLaboratory4/status/1878050512408310032" TargetMode="External"/><Relationship Id="rId3960" Type="http://schemas.openxmlformats.org/officeDocument/2006/relationships/hyperlink" Target="https://pbs.twimg.com/profile_images/1785526747884314624/d6v3VcN7_normal.jpg" TargetMode="External"/><Relationship Id="rId674" Type="http://schemas.openxmlformats.org/officeDocument/2006/relationships/hyperlink" Target="https://pbs.twimg.com/profile_images/1867341309830107137/_hshWDgi_400x400.jpg" TargetMode="External"/><Relationship Id="rId881" Type="http://schemas.openxmlformats.org/officeDocument/2006/relationships/hyperlink" Target="https://pbs.twimg.com/profile_images/1860835497892782080/N-D6K3M5_400x400.png" TargetMode="External"/><Relationship Id="rId2355" Type="http://schemas.openxmlformats.org/officeDocument/2006/relationships/hyperlink" Target="https://www.cookie.fun/agent/orbit" TargetMode="External"/><Relationship Id="rId2562" Type="http://schemas.openxmlformats.org/officeDocument/2006/relationships/hyperlink" Target="https://x.com/nillionnetwork/status/1877352690675564613" TargetMode="External"/><Relationship Id="rId3406" Type="http://schemas.openxmlformats.org/officeDocument/2006/relationships/hyperlink" Target="https://x.com/ChrisCoffeeEth/status/1877134773581164831" TargetMode="External"/><Relationship Id="rId3613" Type="http://schemas.openxmlformats.org/officeDocument/2006/relationships/hyperlink" Target="https://x.com/Velvet_Capital/status/1877378853078777916" TargetMode="External"/><Relationship Id="rId3820" Type="http://schemas.openxmlformats.org/officeDocument/2006/relationships/hyperlink" Target="https://x.com/NFTland/status/1877716978019762179" TargetMode="External"/><Relationship Id="rId327" Type="http://schemas.openxmlformats.org/officeDocument/2006/relationships/hyperlink" Target="https://www.cookie.fun/chains/solana.svg" TargetMode="External"/><Relationship Id="rId534" Type="http://schemas.openxmlformats.org/officeDocument/2006/relationships/hyperlink" Target="https://pbs.twimg.com/profile_images/1860010251392622592/9EZc80QG_400x400.jpg" TargetMode="External"/><Relationship Id="rId741" Type="http://schemas.openxmlformats.org/officeDocument/2006/relationships/hyperlink" Target="https://www.cookie.fun/chains/solana.svg" TargetMode="External"/><Relationship Id="rId1164" Type="http://schemas.openxmlformats.org/officeDocument/2006/relationships/hyperlink" Target="https://www.cookie.fun/chains/solana.svg" TargetMode="External"/><Relationship Id="rId1371" Type="http://schemas.openxmlformats.org/officeDocument/2006/relationships/hyperlink" Target="https://www.cookie.fun/chains/solana.svg" TargetMode="External"/><Relationship Id="rId2008" Type="http://schemas.openxmlformats.org/officeDocument/2006/relationships/hyperlink" Target="https://www.cookie.fun/agent/smart-bot" TargetMode="External"/><Relationship Id="rId2215" Type="http://schemas.openxmlformats.org/officeDocument/2006/relationships/hyperlink" Target="https://pbs.twimg.com/profile_images/1868285503784574976/JGc_HjKS_400x400.jpg" TargetMode="External"/><Relationship Id="rId2422" Type="http://schemas.openxmlformats.org/officeDocument/2006/relationships/hyperlink" Target="https://x.com/CryptoKaduna/status/1877011025209287094" TargetMode="External"/><Relationship Id="rId601" Type="http://schemas.openxmlformats.org/officeDocument/2006/relationships/hyperlink" Target="https://www.cookie.fun/chains/solana.svg" TargetMode="External"/><Relationship Id="rId1024" Type="http://schemas.openxmlformats.org/officeDocument/2006/relationships/hyperlink" Target="https://www.cookie.fun/agent/mintygirl" TargetMode="External"/><Relationship Id="rId1231" Type="http://schemas.openxmlformats.org/officeDocument/2006/relationships/hyperlink" Target="https://www.cookie.fun/agent/r3lativai" TargetMode="External"/><Relationship Id="rId3196" Type="http://schemas.openxmlformats.org/officeDocument/2006/relationships/hyperlink" Target="https://pbs.twimg.com/profile_images/1865895203699150848/qJlWeE5O_normal.jpg" TargetMode="External"/><Relationship Id="rId3056" Type="http://schemas.openxmlformats.org/officeDocument/2006/relationships/hyperlink" Target="https://pbs.twimg.com/profile_images/1768803812578410496/C7RI-8SU_normal.jpg" TargetMode="External"/><Relationship Id="rId3263" Type="http://schemas.openxmlformats.org/officeDocument/2006/relationships/hyperlink" Target="https://x.com/jakegallen_/status/1877099974078464265" TargetMode="External"/><Relationship Id="rId3470" Type="http://schemas.openxmlformats.org/officeDocument/2006/relationships/hyperlink" Target="https://www.cookie.fun/agent/the-butlerian" TargetMode="External"/><Relationship Id="rId4107" Type="http://schemas.openxmlformats.org/officeDocument/2006/relationships/hyperlink" Target="https://x.com/BiteyeCN/status/1877249880021942569" TargetMode="External"/><Relationship Id="rId184" Type="http://schemas.openxmlformats.org/officeDocument/2006/relationships/hyperlink" Target="https://pbs.twimg.com/profile_images/1872729836185088000/-GU7COB5_400x400.jpg" TargetMode="External"/><Relationship Id="rId391" Type="http://schemas.openxmlformats.org/officeDocument/2006/relationships/hyperlink" Target="https://www.cookie.fun/agent/reiko" TargetMode="External"/><Relationship Id="rId1908" Type="http://schemas.openxmlformats.org/officeDocument/2006/relationships/hyperlink" Target="https://www.cookie.fun/chains/solana.svg" TargetMode="External"/><Relationship Id="rId2072" Type="http://schemas.openxmlformats.org/officeDocument/2006/relationships/hyperlink" Target="https://www.cookie.fun/agent/agent-catoff" TargetMode="External"/><Relationship Id="rId3123" Type="http://schemas.openxmlformats.org/officeDocument/2006/relationships/hyperlink" Target="https://pbs.twimg.com/profile_images/1861235858168569856/PaGaTUGs_400x400.png" TargetMode="External"/><Relationship Id="rId251" Type="http://schemas.openxmlformats.org/officeDocument/2006/relationships/hyperlink" Target="https://x.com/DeeZe/status/1878956847035740306" TargetMode="External"/><Relationship Id="rId3330" Type="http://schemas.openxmlformats.org/officeDocument/2006/relationships/hyperlink" Target="https://pbs.twimg.com/profile_images/1423875044598456321/SVjwd6Bb_normal.jpg" TargetMode="External"/><Relationship Id="rId2889" Type="http://schemas.openxmlformats.org/officeDocument/2006/relationships/hyperlink" Target="https://pbs.twimg.com/profile_images/1637218141255131139/IY4gsV5h_normal.jpg" TargetMode="External"/><Relationship Id="rId111" Type="http://schemas.openxmlformats.org/officeDocument/2006/relationships/hyperlink" Target="https://abs.twimg.com/sticky/default_profile_images/default_profile_400x400.png" TargetMode="External"/><Relationship Id="rId1698" Type="http://schemas.openxmlformats.org/officeDocument/2006/relationships/hyperlink" Target="https://www.cookie.fun/chains/solana.svg" TargetMode="External"/><Relationship Id="rId2749" Type="http://schemas.openxmlformats.org/officeDocument/2006/relationships/hyperlink" Target="https://pbs.twimg.com/profile_images/1833387356159647744/3PxzMm1T_normal.jpg" TargetMode="External"/><Relationship Id="rId2956" Type="http://schemas.openxmlformats.org/officeDocument/2006/relationships/hyperlink" Target="https://pbs.twimg.com/profile_images/1874099224163631104/aD5Tvp66_400x400.jpg" TargetMode="External"/><Relationship Id="rId928" Type="http://schemas.openxmlformats.org/officeDocument/2006/relationships/hyperlink" Target="https://www.cookie.fun/agent/sagel" TargetMode="External"/><Relationship Id="rId1558" Type="http://schemas.openxmlformats.org/officeDocument/2006/relationships/hyperlink" Target="https://www.cookie.fun/agent/saylor" TargetMode="External"/><Relationship Id="rId1765" Type="http://schemas.openxmlformats.org/officeDocument/2006/relationships/hyperlink" Target="https://www.cookie.fun/agent/lady-pixelworth" TargetMode="External"/><Relationship Id="rId2609" Type="http://schemas.openxmlformats.org/officeDocument/2006/relationships/hyperlink" Target="https://www.cookie.fun/chains/base.svg" TargetMode="External"/><Relationship Id="rId4171" Type="http://schemas.openxmlformats.org/officeDocument/2006/relationships/hyperlink" Target="https://www.cookie.fun/agent/stoic" TargetMode="External"/><Relationship Id="rId57" Type="http://schemas.openxmlformats.org/officeDocument/2006/relationships/hyperlink" Target="https://pbs.twimg.com/profile_images/1862760717255897089/esUkI57L_normal.jpg" TargetMode="External"/><Relationship Id="rId1418" Type="http://schemas.openxmlformats.org/officeDocument/2006/relationships/hyperlink" Target="https://pbs.twimg.com/profile_images/1858991698363510784/MfmoQA8z_400x400.jpg" TargetMode="External"/><Relationship Id="rId1972" Type="http://schemas.openxmlformats.org/officeDocument/2006/relationships/hyperlink" Target="https://www.cookie.fun/agent/trudeauai" TargetMode="External"/><Relationship Id="rId2816" Type="http://schemas.openxmlformats.org/officeDocument/2006/relationships/hyperlink" Target="https://pbs.twimg.com/profile_images/1834157145299763200/Fh1b6K9r_normal.jpg" TargetMode="External"/><Relationship Id="rId4031" Type="http://schemas.openxmlformats.org/officeDocument/2006/relationships/hyperlink" Target="https://www.cookie.fun/chains/solana.svg" TargetMode="External"/><Relationship Id="rId1625" Type="http://schemas.openxmlformats.org/officeDocument/2006/relationships/hyperlink" Target="https://pbs.twimg.com/profile_images/1858347043632148480/JeWAJHkY_400x400.jpg" TargetMode="External"/><Relationship Id="rId1832" Type="http://schemas.openxmlformats.org/officeDocument/2006/relationships/hyperlink" Target="https://pbs.twimg.com/profile_images/1866018066548813825/BNYJU5rq_400x400.jpg" TargetMode="External"/><Relationship Id="rId3797" Type="http://schemas.openxmlformats.org/officeDocument/2006/relationships/hyperlink" Target="https://www.cookie.fun/chains/base.svg" TargetMode="External"/><Relationship Id="rId2399" Type="http://schemas.openxmlformats.org/officeDocument/2006/relationships/hyperlink" Target="https://pbs.twimg.com/profile_images/1681725760472530964/g389A7bW_normal.jpg" TargetMode="External"/><Relationship Id="rId3657" Type="http://schemas.openxmlformats.org/officeDocument/2006/relationships/hyperlink" Target="https://pbs.twimg.com/profile_images/1859687312654802944/9nSbkacJ_400x400.jpg" TargetMode="External"/><Relationship Id="rId3864" Type="http://schemas.openxmlformats.org/officeDocument/2006/relationships/hyperlink" Target="https://x.com/0xLawl/status/1878839427583394034" TargetMode="External"/><Relationship Id="rId578" Type="http://schemas.openxmlformats.org/officeDocument/2006/relationships/hyperlink" Target="https://www.cookie.fun/agent/bunzie" TargetMode="External"/><Relationship Id="rId785" Type="http://schemas.openxmlformats.org/officeDocument/2006/relationships/hyperlink" Target="https://pbs.twimg.com/profile_images/1858948361186844673/7BoPsVWM_400x400.jpg" TargetMode="External"/><Relationship Id="rId992" Type="http://schemas.openxmlformats.org/officeDocument/2006/relationships/hyperlink" Target="https://pbs.twimg.com/profile_images/1863707222011768832/2OCXcxYJ_400x400.jpg" TargetMode="External"/><Relationship Id="rId2259" Type="http://schemas.openxmlformats.org/officeDocument/2006/relationships/hyperlink" Target="https://www.cookie.fun/agent/aixbt" TargetMode="External"/><Relationship Id="rId2466" Type="http://schemas.openxmlformats.org/officeDocument/2006/relationships/hyperlink" Target="https://x.com/rovercrc/status/1878803710819610858" TargetMode="External"/><Relationship Id="rId2673" Type="http://schemas.openxmlformats.org/officeDocument/2006/relationships/hyperlink" Target="https://pbs.twimg.com/profile_images/1804303024593985537/JJgqufyl_normal.jpg" TargetMode="External"/><Relationship Id="rId2880" Type="http://schemas.openxmlformats.org/officeDocument/2006/relationships/hyperlink" Target="https://x.com/Altcoinist_com/status/1878044778186604877" TargetMode="External"/><Relationship Id="rId3517" Type="http://schemas.openxmlformats.org/officeDocument/2006/relationships/hyperlink" Target="https://pbs.twimg.com/profile_images/1860191482017161216/sp4SPj5P_400x400.jpg" TargetMode="External"/><Relationship Id="rId3724" Type="http://schemas.openxmlformats.org/officeDocument/2006/relationships/hyperlink" Target="https://pbs.twimg.com/profile_images/1667663760994062343/tZKyyd-O_normal.jpg" TargetMode="External"/><Relationship Id="rId3931" Type="http://schemas.openxmlformats.org/officeDocument/2006/relationships/hyperlink" Target="https://www.cookie.fun/chains/solana.svg" TargetMode="External"/><Relationship Id="rId438" Type="http://schemas.openxmlformats.org/officeDocument/2006/relationships/hyperlink" Target="https://pbs.twimg.com/profile_images/1862774959480713216/-FVZJNFC_400x400.jpg" TargetMode="External"/><Relationship Id="rId645" Type="http://schemas.openxmlformats.org/officeDocument/2006/relationships/hyperlink" Target="https://www.cookie.fun/chains/base.svg" TargetMode="External"/><Relationship Id="rId852" Type="http://schemas.openxmlformats.org/officeDocument/2006/relationships/hyperlink" Target="https://www.cookie.fun/chains/base.svg" TargetMode="External"/><Relationship Id="rId1068" Type="http://schemas.openxmlformats.org/officeDocument/2006/relationships/hyperlink" Target="https://www.cookie.fun/chains/solana.svg" TargetMode="External"/><Relationship Id="rId1275" Type="http://schemas.openxmlformats.org/officeDocument/2006/relationships/hyperlink" Target="https://www.cookie.fun/chains/solana.svg" TargetMode="External"/><Relationship Id="rId1482" Type="http://schemas.openxmlformats.org/officeDocument/2006/relationships/hyperlink" Target="https://www.cookie.fun/chains/solana.svg" TargetMode="External"/><Relationship Id="rId2119" Type="http://schemas.openxmlformats.org/officeDocument/2006/relationships/hyperlink" Target="https://www.cookie.fun/agent/pvpai-meme" TargetMode="External"/><Relationship Id="rId2326" Type="http://schemas.openxmlformats.org/officeDocument/2006/relationships/hyperlink" Target="https://x.com/osf_rekt/status/1877734775269609475" TargetMode="External"/><Relationship Id="rId2533" Type="http://schemas.openxmlformats.org/officeDocument/2006/relationships/hyperlink" Target="https://pbs.twimg.com/profile_images/1821761744068304896/tIlBR-0c_normal.jpg" TargetMode="External"/><Relationship Id="rId2740" Type="http://schemas.openxmlformats.org/officeDocument/2006/relationships/hyperlink" Target="https://pbs.twimg.com/profile_images/1867788948933582848/hZwR1MiM_400x400.jpg" TargetMode="External"/><Relationship Id="rId505" Type="http://schemas.openxmlformats.org/officeDocument/2006/relationships/hyperlink" Target="https://www.cookie.fun/chains/solana.svg" TargetMode="External"/><Relationship Id="rId712" Type="http://schemas.openxmlformats.org/officeDocument/2006/relationships/hyperlink" Target="https://www.cookie.fun/agent/xaiber-one" TargetMode="External"/><Relationship Id="rId1135" Type="http://schemas.openxmlformats.org/officeDocument/2006/relationships/hyperlink" Target="https://www.cookie.fun/agent/lmac" TargetMode="External"/><Relationship Id="rId1342" Type="http://schemas.openxmlformats.org/officeDocument/2006/relationships/hyperlink" Target="https://www.cookie.fun/agent/meguai" TargetMode="External"/><Relationship Id="rId1202" Type="http://schemas.openxmlformats.org/officeDocument/2006/relationships/hyperlink" Target="https://pbs.twimg.com/profile_images/1863687626584133635/2x81UOrB_400x400.jpg" TargetMode="External"/><Relationship Id="rId2600" Type="http://schemas.openxmlformats.org/officeDocument/2006/relationships/hyperlink" Target="https://x.com/Taran_ss/status/1878920488509960208" TargetMode="External"/><Relationship Id="rId3167" Type="http://schemas.openxmlformats.org/officeDocument/2006/relationships/hyperlink" Target="https://pbs.twimg.com/profile_images/1805216347191681024/dKIY_znG_normal.jpg" TargetMode="External"/><Relationship Id="rId295" Type="http://schemas.openxmlformats.org/officeDocument/2006/relationships/hyperlink" Target="https://www.cookie.fun/agent/zapicorn" TargetMode="External"/><Relationship Id="rId3374" Type="http://schemas.openxmlformats.org/officeDocument/2006/relationships/hyperlink" Target="https://pbs.twimg.com/profile_images/1855365770408345600/dtsAqkWe_normal.jpg" TargetMode="External"/><Relationship Id="rId3581" Type="http://schemas.openxmlformats.org/officeDocument/2006/relationships/hyperlink" Target="https://x.com/JimiCohen/status/1879000735548838000" TargetMode="External"/><Relationship Id="rId2183" Type="http://schemas.openxmlformats.org/officeDocument/2006/relationships/hyperlink" Target="https://pbs.twimg.com/profile_images/1808342755283795968/49zwrGUX_400x400.jpg" TargetMode="External"/><Relationship Id="rId2390" Type="http://schemas.openxmlformats.org/officeDocument/2006/relationships/hyperlink" Target="https://x.com/AltcoinDailyio/status/1879369476862517421" TargetMode="External"/><Relationship Id="rId3027" Type="http://schemas.openxmlformats.org/officeDocument/2006/relationships/hyperlink" Target="https://x.com/crypto_birb/status/1877470418065383530" TargetMode="External"/><Relationship Id="rId3234" Type="http://schemas.openxmlformats.org/officeDocument/2006/relationships/hyperlink" Target="https://pbs.twimg.com/profile_images/1751922623464787968/8xa4JKTE_normal.jpg" TargetMode="External"/><Relationship Id="rId3441" Type="http://schemas.openxmlformats.org/officeDocument/2006/relationships/hyperlink" Target="https://pbs.twimg.com/profile_images/1858105906652758016/cv_wXIdX_normal.jpg" TargetMode="External"/><Relationship Id="rId155" Type="http://schemas.openxmlformats.org/officeDocument/2006/relationships/hyperlink" Target="https://www.cookie.fun/chains/solana.svg" TargetMode="External"/><Relationship Id="rId362" Type="http://schemas.openxmlformats.org/officeDocument/2006/relationships/hyperlink" Target="https://pbs.twimg.com/profile_images/1858839478275641344/gJakrHzQ_400x400.jpg" TargetMode="External"/><Relationship Id="rId2043" Type="http://schemas.openxmlformats.org/officeDocument/2006/relationships/hyperlink" Target="https://www.cookie.fun/agent/voyager-ai" TargetMode="External"/><Relationship Id="rId2250" Type="http://schemas.openxmlformats.org/officeDocument/2006/relationships/hyperlink" Target="https://www.cookie.fun/agent/big-dataset" TargetMode="External"/><Relationship Id="rId3301" Type="http://schemas.openxmlformats.org/officeDocument/2006/relationships/hyperlink" Target="https://pbs.twimg.com/profile_images/1554027145420500992/0oOUOv6L_normal.jpg" TargetMode="External"/><Relationship Id="rId222" Type="http://schemas.openxmlformats.org/officeDocument/2006/relationships/hyperlink" Target="https://pbs.twimg.com/profile_images/1876821036496261120/39-tfCPS_400x400.jpg" TargetMode="External"/><Relationship Id="rId2110" Type="http://schemas.openxmlformats.org/officeDocument/2006/relationships/hyperlink" Target="https://pbs.twimg.com/profile_images/1863700014704250880/j73yXjvA_400x400.jpg" TargetMode="External"/><Relationship Id="rId4075" Type="http://schemas.openxmlformats.org/officeDocument/2006/relationships/hyperlink" Target="https://www.cookie.fun/chains/solana.svg" TargetMode="External"/><Relationship Id="rId1669" Type="http://schemas.openxmlformats.org/officeDocument/2006/relationships/hyperlink" Target="https://www.cookie.fun/agent/stonks" TargetMode="External"/><Relationship Id="rId1876" Type="http://schemas.openxmlformats.org/officeDocument/2006/relationships/hyperlink" Target="https://www.cookie.fun/agent/now-whats-going-to-happen-is-" TargetMode="External"/><Relationship Id="rId2927" Type="http://schemas.openxmlformats.org/officeDocument/2006/relationships/hyperlink" Target="https://pbs.twimg.com/profile_images/1643341037891403778/tAsgiU_0_normal.jpg" TargetMode="External"/><Relationship Id="rId3091" Type="http://schemas.openxmlformats.org/officeDocument/2006/relationships/hyperlink" Target="https://x.com/ghost93_x/status/1877784258296635686" TargetMode="External"/><Relationship Id="rId4142" Type="http://schemas.openxmlformats.org/officeDocument/2006/relationships/hyperlink" Target="https://www.cookie.fun/agent/shaw-a" TargetMode="External"/><Relationship Id="rId1529" Type="http://schemas.openxmlformats.org/officeDocument/2006/relationships/hyperlink" Target="https://pbs.twimg.com/profile_images/1858616507414069248/PMKo6Ji-_400x400.jpg" TargetMode="External"/><Relationship Id="rId1736" Type="http://schemas.openxmlformats.org/officeDocument/2006/relationships/hyperlink" Target="https://pbs.twimg.com/profile_images/1874250979131932672/gBHRBVee_400x400.jpg" TargetMode="External"/><Relationship Id="rId1943" Type="http://schemas.openxmlformats.org/officeDocument/2006/relationships/hyperlink" Target="https://pbs.twimg.com/profile_images/1876342311912644609/QxGsX41J_400x400.jpg" TargetMode="External"/><Relationship Id="rId28" Type="http://schemas.openxmlformats.org/officeDocument/2006/relationships/hyperlink" Target="https://www.cookie.fun/chains/solana.svg" TargetMode="External"/><Relationship Id="rId1803" Type="http://schemas.openxmlformats.org/officeDocument/2006/relationships/hyperlink" Target="https://www.cookie.fun/chains/base.svg" TargetMode="External"/><Relationship Id="rId4002" Type="http://schemas.openxmlformats.org/officeDocument/2006/relationships/hyperlink" Target="https://www.cookie.fun/chains/base.svg" TargetMode="External"/><Relationship Id="rId3768" Type="http://schemas.openxmlformats.org/officeDocument/2006/relationships/hyperlink" Target="https://www.cookie.fun/chains/base.svg" TargetMode="External"/><Relationship Id="rId3975" Type="http://schemas.openxmlformats.org/officeDocument/2006/relationships/hyperlink" Target="https://www.cookie.fun/chains/solana.svg" TargetMode="External"/><Relationship Id="rId689" Type="http://schemas.openxmlformats.org/officeDocument/2006/relationships/hyperlink" Target="https://pbs.twimg.com/profile_images/1857454082648141824/9zWEEvbg_400x400.jpg" TargetMode="External"/><Relationship Id="rId896" Type="http://schemas.openxmlformats.org/officeDocument/2006/relationships/hyperlink" Target="https://pbs.twimg.com/profile_images/1850247872551301120/aTj9kQV4_400x400.jpg" TargetMode="External"/><Relationship Id="rId2577" Type="http://schemas.openxmlformats.org/officeDocument/2006/relationships/hyperlink" Target="https://pbs.twimg.com/profile_images/1556492962951045120/I1b7rAnk_normal.jpg" TargetMode="External"/><Relationship Id="rId2784" Type="http://schemas.openxmlformats.org/officeDocument/2006/relationships/hyperlink" Target="https://pbs.twimg.com/profile_images/1878903920967208960/PZoE1Siw_normal.jpg" TargetMode="External"/><Relationship Id="rId3628" Type="http://schemas.openxmlformats.org/officeDocument/2006/relationships/hyperlink" Target="https://pbs.twimg.com/profile_images/1735599963969556481/YxZMdKMn_normal.jpg" TargetMode="External"/><Relationship Id="rId549" Type="http://schemas.openxmlformats.org/officeDocument/2006/relationships/hyperlink" Target="https://pbs.twimg.com/profile_images/1875700448385974272/bdvHscGj_400x400.jpg" TargetMode="External"/><Relationship Id="rId756" Type="http://schemas.openxmlformats.org/officeDocument/2006/relationships/hyperlink" Target="https://www.cookie.fun/chains/solana.svg" TargetMode="External"/><Relationship Id="rId1179" Type="http://schemas.openxmlformats.org/officeDocument/2006/relationships/hyperlink" Target="https://www.cookie.fun/chains/solana.svg" TargetMode="External"/><Relationship Id="rId1386" Type="http://schemas.openxmlformats.org/officeDocument/2006/relationships/hyperlink" Target="https://www.cookie.fun/chains/solana.svg" TargetMode="External"/><Relationship Id="rId1593" Type="http://schemas.openxmlformats.org/officeDocument/2006/relationships/hyperlink" Target="https://www.cookie.fun/chains/solana.svg" TargetMode="External"/><Relationship Id="rId2437" Type="http://schemas.openxmlformats.org/officeDocument/2006/relationships/hyperlink" Target="https://pbs.twimg.com/profile_images/1721158078765424640/hFrzagyZ_normal.jpg" TargetMode="External"/><Relationship Id="rId2991" Type="http://schemas.openxmlformats.org/officeDocument/2006/relationships/hyperlink" Target="https://x.com/KevinSusanto/status/1877955650145206280" TargetMode="External"/><Relationship Id="rId3835" Type="http://schemas.openxmlformats.org/officeDocument/2006/relationships/hyperlink" Target="https://x.com/mikeygnft/status/1877810566959714317" TargetMode="External"/><Relationship Id="rId409" Type="http://schemas.openxmlformats.org/officeDocument/2006/relationships/hyperlink" Target="https://www.cookie.fun/agent/seed" TargetMode="External"/><Relationship Id="rId963" Type="http://schemas.openxmlformats.org/officeDocument/2006/relationships/hyperlink" Target="https://www.cookie.fun/chains/base.svg" TargetMode="External"/><Relationship Id="rId1039" Type="http://schemas.openxmlformats.org/officeDocument/2006/relationships/hyperlink" Target="https://www.cookie.fun/agent/dai" TargetMode="External"/><Relationship Id="rId1246" Type="http://schemas.openxmlformats.org/officeDocument/2006/relationships/hyperlink" Target="https://www.cookie.fun/agent/wain" TargetMode="External"/><Relationship Id="rId2644" Type="http://schemas.openxmlformats.org/officeDocument/2006/relationships/hyperlink" Target="https://pbs.twimg.com/profile_images/1862642121066303488/Gdodc8mO_400x400.jpg" TargetMode="External"/><Relationship Id="rId2851" Type="http://schemas.openxmlformats.org/officeDocument/2006/relationships/hyperlink" Target="https://pbs.twimg.com/profile_images/1385902238619475969/OFF9YmX9_normal.jpg" TargetMode="External"/><Relationship Id="rId3902" Type="http://schemas.openxmlformats.org/officeDocument/2006/relationships/hyperlink" Target="https://x.com/BiteyeCN/status/1877249880021942569" TargetMode="External"/><Relationship Id="rId92" Type="http://schemas.openxmlformats.org/officeDocument/2006/relationships/hyperlink" Target="https://x.com/carlosroldanx/status/1877633770729218128" TargetMode="External"/><Relationship Id="rId616" Type="http://schemas.openxmlformats.org/officeDocument/2006/relationships/hyperlink" Target="https://www.cookie.fun/agent/keep-gambling-ai" TargetMode="External"/><Relationship Id="rId823" Type="http://schemas.openxmlformats.org/officeDocument/2006/relationships/hyperlink" Target="https://www.cookie.fun/agent/micall-jeetson" TargetMode="External"/><Relationship Id="rId1453" Type="http://schemas.openxmlformats.org/officeDocument/2006/relationships/hyperlink" Target="https://www.cookie.fun/agent/arch" TargetMode="External"/><Relationship Id="rId1660" Type="http://schemas.openxmlformats.org/officeDocument/2006/relationships/hyperlink" Target="https://www.cookie.fun/agent/ainakin" TargetMode="External"/><Relationship Id="rId2504" Type="http://schemas.openxmlformats.org/officeDocument/2006/relationships/hyperlink" Target="https://x.com/RealKatoOG/status/1878447377373102248" TargetMode="External"/><Relationship Id="rId2711" Type="http://schemas.openxmlformats.org/officeDocument/2006/relationships/hyperlink" Target="https://pbs.twimg.com/profile_images/1762381335791054848/mSMeyQDS_normal.jpg" TargetMode="External"/><Relationship Id="rId1106" Type="http://schemas.openxmlformats.org/officeDocument/2006/relationships/hyperlink" Target="https://pbs.twimg.com/profile_images/1867298756485406720/qQQpu-sg_400x400.jpg" TargetMode="External"/><Relationship Id="rId1313" Type="http://schemas.openxmlformats.org/officeDocument/2006/relationships/hyperlink" Target="https://pbs.twimg.com/profile_images/1845984207924809728/3bJqMf6E_400x400.jpg" TargetMode="External"/><Relationship Id="rId1520" Type="http://schemas.openxmlformats.org/officeDocument/2006/relationships/hyperlink" Target="https://pbs.twimg.com/profile_images/1858629235276984320/gG_IPaBU_400x400.jpg" TargetMode="External"/><Relationship Id="rId3278" Type="http://schemas.openxmlformats.org/officeDocument/2006/relationships/hyperlink" Target="https://pbs.twimg.com/profile_images/1727082596507762688/u1y5wTSG_normal.jpg" TargetMode="External"/><Relationship Id="rId3485" Type="http://schemas.openxmlformats.org/officeDocument/2006/relationships/hyperlink" Target="https://www.cookie.fun/chains/base.svg" TargetMode="External"/><Relationship Id="rId3692" Type="http://schemas.openxmlformats.org/officeDocument/2006/relationships/hyperlink" Target="https://www.cookie.fun/chains/solana.svg" TargetMode="External"/><Relationship Id="rId199" Type="http://schemas.openxmlformats.org/officeDocument/2006/relationships/hyperlink" Target="https://pbs.twimg.com/profile_images/1868980870117462016/pOpIJMYV_400x400.png" TargetMode="External"/><Relationship Id="rId2087" Type="http://schemas.openxmlformats.org/officeDocument/2006/relationships/hyperlink" Target="https://pbs.twimg.com/profile_images/1869274958322348032/YjeA38AX_400x400.jpg" TargetMode="External"/><Relationship Id="rId2294" Type="http://schemas.openxmlformats.org/officeDocument/2006/relationships/hyperlink" Target="https://x.com/shitc0in/status/1877059278969721240" TargetMode="External"/><Relationship Id="rId3138" Type="http://schemas.openxmlformats.org/officeDocument/2006/relationships/hyperlink" Target="https://pbs.twimg.com/profile_images/1765921509879537664/dAebweUc_normal.jpg" TargetMode="External"/><Relationship Id="rId3345" Type="http://schemas.openxmlformats.org/officeDocument/2006/relationships/hyperlink" Target="https://www.cookie.fun/agent/athena" TargetMode="External"/><Relationship Id="rId3552" Type="http://schemas.openxmlformats.org/officeDocument/2006/relationships/hyperlink" Target="https://pbs.twimg.com/profile_images/1878553991627571200/YR-0U5Dl_normal.jpg" TargetMode="External"/><Relationship Id="rId266" Type="http://schemas.openxmlformats.org/officeDocument/2006/relationships/hyperlink" Target="https://pbs.twimg.com/profile_images/1847733407994044416/eNYj60mJ_400x400.jpg" TargetMode="External"/><Relationship Id="rId473" Type="http://schemas.openxmlformats.org/officeDocument/2006/relationships/hyperlink" Target="https://www.cookie.fun/agent/aitheism" TargetMode="External"/><Relationship Id="rId680" Type="http://schemas.openxmlformats.org/officeDocument/2006/relationships/hyperlink" Target="https://pbs.twimg.com/profile_images/1859395679233191936/cstGTmNF_400x400.jpg" TargetMode="External"/><Relationship Id="rId2154" Type="http://schemas.openxmlformats.org/officeDocument/2006/relationships/hyperlink" Target="https://www.cookie.fun/agent/decentralized-polling" TargetMode="External"/><Relationship Id="rId2361" Type="http://schemas.openxmlformats.org/officeDocument/2006/relationships/hyperlink" Target="https://pbs.twimg.com/profile_images/1478130385116672008/kpiOx18X_normal.jpg" TargetMode="External"/><Relationship Id="rId3205" Type="http://schemas.openxmlformats.org/officeDocument/2006/relationships/hyperlink" Target="https://pbs.twimg.com/profile_images/1859879045640458240/9YuZWd1e_400x400.jpg" TargetMode="External"/><Relationship Id="rId3412" Type="http://schemas.openxmlformats.org/officeDocument/2006/relationships/hyperlink" Target="https://pbs.twimg.com/profile_images/1551771778472497152/ocyqhsbm_normal.jpg" TargetMode="External"/><Relationship Id="rId126" Type="http://schemas.openxmlformats.org/officeDocument/2006/relationships/hyperlink" Target="https://pbs.twimg.com/profile_images/1658157387059015692/OU-FKNkf_normal.png" TargetMode="External"/><Relationship Id="rId333" Type="http://schemas.openxmlformats.org/officeDocument/2006/relationships/hyperlink" Target="https://www.cookie.fun/chains/solana.svg" TargetMode="External"/><Relationship Id="rId540" Type="http://schemas.openxmlformats.org/officeDocument/2006/relationships/hyperlink" Target="https://pbs.twimg.com/profile_images/1864858210190159873/V8HmmkFW_400x400.jpg" TargetMode="External"/><Relationship Id="rId1170" Type="http://schemas.openxmlformats.org/officeDocument/2006/relationships/hyperlink" Target="https://www.cookie.fun/chains/solana.svg" TargetMode="External"/><Relationship Id="rId2014" Type="http://schemas.openxmlformats.org/officeDocument/2006/relationships/hyperlink" Target="https://www.cookie.fun/agent/neoai-sentinel" TargetMode="External"/><Relationship Id="rId2221" Type="http://schemas.openxmlformats.org/officeDocument/2006/relationships/hyperlink" Target="https://pbs.twimg.com/profile_images/1464997389463216139/dMf5cyMw_400x400.jpg" TargetMode="External"/><Relationship Id="rId1030" Type="http://schemas.openxmlformats.org/officeDocument/2006/relationships/hyperlink" Target="https://www.cookie.fun/agent/aries" TargetMode="External"/><Relationship Id="rId400" Type="http://schemas.openxmlformats.org/officeDocument/2006/relationships/hyperlink" Target="https://www.cookie.fun/agent/the-css-god-websim" TargetMode="External"/><Relationship Id="rId1987" Type="http://schemas.openxmlformats.org/officeDocument/2006/relationships/hyperlink" Target="https://www.cookie.fun/agent/alexander-the-great" TargetMode="External"/><Relationship Id="rId1847" Type="http://schemas.openxmlformats.org/officeDocument/2006/relationships/hyperlink" Target="https://pbs.twimg.com/profile_images/1878688629653962752/w72EuSPW_400x400.jpg" TargetMode="External"/><Relationship Id="rId4046" Type="http://schemas.openxmlformats.org/officeDocument/2006/relationships/hyperlink" Target="https://pbs.twimg.com/profile_images/1721223882185609216/L-GbNfgb_400x400.jpg" TargetMode="External"/><Relationship Id="rId1707" Type="http://schemas.openxmlformats.org/officeDocument/2006/relationships/hyperlink" Target="https://www.cookie.fun/chains/solana.svg" TargetMode="External"/><Relationship Id="rId3062" Type="http://schemas.openxmlformats.org/officeDocument/2006/relationships/hyperlink" Target="https://x.com/gem_insider/status/1879106433997824460" TargetMode="External"/><Relationship Id="rId4113" Type="http://schemas.openxmlformats.org/officeDocument/2006/relationships/hyperlink" Target="https://pbs.twimg.com/profile_images/1860006888391208960/lKWOEJfV_normal.jpg" TargetMode="External"/><Relationship Id="rId190" Type="http://schemas.openxmlformats.org/officeDocument/2006/relationships/hyperlink" Target="https://pbs.twimg.com/profile_images/1873088763234054144/kPQQsH1G_400x400.jpg" TargetMode="External"/><Relationship Id="rId1914" Type="http://schemas.openxmlformats.org/officeDocument/2006/relationships/hyperlink" Target="https://www.cookie.fun/chains/base.svg" TargetMode="External"/><Relationship Id="rId3879" Type="http://schemas.openxmlformats.org/officeDocument/2006/relationships/hyperlink" Target="https://pbs.twimg.com/profile_images/1876631199529267200/IG_L7xhT_normal.jpg" TargetMode="External"/><Relationship Id="rId2688" Type="http://schemas.openxmlformats.org/officeDocument/2006/relationships/hyperlink" Target="https://x.com/jakegallen_/status/1878968958310908144" TargetMode="External"/><Relationship Id="rId2895" Type="http://schemas.openxmlformats.org/officeDocument/2006/relationships/hyperlink" Target="https://x.com/rektmando/status/1877690784335442164" TargetMode="External"/><Relationship Id="rId3739" Type="http://schemas.openxmlformats.org/officeDocument/2006/relationships/hyperlink" Target="https://x.com/keoneHD/status/1878966985998143807" TargetMode="External"/><Relationship Id="rId3946" Type="http://schemas.openxmlformats.org/officeDocument/2006/relationships/hyperlink" Target="https://pbs.twimg.com/profile_images/1838171247894466560/dUd0KCBj_normal.jpg" TargetMode="External"/><Relationship Id="rId867" Type="http://schemas.openxmlformats.org/officeDocument/2006/relationships/hyperlink" Target="https://www.cookie.fun/chains/base.svg" TargetMode="External"/><Relationship Id="rId1497" Type="http://schemas.openxmlformats.org/officeDocument/2006/relationships/hyperlink" Target="https://www.cookie.fun/chains/solana.svg" TargetMode="External"/><Relationship Id="rId2548" Type="http://schemas.openxmlformats.org/officeDocument/2006/relationships/hyperlink" Target="https://pbs.twimg.com/profile_images/1849948665722359808/uXMAoDxQ_400x400.jpg" TargetMode="External"/><Relationship Id="rId2755" Type="http://schemas.openxmlformats.org/officeDocument/2006/relationships/hyperlink" Target="https://pbs.twimg.com/profile_images/1840810814007361536/oD64ED8g_normal.jpg" TargetMode="External"/><Relationship Id="rId2962" Type="http://schemas.openxmlformats.org/officeDocument/2006/relationships/hyperlink" Target="https://x.com/CryptoEmpressX/status/1879309762359337310" TargetMode="External"/><Relationship Id="rId3806" Type="http://schemas.openxmlformats.org/officeDocument/2006/relationships/hyperlink" Target="https://pbs.twimg.com/profile_images/1873962009450209284/0BAeU0-V_400x400.jpg" TargetMode="External"/><Relationship Id="rId727" Type="http://schemas.openxmlformats.org/officeDocument/2006/relationships/hyperlink" Target="https://www.cookie.fun/agent/pepe-few" TargetMode="External"/><Relationship Id="rId934" Type="http://schemas.openxmlformats.org/officeDocument/2006/relationships/hyperlink" Target="https://www.cookie.fun/agent/ata" TargetMode="External"/><Relationship Id="rId1357" Type="http://schemas.openxmlformats.org/officeDocument/2006/relationships/hyperlink" Target="https://www.cookie.fun/agent/spec" TargetMode="External"/><Relationship Id="rId1564" Type="http://schemas.openxmlformats.org/officeDocument/2006/relationships/hyperlink" Target="https://www.cookie.fun/agent/trap" TargetMode="External"/><Relationship Id="rId1771" Type="http://schemas.openxmlformats.org/officeDocument/2006/relationships/hyperlink" Target="https://www.cookie.fun/agent/saver-by-deal-hunter" TargetMode="External"/><Relationship Id="rId2408" Type="http://schemas.openxmlformats.org/officeDocument/2006/relationships/hyperlink" Target="https://x.com/DamiDefi/status/1877289182391054729" TargetMode="External"/><Relationship Id="rId2615" Type="http://schemas.openxmlformats.org/officeDocument/2006/relationships/hyperlink" Target="https://pbs.twimg.com/profile_images/1839737518058790912/z6Kr5LQb_normal.jpg" TargetMode="External"/><Relationship Id="rId2822" Type="http://schemas.openxmlformats.org/officeDocument/2006/relationships/hyperlink" Target="https://www.cookie.fun/agent/hiero" TargetMode="External"/><Relationship Id="rId63" Type="http://schemas.openxmlformats.org/officeDocument/2006/relationships/hyperlink" Target="https://www.cookie.fun/chains/base.svg" TargetMode="External"/><Relationship Id="rId1217" Type="http://schemas.openxmlformats.org/officeDocument/2006/relationships/hyperlink" Target="https://pbs.twimg.com/profile_images/1863316778731909120/wxrs77EC_400x400.jpg" TargetMode="External"/><Relationship Id="rId1424" Type="http://schemas.openxmlformats.org/officeDocument/2006/relationships/hyperlink" Target="https://pbs.twimg.com/profile_images/1859006661865717761/4JnqB6Ay_400x400.jpg" TargetMode="External"/><Relationship Id="rId1631" Type="http://schemas.openxmlformats.org/officeDocument/2006/relationships/hyperlink" Target="https://pbs.twimg.com/profile_images/1858297836246548480/mYjUE8Wy_400x400.jpg" TargetMode="External"/><Relationship Id="rId3389" Type="http://schemas.openxmlformats.org/officeDocument/2006/relationships/hyperlink" Target="https://x.com/WeArePlanetMojo/status/1879524748062781516" TargetMode="External"/><Relationship Id="rId3596" Type="http://schemas.openxmlformats.org/officeDocument/2006/relationships/hyperlink" Target="https://pbs.twimg.com/profile_images/1795944646754861056/BvLWDVYq_normal.jpg" TargetMode="External"/><Relationship Id="rId2198" Type="http://schemas.openxmlformats.org/officeDocument/2006/relationships/hyperlink" Target="https://www.cookie.fun/agent/mon-ai" TargetMode="External"/><Relationship Id="rId3249" Type="http://schemas.openxmlformats.org/officeDocument/2006/relationships/hyperlink" Target="https://pbs.twimg.com/profile_images/1862938288262172672/IEA0yl0X_normal.jpg" TargetMode="External"/><Relationship Id="rId3456" Type="http://schemas.openxmlformats.org/officeDocument/2006/relationships/hyperlink" Target="https://www.cookie.fun/chains/solana.svg" TargetMode="External"/><Relationship Id="rId377" Type="http://schemas.openxmlformats.org/officeDocument/2006/relationships/hyperlink" Target="https://pbs.twimg.com/profile_images/1849680989519290369/vDGjiT9c_400x400.jpg" TargetMode="External"/><Relationship Id="rId584" Type="http://schemas.openxmlformats.org/officeDocument/2006/relationships/hyperlink" Target="https://www.cookie.fun/agent/gilgamesh" TargetMode="External"/><Relationship Id="rId2058" Type="http://schemas.openxmlformats.org/officeDocument/2006/relationships/hyperlink" Target="https://www.cookie.fun/chains/solana.svg" TargetMode="External"/><Relationship Id="rId2265" Type="http://schemas.openxmlformats.org/officeDocument/2006/relationships/hyperlink" Target="https://pbs.twimg.com/profile_images/1748085010844844032/lao0fmfa_normal.jpg" TargetMode="External"/><Relationship Id="rId3109" Type="http://schemas.openxmlformats.org/officeDocument/2006/relationships/hyperlink" Target="https://pbs.twimg.com/profile_images/1855533647324913664/lQ3i5qLX_normal.jpg" TargetMode="External"/><Relationship Id="rId3663" Type="http://schemas.openxmlformats.org/officeDocument/2006/relationships/hyperlink" Target="https://www.cookie.fun/chains/base.svg" TargetMode="External"/><Relationship Id="rId3870" Type="http://schemas.openxmlformats.org/officeDocument/2006/relationships/hyperlink" Target="https://www.cookie.fun/agent/kira-kuru" TargetMode="External"/><Relationship Id="rId237" Type="http://schemas.openxmlformats.org/officeDocument/2006/relationships/hyperlink" Target="https://pbs.twimg.com/profile_images/1841738662289022976/tFgNpuYO_400x400.jpg" TargetMode="External"/><Relationship Id="rId791" Type="http://schemas.openxmlformats.org/officeDocument/2006/relationships/hyperlink" Target="https://pbs.twimg.com/profile_images/1858760173705113600/YoofrlAM_400x400.jpg" TargetMode="External"/><Relationship Id="rId1074" Type="http://schemas.openxmlformats.org/officeDocument/2006/relationships/hyperlink" Target="https://www.cookie.fun/chains/solana.svg" TargetMode="External"/><Relationship Id="rId2472" Type="http://schemas.openxmlformats.org/officeDocument/2006/relationships/hyperlink" Target="https://x.com/gem_insider/status/1878322768904593777" TargetMode="External"/><Relationship Id="rId3316" Type="http://schemas.openxmlformats.org/officeDocument/2006/relationships/hyperlink" Target="https://x.com/cryptotutor/status/1877099193723920750" TargetMode="External"/><Relationship Id="rId3523" Type="http://schemas.openxmlformats.org/officeDocument/2006/relationships/hyperlink" Target="https://x.com/aGANVogh/status/1877749017636991424" TargetMode="External"/><Relationship Id="rId3730" Type="http://schemas.openxmlformats.org/officeDocument/2006/relationships/hyperlink" Target="https://pbs.twimg.com/profile_images/1790193372658892800/siI4rPdY_normal.jpg" TargetMode="External"/><Relationship Id="rId444" Type="http://schemas.openxmlformats.org/officeDocument/2006/relationships/hyperlink" Target="https://pbs.twimg.com/profile_images/1847690733312000000/blAMF1S3_400x400.jpg" TargetMode="External"/><Relationship Id="rId651" Type="http://schemas.openxmlformats.org/officeDocument/2006/relationships/hyperlink" Target="https://www.cookie.fun/chains/base.svg" TargetMode="External"/><Relationship Id="rId1281" Type="http://schemas.openxmlformats.org/officeDocument/2006/relationships/hyperlink" Target="https://www.cookie.fun/chains/solana.svg" TargetMode="External"/><Relationship Id="rId2125" Type="http://schemas.openxmlformats.org/officeDocument/2006/relationships/hyperlink" Target="https://www.cookie.fun/agent/pumprock" TargetMode="External"/><Relationship Id="rId2332" Type="http://schemas.openxmlformats.org/officeDocument/2006/relationships/hyperlink" Target="https://pbs.twimg.com/profile_images/1852859162268676096/qtdkg94S_400x400.jpg" TargetMode="External"/><Relationship Id="rId304" Type="http://schemas.openxmlformats.org/officeDocument/2006/relationships/hyperlink" Target="https://www.cookie.fun/agent/kizuna" TargetMode="External"/><Relationship Id="rId511" Type="http://schemas.openxmlformats.org/officeDocument/2006/relationships/hyperlink" Target="https://www.cookie.fun/chains/base.svg" TargetMode="External"/><Relationship Id="rId1141" Type="http://schemas.openxmlformats.org/officeDocument/2006/relationships/hyperlink" Target="https://www.cookie.fun/agent/mofa" TargetMode="External"/><Relationship Id="rId1001" Type="http://schemas.openxmlformats.org/officeDocument/2006/relationships/hyperlink" Target="https://pbs.twimg.com/profile_images/1873761374813237248/Ji22Gqf8_400x400.jpg" TargetMode="External"/><Relationship Id="rId4157" Type="http://schemas.openxmlformats.org/officeDocument/2006/relationships/hyperlink" Target="https://www.cookie.fun/agent/degenc" TargetMode="External"/><Relationship Id="rId1958" Type="http://schemas.openxmlformats.org/officeDocument/2006/relationships/hyperlink" Target="https://pbs.twimg.com/profile_images/1876558521753579522/cBUAxGBf_400x400.jpg" TargetMode="External"/><Relationship Id="rId3173" Type="http://schemas.openxmlformats.org/officeDocument/2006/relationships/hyperlink" Target="https://pbs.twimg.com/profile_images/1478130385116672008/kpiOx18X_normal.jpg" TargetMode="External"/><Relationship Id="rId3380" Type="http://schemas.openxmlformats.org/officeDocument/2006/relationships/hyperlink" Target="https://www.cookie.fun/agent/gam3s-gg" TargetMode="External"/><Relationship Id="rId4017" Type="http://schemas.openxmlformats.org/officeDocument/2006/relationships/hyperlink" Target="https://www.cookie.fun/chains/base.svg" TargetMode="External"/><Relationship Id="rId1818" Type="http://schemas.openxmlformats.org/officeDocument/2006/relationships/hyperlink" Target="https://www.cookie.fun/chains/base.svg" TargetMode="External"/><Relationship Id="rId3033" Type="http://schemas.openxmlformats.org/officeDocument/2006/relationships/hyperlink" Target="https://x.com/flashst3p/status/1879351213894025229" TargetMode="External"/><Relationship Id="rId3240" Type="http://schemas.openxmlformats.org/officeDocument/2006/relationships/hyperlink" Target="https://pbs.twimg.com/profile_images/1876197832148885504/7It1TBsX_normal.jpg" TargetMode="External"/><Relationship Id="rId161" Type="http://schemas.openxmlformats.org/officeDocument/2006/relationships/hyperlink" Target="https://www.cookie.fun/chains/solana.svg" TargetMode="External"/><Relationship Id="rId2799" Type="http://schemas.openxmlformats.org/officeDocument/2006/relationships/hyperlink" Target="https://pbs.twimg.com/profile_images/1444976013205704704/rczJjKX0_400x400.jpg" TargetMode="External"/><Relationship Id="rId3100" Type="http://schemas.openxmlformats.org/officeDocument/2006/relationships/hyperlink" Target="https://pbs.twimg.com/profile_images/1850843316776038400/YaQdhoc-_400x400.jpg" TargetMode="External"/><Relationship Id="rId978" Type="http://schemas.openxmlformats.org/officeDocument/2006/relationships/hyperlink" Target="https://www.cookie.fun/chains/base.svg" TargetMode="External"/><Relationship Id="rId2659" Type="http://schemas.openxmlformats.org/officeDocument/2006/relationships/hyperlink" Target="https://pbs.twimg.com/profile_images/1820857147430772736/_FKO54r0_normal.jpg" TargetMode="External"/><Relationship Id="rId2866" Type="http://schemas.openxmlformats.org/officeDocument/2006/relationships/hyperlink" Target="https://x.com/RyzeLabs/status/1879178384091091221" TargetMode="External"/><Relationship Id="rId3917" Type="http://schemas.openxmlformats.org/officeDocument/2006/relationships/hyperlink" Target="https://www.cookie.fun/agent/omni" TargetMode="External"/><Relationship Id="rId838" Type="http://schemas.openxmlformats.org/officeDocument/2006/relationships/hyperlink" Target="https://www.cookie.fun/agent/manic-planter" TargetMode="External"/><Relationship Id="rId1468" Type="http://schemas.openxmlformats.org/officeDocument/2006/relationships/hyperlink" Target="https://www.cookie.fun/agent/007" TargetMode="External"/><Relationship Id="rId1675" Type="http://schemas.openxmlformats.org/officeDocument/2006/relationships/hyperlink" Target="https://www.cookie.fun/agent/aileen" TargetMode="External"/><Relationship Id="rId1882" Type="http://schemas.openxmlformats.org/officeDocument/2006/relationships/hyperlink" Target="https://www.cookie.fun/agent/titan" TargetMode="External"/><Relationship Id="rId2519" Type="http://schemas.openxmlformats.org/officeDocument/2006/relationships/hyperlink" Target="https://pbs.twimg.com/profile_images/1674739316759592960/t1-QC5HS_normal.png" TargetMode="External"/><Relationship Id="rId2726" Type="http://schemas.openxmlformats.org/officeDocument/2006/relationships/hyperlink" Target="https://x.com/CryptoGrills/status/1879309314411954227" TargetMode="External"/><Relationship Id="rId4081" Type="http://schemas.openxmlformats.org/officeDocument/2006/relationships/hyperlink" Target="https://x.com/alfaketchum/status/1879184657314660582" TargetMode="External"/><Relationship Id="rId1328" Type="http://schemas.openxmlformats.org/officeDocument/2006/relationships/hyperlink" Target="https://pbs.twimg.com/profile_images/1860483435359252480/otJe-QXA_400x400.jpg" TargetMode="External"/><Relationship Id="rId1535" Type="http://schemas.openxmlformats.org/officeDocument/2006/relationships/hyperlink" Target="https://pbs.twimg.com/profile_images/1858597240207708160/mC8cY-Fp_400x400.jpg" TargetMode="External"/><Relationship Id="rId2933" Type="http://schemas.openxmlformats.org/officeDocument/2006/relationships/hyperlink" Target="https://www.cookie.fun/chains/solana.svg" TargetMode="External"/><Relationship Id="rId905" Type="http://schemas.openxmlformats.org/officeDocument/2006/relationships/hyperlink" Target="https://pbs.twimg.com/profile_images/1871454653046775808/fknAZe0A_400x400.jpg" TargetMode="External"/><Relationship Id="rId1742" Type="http://schemas.openxmlformats.org/officeDocument/2006/relationships/hyperlink" Target="https://pbs.twimg.com/profile_images/1873856744675311616/2bryCd9i_400x400.jpg" TargetMode="External"/><Relationship Id="rId34" Type="http://schemas.openxmlformats.org/officeDocument/2006/relationships/hyperlink" Target="https://www.cookie.fun/chains/base.svg" TargetMode="External"/><Relationship Id="rId1602" Type="http://schemas.openxmlformats.org/officeDocument/2006/relationships/hyperlink" Target="https://www.cookie.fun/chains/solana.svg" TargetMode="External"/><Relationship Id="rId3567" Type="http://schemas.openxmlformats.org/officeDocument/2006/relationships/hyperlink" Target="https://pbs.twimg.com/profile_images/1863031279479840768/FuVR6qEf_400x400.jpg" TargetMode="External"/><Relationship Id="rId3774" Type="http://schemas.openxmlformats.org/officeDocument/2006/relationships/hyperlink" Target="https://pbs.twimg.com/profile_images/1865702842658353153/_5DNApE2_400x400.jpg" TargetMode="External"/><Relationship Id="rId3981" Type="http://schemas.openxmlformats.org/officeDocument/2006/relationships/hyperlink" Target="https://x.com/agnesrium/status/1878673536753267023" TargetMode="External"/><Relationship Id="rId488" Type="http://schemas.openxmlformats.org/officeDocument/2006/relationships/hyperlink" Target="https://www.cookie.fun/agent/waifu-buzz" TargetMode="External"/><Relationship Id="rId695" Type="http://schemas.openxmlformats.org/officeDocument/2006/relationships/hyperlink" Target="https://pbs.twimg.com/profile_images/1873221047605981184/ElsV_vrz_400x400.jpg" TargetMode="External"/><Relationship Id="rId2169" Type="http://schemas.openxmlformats.org/officeDocument/2006/relationships/hyperlink" Target="https://pbs.twimg.com/profile_images/1869360734334783488/JocTJwVc_400x400.jpg" TargetMode="External"/><Relationship Id="rId2376" Type="http://schemas.openxmlformats.org/officeDocument/2006/relationships/hyperlink" Target="https://x.com/Ashcryptoreal/status/1877347684559782273" TargetMode="External"/><Relationship Id="rId2583" Type="http://schemas.openxmlformats.org/officeDocument/2006/relationships/hyperlink" Target="https://www.cookie.fun/agent/gnon-on-solana-gnon" TargetMode="External"/><Relationship Id="rId2790" Type="http://schemas.openxmlformats.org/officeDocument/2006/relationships/hyperlink" Target="https://pbs.twimg.com/profile_images/1571180185709314049/cdNwbv8k_normal.jpg" TargetMode="External"/><Relationship Id="rId3427" Type="http://schemas.openxmlformats.org/officeDocument/2006/relationships/hyperlink" Target="https://pbs.twimg.com/profile_images/1869085516538286080/l3flH4yb_normal.jpg" TargetMode="External"/><Relationship Id="rId3634" Type="http://schemas.openxmlformats.org/officeDocument/2006/relationships/hyperlink" Target="https://pbs.twimg.com/profile_images/1869161954230607872/YOMN889I_normal.jpg" TargetMode="External"/><Relationship Id="rId3841" Type="http://schemas.openxmlformats.org/officeDocument/2006/relationships/hyperlink" Target="https://pbs.twimg.com/profile_images/1838792520542650368/HPI8dlIj_400x400.jpg" TargetMode="External"/><Relationship Id="rId348" Type="http://schemas.openxmlformats.org/officeDocument/2006/relationships/hyperlink" Target="https://www.cookie.fun/chains/solana.svg" TargetMode="External"/><Relationship Id="rId555" Type="http://schemas.openxmlformats.org/officeDocument/2006/relationships/hyperlink" Target="https://pbs.twimg.com/profile_images/1873609549741244416/GAIyKFoH_400x400.png" TargetMode="External"/><Relationship Id="rId762" Type="http://schemas.openxmlformats.org/officeDocument/2006/relationships/hyperlink" Target="https://www.cookie.fun/chains/solana.svg" TargetMode="External"/><Relationship Id="rId1185" Type="http://schemas.openxmlformats.org/officeDocument/2006/relationships/hyperlink" Target="https://www.cookie.fun/chains/solana.svg" TargetMode="External"/><Relationship Id="rId1392" Type="http://schemas.openxmlformats.org/officeDocument/2006/relationships/hyperlink" Target="https://www.cookie.fun/chains/solana.svg" TargetMode="External"/><Relationship Id="rId2029" Type="http://schemas.openxmlformats.org/officeDocument/2006/relationships/hyperlink" Target="https://pbs.twimg.com/profile_images/1879198309417697280/NK6m52IJ_400x400.jpg" TargetMode="External"/><Relationship Id="rId2236" Type="http://schemas.openxmlformats.org/officeDocument/2006/relationships/hyperlink" Target="https://pbs.twimg.com/profile_images/1876161631069016064/EDpXpwUK_400x400.jpg" TargetMode="External"/><Relationship Id="rId2443" Type="http://schemas.openxmlformats.org/officeDocument/2006/relationships/hyperlink" Target="https://pbs.twimg.com/profile_images/1352548197835681793/P8tRO3U2_normal.jpg" TargetMode="External"/><Relationship Id="rId2650" Type="http://schemas.openxmlformats.org/officeDocument/2006/relationships/hyperlink" Target="https://x.com/veratheape/status/1877874699033805308" TargetMode="External"/><Relationship Id="rId3701" Type="http://schemas.openxmlformats.org/officeDocument/2006/relationships/hyperlink" Target="https://x.com/Ellaweb_3/status/1877769345926881449" TargetMode="External"/><Relationship Id="rId208" Type="http://schemas.openxmlformats.org/officeDocument/2006/relationships/hyperlink" Target="https://pbs.twimg.com/profile_images/1848754013531213824/482wZbcb_normal.jpg" TargetMode="External"/><Relationship Id="rId415" Type="http://schemas.openxmlformats.org/officeDocument/2006/relationships/hyperlink" Target="https://www.cookie.fun/agent/morris-ii" TargetMode="External"/><Relationship Id="rId622" Type="http://schemas.openxmlformats.org/officeDocument/2006/relationships/hyperlink" Target="https://www.cookie.fun/agent/hypr" TargetMode="External"/><Relationship Id="rId1045" Type="http://schemas.openxmlformats.org/officeDocument/2006/relationships/hyperlink" Target="https://www.cookie.fun/agent/trumpmas" TargetMode="External"/><Relationship Id="rId1252" Type="http://schemas.openxmlformats.org/officeDocument/2006/relationships/hyperlink" Target="https://www.cookie.fun/agent/hypnotoad" TargetMode="External"/><Relationship Id="rId2303" Type="http://schemas.openxmlformats.org/officeDocument/2006/relationships/hyperlink" Target="https://pbs.twimg.com/profile_images/1679453527100518402/XagGubNX_normal.jpg" TargetMode="External"/><Relationship Id="rId2510" Type="http://schemas.openxmlformats.org/officeDocument/2006/relationships/hyperlink" Target="https://x.com/RealKatoOG/status/1878087985800872285" TargetMode="External"/><Relationship Id="rId1112" Type="http://schemas.openxmlformats.org/officeDocument/2006/relationships/hyperlink" Target="https://pbs.twimg.com/profile_images/1866276039229390849/UvOGK8P2_400x400.jpg" TargetMode="External"/><Relationship Id="rId3077" Type="http://schemas.openxmlformats.org/officeDocument/2006/relationships/hyperlink" Target="https://x.com/0xcryptowizard/status/1877198751263060352" TargetMode="External"/><Relationship Id="rId3284" Type="http://schemas.openxmlformats.org/officeDocument/2006/relationships/hyperlink" Target="https://pbs.twimg.com/profile_images/1860041090197229568/kFhj4Xka_400x400.jpg" TargetMode="External"/><Relationship Id="rId4128" Type="http://schemas.openxmlformats.org/officeDocument/2006/relationships/hyperlink" Target="https://pbs.twimg.com/profile_images/1852077426924457984/iARsWplA_400x400.jpg" TargetMode="External"/><Relationship Id="rId1929" Type="http://schemas.openxmlformats.org/officeDocument/2006/relationships/hyperlink" Target="https://www.cookie.fun/chains/solana.svg" TargetMode="External"/><Relationship Id="rId2093" Type="http://schemas.openxmlformats.org/officeDocument/2006/relationships/hyperlink" Target="https://www.cookie.fun/agent/solanaearphone" TargetMode="External"/><Relationship Id="rId3491" Type="http://schemas.openxmlformats.org/officeDocument/2006/relationships/hyperlink" Target="https://pbs.twimg.com/profile_images/1862665713057714176/yjRPkpdh_400x400.jpg" TargetMode="External"/><Relationship Id="rId3144" Type="http://schemas.openxmlformats.org/officeDocument/2006/relationships/hyperlink" Target="https://pbs.twimg.com/profile_images/1765921509879537664/dAebweUc_normal.jpg" TargetMode="External"/><Relationship Id="rId3351" Type="http://schemas.openxmlformats.org/officeDocument/2006/relationships/hyperlink" Target="https://pbs.twimg.com/profile_images/1837206721892339716/UMbWTLyu_normal.jpg" TargetMode="External"/><Relationship Id="rId272" Type="http://schemas.openxmlformats.org/officeDocument/2006/relationships/hyperlink" Target="https://pbs.twimg.com/profile_images/1845809966680309760/7t1YUXV9_400x400.jpg" TargetMode="External"/><Relationship Id="rId2160" Type="http://schemas.openxmlformats.org/officeDocument/2006/relationships/hyperlink" Target="https://www.cookie.fun/agent/aitat" TargetMode="External"/><Relationship Id="rId3004" Type="http://schemas.openxmlformats.org/officeDocument/2006/relationships/hyperlink" Target="https://pbs.twimg.com/profile_images/1779796708370837504/SRVo9CIX_normal.png" TargetMode="External"/><Relationship Id="rId3211" Type="http://schemas.openxmlformats.org/officeDocument/2006/relationships/hyperlink" Target="https://x.com/budaz__/status/1879112409945919765" TargetMode="External"/><Relationship Id="rId132" Type="http://schemas.openxmlformats.org/officeDocument/2006/relationships/hyperlink" Target="https://www.cookie.fun/agent/matl" TargetMode="External"/><Relationship Id="rId2020" Type="http://schemas.openxmlformats.org/officeDocument/2006/relationships/hyperlink" Target="https://www.cookie.fun/agent/futarchists" TargetMode="External"/><Relationship Id="rId1579" Type="http://schemas.openxmlformats.org/officeDocument/2006/relationships/hyperlink" Target="https://www.cookie.fun/agent/hbic" TargetMode="External"/><Relationship Id="rId2977" Type="http://schemas.openxmlformats.org/officeDocument/2006/relationships/hyperlink" Target="https://pbs.twimg.com/profile_images/1876770611386617856/_nzohoGZ_400x400.jpg" TargetMode="External"/><Relationship Id="rId949" Type="http://schemas.openxmlformats.org/officeDocument/2006/relationships/hyperlink" Target="https://www.cookie.fun/agent/tama" TargetMode="External"/><Relationship Id="rId1786" Type="http://schemas.openxmlformats.org/officeDocument/2006/relationships/hyperlink" Target="https://www.cookie.fun/agent/dgenai" TargetMode="External"/><Relationship Id="rId1993" Type="http://schemas.openxmlformats.org/officeDocument/2006/relationships/hyperlink" Target="https://www.cookie.fun/agent/pylogic" TargetMode="External"/><Relationship Id="rId2837" Type="http://schemas.openxmlformats.org/officeDocument/2006/relationships/hyperlink" Target="https://pbs.twimg.com/profile_images/1852435658008121344/eKv2ujUv_normal.jpg" TargetMode="External"/><Relationship Id="rId4052" Type="http://schemas.openxmlformats.org/officeDocument/2006/relationships/hyperlink" Target="https://pbs.twimg.com/profile_images/1812154656342065152/8EI4kI0A_400x400.jpg" TargetMode="External"/><Relationship Id="rId78" Type="http://schemas.openxmlformats.org/officeDocument/2006/relationships/hyperlink" Target="https://www.cookie.fun/agent/virtu" TargetMode="External"/><Relationship Id="rId809" Type="http://schemas.openxmlformats.org/officeDocument/2006/relationships/hyperlink" Target="https://pbs.twimg.com/profile_images/1850674033336999936/ff3MvpNM_400x400.jpg" TargetMode="External"/><Relationship Id="rId1439" Type="http://schemas.openxmlformats.org/officeDocument/2006/relationships/hyperlink" Target="https://pbs.twimg.com/profile_images/1858117857592139776/Vqxrn2hu_400x400.jpg" TargetMode="External"/><Relationship Id="rId1646" Type="http://schemas.openxmlformats.org/officeDocument/2006/relationships/hyperlink" Target="https://pbs.twimg.com/profile_images/1858167048972423168/x8uGo3ok_400x400.jpg" TargetMode="External"/><Relationship Id="rId1853" Type="http://schemas.openxmlformats.org/officeDocument/2006/relationships/hyperlink" Target="https://pbs.twimg.com/profile_images/1875262342679961600/B8OJyaFg_400x400.jpg" TargetMode="External"/><Relationship Id="rId2904" Type="http://schemas.openxmlformats.org/officeDocument/2006/relationships/hyperlink" Target="https://www.cookie.fun/agent/aixcb" TargetMode="External"/><Relationship Id="rId1506" Type="http://schemas.openxmlformats.org/officeDocument/2006/relationships/hyperlink" Target="https://www.cookie.fun/chains/solana.svg" TargetMode="External"/><Relationship Id="rId1713" Type="http://schemas.openxmlformats.org/officeDocument/2006/relationships/hyperlink" Target="https://www.cookie.fun/chains/base.svg" TargetMode="External"/><Relationship Id="rId1920" Type="http://schemas.openxmlformats.org/officeDocument/2006/relationships/hyperlink" Target="https://www.cookie.fun/chains/base.svg" TargetMode="External"/><Relationship Id="rId3678" Type="http://schemas.openxmlformats.org/officeDocument/2006/relationships/hyperlink" Target="https://www.cookie.fun/agent/klaus" TargetMode="External"/><Relationship Id="rId3885" Type="http://schemas.openxmlformats.org/officeDocument/2006/relationships/hyperlink" Target="https://www.cookie.fun/agent/keyboard-cat" TargetMode="External"/><Relationship Id="rId599" Type="http://schemas.openxmlformats.org/officeDocument/2006/relationships/hyperlink" Target="https://www.cookie.fun/agent/scana" TargetMode="External"/><Relationship Id="rId2487" Type="http://schemas.openxmlformats.org/officeDocument/2006/relationships/hyperlink" Target="https://www.cookie.fun/agent/toshi" TargetMode="External"/><Relationship Id="rId2694" Type="http://schemas.openxmlformats.org/officeDocument/2006/relationships/hyperlink" Target="https://x.com/egyptk6/status/1877364157747704141" TargetMode="External"/><Relationship Id="rId3538" Type="http://schemas.openxmlformats.org/officeDocument/2006/relationships/hyperlink" Target="https://pbs.twimg.com/profile_images/1844664149348909056/KxyaKB9S_normal.jpg" TargetMode="External"/><Relationship Id="rId3745" Type="http://schemas.openxmlformats.org/officeDocument/2006/relationships/hyperlink" Target="https://pbs.twimg.com/profile_images/1859092070226358272/Y6vWwZFV_400x400.jpg" TargetMode="External"/><Relationship Id="rId459" Type="http://schemas.openxmlformats.org/officeDocument/2006/relationships/hyperlink" Target="https://pbs.twimg.com/profile_images/1863199652398370816/pKcNbv-i_400x400.jpg" TargetMode="External"/><Relationship Id="rId666" Type="http://schemas.openxmlformats.org/officeDocument/2006/relationships/hyperlink" Target="https://www.cookie.fun/chains/solana.svg" TargetMode="External"/><Relationship Id="rId873" Type="http://schemas.openxmlformats.org/officeDocument/2006/relationships/hyperlink" Target="https://www.cookie.fun/chains/base.svg" TargetMode="External"/><Relationship Id="rId1089" Type="http://schemas.openxmlformats.org/officeDocument/2006/relationships/hyperlink" Target="https://www.cookie.fun/chains/solana.svg" TargetMode="External"/><Relationship Id="rId1296" Type="http://schemas.openxmlformats.org/officeDocument/2006/relationships/hyperlink" Target="https://www.cookie.fun/chains/solana.svg" TargetMode="External"/><Relationship Id="rId2347" Type="http://schemas.openxmlformats.org/officeDocument/2006/relationships/hyperlink" Target="https://pbs.twimg.com/profile_images/1874777546144796672/vVqnY8lv_normal.jpg" TargetMode="External"/><Relationship Id="rId2554" Type="http://schemas.openxmlformats.org/officeDocument/2006/relationships/hyperlink" Target="https://x.com/dcfgod/status/1877785705386062116" TargetMode="External"/><Relationship Id="rId3952" Type="http://schemas.openxmlformats.org/officeDocument/2006/relationships/hyperlink" Target="https://pbs.twimg.com/profile_images/1607439693964267520/4u_BxpEm_normal.jpg" TargetMode="External"/><Relationship Id="rId319" Type="http://schemas.openxmlformats.org/officeDocument/2006/relationships/hyperlink" Target="https://www.cookie.fun/agent/limoncelloai" TargetMode="External"/><Relationship Id="rId526" Type="http://schemas.openxmlformats.org/officeDocument/2006/relationships/hyperlink" Target="https://www.cookie.fun/chains/base.svg" TargetMode="External"/><Relationship Id="rId1156" Type="http://schemas.openxmlformats.org/officeDocument/2006/relationships/hyperlink" Target="https://www.cookie.fun/agent/siq" TargetMode="External"/><Relationship Id="rId1363" Type="http://schemas.openxmlformats.org/officeDocument/2006/relationships/hyperlink" Target="https://www.cookie.fun/agent/leak" TargetMode="External"/><Relationship Id="rId2207" Type="http://schemas.openxmlformats.org/officeDocument/2006/relationships/hyperlink" Target="https://www.cookie.fun/agent/monika" TargetMode="External"/><Relationship Id="rId2761" Type="http://schemas.openxmlformats.org/officeDocument/2006/relationships/hyperlink" Target="https://pbs.twimg.com/profile_images/1643802007889920011/NZRydHI4_normal.jpg" TargetMode="External"/><Relationship Id="rId3605" Type="http://schemas.openxmlformats.org/officeDocument/2006/relationships/hyperlink" Target="https://pbs.twimg.com/profile_images/1867840509521408003/Cij6uQwV_normal.jpg" TargetMode="External"/><Relationship Id="rId3812" Type="http://schemas.openxmlformats.org/officeDocument/2006/relationships/hyperlink" Target="https://x.com/Smokeyjoethepi1/status/1877693704606998710" TargetMode="External"/><Relationship Id="rId733" Type="http://schemas.openxmlformats.org/officeDocument/2006/relationships/hyperlink" Target="https://www.cookie.fun/agent/satori" TargetMode="External"/><Relationship Id="rId940" Type="http://schemas.openxmlformats.org/officeDocument/2006/relationships/hyperlink" Target="https://www.cookie.fun/agent/senku-ishigami" TargetMode="External"/><Relationship Id="rId1016" Type="http://schemas.openxmlformats.org/officeDocument/2006/relationships/hyperlink" Target="https://pbs.twimg.com/profile_images/1872850703665803264/lgXWV2Vd_400x400.jpg" TargetMode="External"/><Relationship Id="rId1570" Type="http://schemas.openxmlformats.org/officeDocument/2006/relationships/hyperlink" Target="https://www.cookie.fun/agent/prime" TargetMode="External"/><Relationship Id="rId2414" Type="http://schemas.openxmlformats.org/officeDocument/2006/relationships/hyperlink" Target="https://x.com/cyrilXBT/status/1877528284684333264" TargetMode="External"/><Relationship Id="rId2621" Type="http://schemas.openxmlformats.org/officeDocument/2006/relationships/hyperlink" Target="https://www.cookie.fun/chains/solana.svg" TargetMode="External"/><Relationship Id="rId800" Type="http://schemas.openxmlformats.org/officeDocument/2006/relationships/hyperlink" Target="https://pbs.twimg.com/profile_images/1857329944180801536/iD0RoMmg_400x400.jpg" TargetMode="External"/><Relationship Id="rId1223" Type="http://schemas.openxmlformats.org/officeDocument/2006/relationships/hyperlink" Target="https://pbs.twimg.com/profile_images/1863263192417243136/BcwL5k5Z_400x400.jpg" TargetMode="External"/><Relationship Id="rId1430" Type="http://schemas.openxmlformats.org/officeDocument/2006/relationships/hyperlink" Target="https://pbs.twimg.com/profile_images/1858974339498115072/e77_wK7__400x400.jpg" TargetMode="External"/><Relationship Id="rId3188" Type="http://schemas.openxmlformats.org/officeDocument/2006/relationships/hyperlink" Target="https://pbs.twimg.com/profile_images/1874803346961563648/tTsv1sb-_normal.jpg" TargetMode="External"/><Relationship Id="rId3395" Type="http://schemas.openxmlformats.org/officeDocument/2006/relationships/hyperlink" Target="https://x.com/meta_alchemist/status/1878165620375887954" TargetMode="External"/><Relationship Id="rId3048" Type="http://schemas.openxmlformats.org/officeDocument/2006/relationships/hyperlink" Target="https://www.cookie.fun/agent/realis" TargetMode="External"/><Relationship Id="rId3255" Type="http://schemas.openxmlformats.org/officeDocument/2006/relationships/hyperlink" Target="https://x.com/legendarygainz_/status/1877588866170818873" TargetMode="External"/><Relationship Id="rId3462" Type="http://schemas.openxmlformats.org/officeDocument/2006/relationships/hyperlink" Target="https://pbs.twimg.com/profile_images/1864626796248866816/vVL2JWVL_400x400.jpg" TargetMode="External"/><Relationship Id="rId176" Type="http://schemas.openxmlformats.org/officeDocument/2006/relationships/hyperlink" Target="https://www.cookie.fun/chains/solana.svg" TargetMode="External"/><Relationship Id="rId383" Type="http://schemas.openxmlformats.org/officeDocument/2006/relationships/hyperlink" Target="https://pbs.twimg.com/profile_images/1856057598274854912/p1v-sIoz_400x400.jpg" TargetMode="External"/><Relationship Id="rId590" Type="http://schemas.openxmlformats.org/officeDocument/2006/relationships/hyperlink" Target="https://www.cookie.fun/agent/raoni" TargetMode="External"/><Relationship Id="rId2064" Type="http://schemas.openxmlformats.org/officeDocument/2006/relationships/hyperlink" Target="https://www.cookie.fun/chains/solana.svg" TargetMode="External"/><Relationship Id="rId2271" Type="http://schemas.openxmlformats.org/officeDocument/2006/relationships/hyperlink" Target="https://www.cookie.fun/agent/fartcoin" TargetMode="External"/><Relationship Id="rId3115" Type="http://schemas.openxmlformats.org/officeDocument/2006/relationships/hyperlink" Target="https://x.com/0x7d54/status/1878982548447207601" TargetMode="External"/><Relationship Id="rId3322" Type="http://schemas.openxmlformats.org/officeDocument/2006/relationships/hyperlink" Target="https://www.cookie.fun/agent/airene" TargetMode="External"/><Relationship Id="rId243" Type="http://schemas.openxmlformats.org/officeDocument/2006/relationships/hyperlink" Target="https://pbs.twimg.com/profile_images/1847898125953798145/19h0R4oP_400x400.jpg" TargetMode="External"/><Relationship Id="rId450" Type="http://schemas.openxmlformats.org/officeDocument/2006/relationships/hyperlink" Target="https://pbs.twimg.com/profile_images/1859747378644865024/Y8-2zRlD_400x400.jpg" TargetMode="External"/><Relationship Id="rId1080" Type="http://schemas.openxmlformats.org/officeDocument/2006/relationships/hyperlink" Target="https://www.cookie.fun/chains/solana.svg" TargetMode="External"/><Relationship Id="rId2131" Type="http://schemas.openxmlformats.org/officeDocument/2006/relationships/hyperlink" Target="https://www.cookie.fun/chains/solana.svg" TargetMode="External"/><Relationship Id="rId103" Type="http://schemas.openxmlformats.org/officeDocument/2006/relationships/hyperlink" Target="https://www.cookie.fun/chains/ethereum.svg" TargetMode="External"/><Relationship Id="rId310" Type="http://schemas.openxmlformats.org/officeDocument/2006/relationships/hyperlink" Target="https://www.cookie.fun/agent/a16z-ai-dog" TargetMode="External"/><Relationship Id="rId4096" Type="http://schemas.openxmlformats.org/officeDocument/2006/relationships/hyperlink" Target="https://www.cookie.fun/agent/gm-everyday" TargetMode="External"/><Relationship Id="rId1897" Type="http://schemas.openxmlformats.org/officeDocument/2006/relationships/hyperlink" Target="https://www.cookie.fun/agent/supah" TargetMode="External"/><Relationship Id="rId2948" Type="http://schemas.openxmlformats.org/officeDocument/2006/relationships/hyperlink" Target="https://x.com/ghost93_x/status/1878538350250123305" TargetMode="External"/><Relationship Id="rId1757" Type="http://schemas.openxmlformats.org/officeDocument/2006/relationships/hyperlink" Target="https://pbs.twimg.com/profile_images/1874601348940918784/LV58PbCU_400x400.jpg" TargetMode="External"/><Relationship Id="rId1964" Type="http://schemas.openxmlformats.org/officeDocument/2006/relationships/hyperlink" Target="https://pbs.twimg.com/profile_images/1876683964833767424/d6PzNffM_400x400.jpg" TargetMode="External"/><Relationship Id="rId2808" Type="http://schemas.openxmlformats.org/officeDocument/2006/relationships/hyperlink" Target="https://pbs.twimg.com/profile_images/1842904842659835905/P0AhjTyQ_normal.jpg" TargetMode="External"/><Relationship Id="rId4163" Type="http://schemas.openxmlformats.org/officeDocument/2006/relationships/hyperlink" Target="https://x.com/CryptoKaduna/status/1877725231512469898" TargetMode="External"/><Relationship Id="rId49" Type="http://schemas.openxmlformats.org/officeDocument/2006/relationships/hyperlink" Target="https://www.cookie.fun/chains/ethereum.svg" TargetMode="External"/><Relationship Id="rId1617" Type="http://schemas.openxmlformats.org/officeDocument/2006/relationships/hyperlink" Target="https://www.cookie.fun/chains/solana.svg" TargetMode="External"/><Relationship Id="rId1824" Type="http://schemas.openxmlformats.org/officeDocument/2006/relationships/hyperlink" Target="https://www.cookie.fun/chains/base.svg" TargetMode="External"/><Relationship Id="rId4023" Type="http://schemas.openxmlformats.org/officeDocument/2006/relationships/hyperlink" Target="https://www.cookie.fun/agent/arok-vc" TargetMode="External"/><Relationship Id="rId3789" Type="http://schemas.openxmlformats.org/officeDocument/2006/relationships/hyperlink" Target="https://pbs.twimg.com/profile_images/1853837334141157377/wVDVoNkR_normal.jpg" TargetMode="External"/><Relationship Id="rId2598" Type="http://schemas.openxmlformats.org/officeDocument/2006/relationships/hyperlink" Target="https://x.com/nobrainflip/status/1878174381932695717" TargetMode="External"/><Relationship Id="rId3996" Type="http://schemas.openxmlformats.org/officeDocument/2006/relationships/hyperlink" Target="https://pbs.twimg.com/profile_images/1868266445391482880/juTqNbbm_400x400.jpg" TargetMode="External"/><Relationship Id="rId3649" Type="http://schemas.openxmlformats.org/officeDocument/2006/relationships/hyperlink" Target="https://www.cookie.fun/agent/tony-soprano" TargetMode="External"/><Relationship Id="rId3856" Type="http://schemas.openxmlformats.org/officeDocument/2006/relationships/hyperlink" Target="https://www.cookie.fun/chains/solana.svg" TargetMode="External"/><Relationship Id="rId777" Type="http://schemas.openxmlformats.org/officeDocument/2006/relationships/hyperlink" Target="https://www.cookie.fun/chains/solana.svg" TargetMode="External"/><Relationship Id="rId984" Type="http://schemas.openxmlformats.org/officeDocument/2006/relationships/hyperlink" Target="https://www.cookie.fun/chains/base.svg" TargetMode="External"/><Relationship Id="rId2458" Type="http://schemas.openxmlformats.org/officeDocument/2006/relationships/hyperlink" Target="https://x.com/VaderResearch/status/1877343400757965264" TargetMode="External"/><Relationship Id="rId2665" Type="http://schemas.openxmlformats.org/officeDocument/2006/relationships/hyperlink" Target="https://pbs.twimg.com/profile_images/1352548197835681793/P8tRO3U2_normal.jpg" TargetMode="External"/><Relationship Id="rId2872" Type="http://schemas.openxmlformats.org/officeDocument/2006/relationships/hyperlink" Target="https://x.com/BiteyeCN/status/1877249880021942569" TargetMode="External"/><Relationship Id="rId3509" Type="http://schemas.openxmlformats.org/officeDocument/2006/relationships/hyperlink" Target="https://x.com/serpunketh/status/1877801693741543801" TargetMode="External"/><Relationship Id="rId3716" Type="http://schemas.openxmlformats.org/officeDocument/2006/relationships/hyperlink" Target="https://abs.twimg.com/sticky/default_profile_images/default_profile_400x400.png" TargetMode="External"/><Relationship Id="rId3923" Type="http://schemas.openxmlformats.org/officeDocument/2006/relationships/hyperlink" Target="https://pbs.twimg.com/profile_images/1864999591013421058/rl_W6L2Z_400x400.jpg" TargetMode="External"/><Relationship Id="rId637" Type="http://schemas.openxmlformats.org/officeDocument/2006/relationships/hyperlink" Target="https://www.cookie.fun/agent/based-mert" TargetMode="External"/><Relationship Id="rId844" Type="http://schemas.openxmlformats.org/officeDocument/2006/relationships/hyperlink" Target="https://www.cookie.fun/agent/doggofacts" TargetMode="External"/><Relationship Id="rId1267" Type="http://schemas.openxmlformats.org/officeDocument/2006/relationships/hyperlink" Target="https://www.cookie.fun/agent/stonedai" TargetMode="External"/><Relationship Id="rId1474" Type="http://schemas.openxmlformats.org/officeDocument/2006/relationships/hyperlink" Target="https://www.cookie.fun/agent/moodaing" TargetMode="External"/><Relationship Id="rId1681" Type="http://schemas.openxmlformats.org/officeDocument/2006/relationships/hyperlink" Target="https://www.cookie.fun/agent/cypher" TargetMode="External"/><Relationship Id="rId2318" Type="http://schemas.openxmlformats.org/officeDocument/2006/relationships/hyperlink" Target="https://x.com/yoheinakajima/status/1877828470736364029" TargetMode="External"/><Relationship Id="rId2525" Type="http://schemas.openxmlformats.org/officeDocument/2006/relationships/hyperlink" Target="https://www.cookie.fun/chains/solana.svg" TargetMode="External"/><Relationship Id="rId2732" Type="http://schemas.openxmlformats.org/officeDocument/2006/relationships/hyperlink" Target="https://x.com/legendarygainz_/status/1877588866170818873" TargetMode="External"/><Relationship Id="rId704" Type="http://schemas.openxmlformats.org/officeDocument/2006/relationships/hyperlink" Target="https://pbs.twimg.com/profile_images/1863370382880776192/S08BFGV__400x400.jpg" TargetMode="External"/><Relationship Id="rId911" Type="http://schemas.openxmlformats.org/officeDocument/2006/relationships/hyperlink" Target="https://pbs.twimg.com/profile_images/1872207689826086912/UFR7WHRV_400x400.jpg" TargetMode="External"/><Relationship Id="rId1127" Type="http://schemas.openxmlformats.org/officeDocument/2006/relationships/hyperlink" Target="https://pbs.twimg.com/profile_images/1785554010788843520/gRAfAHBI_400x400.jpg" TargetMode="External"/><Relationship Id="rId1334" Type="http://schemas.openxmlformats.org/officeDocument/2006/relationships/hyperlink" Target="https://pbs.twimg.com/profile_images/1860308908260093953/Oc6eJYku_400x400.jpg" TargetMode="External"/><Relationship Id="rId1541" Type="http://schemas.openxmlformats.org/officeDocument/2006/relationships/hyperlink" Target="https://pbs.twimg.com/profile_images/1858509018542800896/Wfphdiqy_400x400.jpg" TargetMode="External"/><Relationship Id="rId40" Type="http://schemas.openxmlformats.org/officeDocument/2006/relationships/hyperlink" Target="https://www.cookie.fun/chains/solana.svg" TargetMode="External"/><Relationship Id="rId1401" Type="http://schemas.openxmlformats.org/officeDocument/2006/relationships/hyperlink" Target="https://www.cookie.fun/chains/solana.svg" TargetMode="External"/><Relationship Id="rId3299" Type="http://schemas.openxmlformats.org/officeDocument/2006/relationships/hyperlink" Target="https://www.cookie.fun/chains/solana.svg" TargetMode="External"/><Relationship Id="rId3159" Type="http://schemas.openxmlformats.org/officeDocument/2006/relationships/hyperlink" Target="https://www.cookie.fun/chains/ethereum.svg" TargetMode="External"/><Relationship Id="rId3366" Type="http://schemas.openxmlformats.org/officeDocument/2006/relationships/hyperlink" Target="https://x.com/696_eth/status/1877645280297746886" TargetMode="External"/><Relationship Id="rId3573" Type="http://schemas.openxmlformats.org/officeDocument/2006/relationships/hyperlink" Target="https://www.cookie.fun/chains/solana.svg" TargetMode="External"/><Relationship Id="rId287" Type="http://schemas.openxmlformats.org/officeDocument/2006/relationships/hyperlink" Target="https://pbs.twimg.com/profile_images/1848771268708880384/kNayYmOf_400x400.jpg" TargetMode="External"/><Relationship Id="rId494" Type="http://schemas.openxmlformats.org/officeDocument/2006/relationships/hyperlink" Target="https://www.cookie.fun/agent/lolcat" TargetMode="External"/><Relationship Id="rId2175" Type="http://schemas.openxmlformats.org/officeDocument/2006/relationships/hyperlink" Target="https://pbs.twimg.com/profile_images/1871168976107282432/V_zQrPFH_400x400.jpg" TargetMode="External"/><Relationship Id="rId2382" Type="http://schemas.openxmlformats.org/officeDocument/2006/relationships/hyperlink" Target="https://x.com/SajadFlips/status/1877301005366300943" TargetMode="External"/><Relationship Id="rId3019" Type="http://schemas.openxmlformats.org/officeDocument/2006/relationships/hyperlink" Target="https://x.com/CryptoInfluence/status/1878528636782821565" TargetMode="External"/><Relationship Id="rId3226" Type="http://schemas.openxmlformats.org/officeDocument/2006/relationships/hyperlink" Target="https://pbs.twimg.com/profile_images/1854319673396850694/bt7bFsP0_normal.jpg" TargetMode="External"/><Relationship Id="rId3780" Type="http://schemas.openxmlformats.org/officeDocument/2006/relationships/hyperlink" Target="https://x.com/AlexMasmej/status/1877467464797134999" TargetMode="External"/><Relationship Id="rId147" Type="http://schemas.openxmlformats.org/officeDocument/2006/relationships/hyperlink" Target="https://www.cookie.fun/agent/bakso" TargetMode="External"/><Relationship Id="rId354" Type="http://schemas.openxmlformats.org/officeDocument/2006/relationships/hyperlink" Target="https://www.cookie.fun/chains/solana.svg" TargetMode="External"/><Relationship Id="rId1191" Type="http://schemas.openxmlformats.org/officeDocument/2006/relationships/hyperlink" Target="https://www.cookie.fun/chains/solana.svg" TargetMode="External"/><Relationship Id="rId2035" Type="http://schemas.openxmlformats.org/officeDocument/2006/relationships/hyperlink" Target="https://pbs.twimg.com/profile_images/1872585032524865536/ktuqZE3e_400x400.jpg" TargetMode="External"/><Relationship Id="rId3433" Type="http://schemas.openxmlformats.org/officeDocument/2006/relationships/hyperlink" Target="https://www.cookie.fun/chains/base.svg" TargetMode="External"/><Relationship Id="rId3640" Type="http://schemas.openxmlformats.org/officeDocument/2006/relationships/hyperlink" Target="https://x.com/MutantShibaClub/status/1878147758915203518" TargetMode="External"/><Relationship Id="rId561" Type="http://schemas.openxmlformats.org/officeDocument/2006/relationships/hyperlink" Target="https://pbs.twimg.com/profile_images/1859752118183407616/ijF9TPB9_400x400.jpg" TargetMode="External"/><Relationship Id="rId2242" Type="http://schemas.openxmlformats.org/officeDocument/2006/relationships/hyperlink" Target="https://pbs.twimg.com/profile_images/1878511725797937152/ExGeaFru_400x400.jpg" TargetMode="External"/><Relationship Id="rId3500" Type="http://schemas.openxmlformats.org/officeDocument/2006/relationships/hyperlink" Target="https://www.cookie.fun/agent/nftxbt" TargetMode="External"/><Relationship Id="rId214" Type="http://schemas.openxmlformats.org/officeDocument/2006/relationships/hyperlink" Target="https://pbs.twimg.com/profile_images/1739893695942639616/9W39mSnm_normal.jpg" TargetMode="External"/><Relationship Id="rId421" Type="http://schemas.openxmlformats.org/officeDocument/2006/relationships/hyperlink" Target="https://www.cookie.fun/agent/doctorai" TargetMode="External"/><Relationship Id="rId1051" Type="http://schemas.openxmlformats.org/officeDocument/2006/relationships/hyperlink" Target="https://www.cookie.fun/agent/mad" TargetMode="External"/><Relationship Id="rId2102" Type="http://schemas.openxmlformats.org/officeDocument/2006/relationships/hyperlink" Target="https://pbs.twimg.com/profile_images/1865664225479176192/6bTwL9Xv_400x400.jpg" TargetMode="External"/><Relationship Id="rId1868" Type="http://schemas.openxmlformats.org/officeDocument/2006/relationships/hyperlink" Target="https://pbs.twimg.com/profile_images/1875589726045908992/x-e55dCZ_400x400.jpg" TargetMode="External"/><Relationship Id="rId4067" Type="http://schemas.openxmlformats.org/officeDocument/2006/relationships/hyperlink" Target="https://www.cookie.fun/agent/lyraverse" TargetMode="External"/><Relationship Id="rId2919" Type="http://schemas.openxmlformats.org/officeDocument/2006/relationships/hyperlink" Target="https://www.cookie.fun/agent/zalpha" TargetMode="External"/><Relationship Id="rId3083" Type="http://schemas.openxmlformats.org/officeDocument/2006/relationships/hyperlink" Target="https://pbs.twimg.com/profile_images/1877748125109977088/sQ90zbVa_normal.jpg" TargetMode="External"/><Relationship Id="rId3290" Type="http://schemas.openxmlformats.org/officeDocument/2006/relationships/hyperlink" Target="https://pbs.twimg.com/profile_images/1775649841562980353/2E0MAPqa_normal.jpg" TargetMode="External"/><Relationship Id="rId4134" Type="http://schemas.openxmlformats.org/officeDocument/2006/relationships/hyperlink" Target="https://pbs.twimg.com/profile_images/1866373340866265088/109yjOJE_400x400.jpg" TargetMode="External"/><Relationship Id="rId1728" Type="http://schemas.openxmlformats.org/officeDocument/2006/relationships/hyperlink" Target="https://www.cookie.fun/chains/base.svg" TargetMode="External"/><Relationship Id="rId1935" Type="http://schemas.openxmlformats.org/officeDocument/2006/relationships/hyperlink" Target="https://x.com/AshleyDCan/status/1878131084094795918" TargetMode="External"/><Relationship Id="rId3150" Type="http://schemas.openxmlformats.org/officeDocument/2006/relationships/hyperlink" Target="https://pbs.twimg.com/profile_images/1871330840774426625/pjvENjuB_normal.jpg" TargetMode="External"/><Relationship Id="rId3010" Type="http://schemas.openxmlformats.org/officeDocument/2006/relationships/hyperlink" Target="https://pbs.twimg.com/profile_images/1803906216046850048/cv1dZJXi_normal.jpg" TargetMode="External"/><Relationship Id="rId3967" Type="http://schemas.openxmlformats.org/officeDocument/2006/relationships/hyperlink" Target="https://pbs.twimg.com/profile_images/1866014447401062400/E7kMrkNY_400x400.jpg" TargetMode="External"/><Relationship Id="rId4" Type="http://schemas.openxmlformats.org/officeDocument/2006/relationships/hyperlink" Target="https://www.cookie.fun/agent/elyrai" TargetMode="External"/><Relationship Id="rId888" Type="http://schemas.openxmlformats.org/officeDocument/2006/relationships/hyperlink" Target="https://www.cookie.fun/chains/base.svg" TargetMode="External"/><Relationship Id="rId2569" Type="http://schemas.openxmlformats.org/officeDocument/2006/relationships/hyperlink" Target="https://pbs.twimg.com/profile_images/1860310507384696832/WL2oKqW0_normal.jpg" TargetMode="External"/><Relationship Id="rId2776" Type="http://schemas.openxmlformats.org/officeDocument/2006/relationships/hyperlink" Target="https://www.cookie.fun/chains/solana.svg" TargetMode="External"/><Relationship Id="rId2983" Type="http://schemas.openxmlformats.org/officeDocument/2006/relationships/hyperlink" Target="https://x.com/mrpunkdoteth/status/1878444495030903209" TargetMode="External"/><Relationship Id="rId3827" Type="http://schemas.openxmlformats.org/officeDocument/2006/relationships/hyperlink" Target="https://www.cookie.fun/chains/solana.svg" TargetMode="External"/><Relationship Id="rId748" Type="http://schemas.openxmlformats.org/officeDocument/2006/relationships/hyperlink" Target="https://www.cookie.fun/agent/minionai" TargetMode="External"/><Relationship Id="rId955" Type="http://schemas.openxmlformats.org/officeDocument/2006/relationships/hyperlink" Target="https://www.cookie.fun/agent/proxy-aidvisor" TargetMode="External"/><Relationship Id="rId1378" Type="http://schemas.openxmlformats.org/officeDocument/2006/relationships/hyperlink" Target="https://www.cookie.fun/agent/vicky" TargetMode="External"/><Relationship Id="rId1585" Type="http://schemas.openxmlformats.org/officeDocument/2006/relationships/hyperlink" Target="https://www.cookie.fun/agent/schiff" TargetMode="External"/><Relationship Id="rId1792" Type="http://schemas.openxmlformats.org/officeDocument/2006/relationships/hyperlink" Target="https://www.cookie.fun/agent/ai6ix9ine" TargetMode="External"/><Relationship Id="rId2429" Type="http://schemas.openxmlformats.org/officeDocument/2006/relationships/hyperlink" Target="https://www.cookie.fun/chains/base.svg" TargetMode="External"/><Relationship Id="rId2636" Type="http://schemas.openxmlformats.org/officeDocument/2006/relationships/hyperlink" Target="https://x.com/Rothmus/status/1879384000877457595" TargetMode="External"/><Relationship Id="rId2843" Type="http://schemas.openxmlformats.org/officeDocument/2006/relationships/hyperlink" Target="https://pbs.twimg.com/profile_images/1752542271365431296/pFGfGnRC_normal.jpg" TargetMode="External"/><Relationship Id="rId84" Type="http://schemas.openxmlformats.org/officeDocument/2006/relationships/hyperlink" Target="https://www.cookie.fun/agent/aicat" TargetMode="External"/><Relationship Id="rId608" Type="http://schemas.openxmlformats.org/officeDocument/2006/relationships/hyperlink" Target="https://www.cookie.fun/agent/spooky-agi" TargetMode="External"/><Relationship Id="rId815" Type="http://schemas.openxmlformats.org/officeDocument/2006/relationships/hyperlink" Target="https://pbs.twimg.com/profile_images/1870103299967340545/NtBCynDl_400x400.jpg" TargetMode="External"/><Relationship Id="rId1238" Type="http://schemas.openxmlformats.org/officeDocument/2006/relationships/hyperlink" Target="https://pbs.twimg.com/profile_images/1855042383399747584/A57tzNEn_400x400.jpg" TargetMode="External"/><Relationship Id="rId1445" Type="http://schemas.openxmlformats.org/officeDocument/2006/relationships/hyperlink" Target="https://pbs.twimg.com/profile_images/1858959252528001025/U7Uf9Prh_400x400.jpg" TargetMode="External"/><Relationship Id="rId1652" Type="http://schemas.openxmlformats.org/officeDocument/2006/relationships/hyperlink" Target="https://pbs.twimg.com/profile_images/1858176784946073600/ygTmFzvI_400x400.jpg" TargetMode="External"/><Relationship Id="rId1305" Type="http://schemas.openxmlformats.org/officeDocument/2006/relationships/hyperlink" Target="https://www.cookie.fun/chains/solana.svg" TargetMode="External"/><Relationship Id="rId2703" Type="http://schemas.openxmlformats.org/officeDocument/2006/relationships/hyperlink" Target="https://www.cookie.fun/agent/rei" TargetMode="External"/><Relationship Id="rId2910" Type="http://schemas.openxmlformats.org/officeDocument/2006/relationships/hyperlink" Target="https://pbs.twimg.com/profile_images/1875116624673464321/j5Tvajd8_normal.jpg" TargetMode="External"/><Relationship Id="rId1512" Type="http://schemas.openxmlformats.org/officeDocument/2006/relationships/hyperlink" Target="https://www.cookie.fun/chains/solana.svg" TargetMode="External"/><Relationship Id="rId11" Type="http://schemas.openxmlformats.org/officeDocument/2006/relationships/hyperlink" Target="https://pbs.twimg.com/profile_images/1865293224094392320/CiFJlS2s_400x400.jpg" TargetMode="External"/><Relationship Id="rId398" Type="http://schemas.openxmlformats.org/officeDocument/2006/relationships/hyperlink" Target="https://pbs.twimg.com/profile_images/1839484844965019648/KAV1E_4n_400x400.jpg" TargetMode="External"/><Relationship Id="rId2079" Type="http://schemas.openxmlformats.org/officeDocument/2006/relationships/hyperlink" Target="https://www.cookie.fun/chains/solana.svg" TargetMode="External"/><Relationship Id="rId3477" Type="http://schemas.openxmlformats.org/officeDocument/2006/relationships/hyperlink" Target="https://pbs.twimg.com/profile_images/1773418874014437378/N-AojrRc_normal.jpg" TargetMode="External"/><Relationship Id="rId3684" Type="http://schemas.openxmlformats.org/officeDocument/2006/relationships/hyperlink" Target="https://pbs.twimg.com/profile_images/1809107232103280641/2nAc8pxc_400x400.jpg" TargetMode="External"/><Relationship Id="rId3891" Type="http://schemas.openxmlformats.org/officeDocument/2006/relationships/hyperlink" Target="https://pbs.twimg.com/profile_images/1874415599704510464/C51203O6_normal.jpg" TargetMode="External"/><Relationship Id="rId2286" Type="http://schemas.openxmlformats.org/officeDocument/2006/relationships/hyperlink" Target="https://x.com/Defi0xJeff/status/1878777766474399886" TargetMode="External"/><Relationship Id="rId2493" Type="http://schemas.openxmlformats.org/officeDocument/2006/relationships/hyperlink" Target="https://pbs.twimg.com/profile_images/1855948889683030016/MrTuyakp_normal.png" TargetMode="External"/><Relationship Id="rId3337" Type="http://schemas.openxmlformats.org/officeDocument/2006/relationships/hyperlink" Target="https://x.com/The__Solstice/status/1877302261266673692" TargetMode="External"/><Relationship Id="rId3544" Type="http://schemas.openxmlformats.org/officeDocument/2006/relationships/hyperlink" Target="https://x.com/DarthJotaro/status/1877587557375934826" TargetMode="External"/><Relationship Id="rId3751" Type="http://schemas.openxmlformats.org/officeDocument/2006/relationships/hyperlink" Target="https://x.com/abu_crypto1/status/1878913859391791307" TargetMode="External"/><Relationship Id="rId258" Type="http://schemas.openxmlformats.org/officeDocument/2006/relationships/hyperlink" Target="https://www.cookie.fun/chains/solana.svg" TargetMode="External"/><Relationship Id="rId465" Type="http://schemas.openxmlformats.org/officeDocument/2006/relationships/hyperlink" Target="https://pbs.twimg.com/profile_images/1863729146934833152/5IaT_KbA_400x400.jpg" TargetMode="External"/><Relationship Id="rId672" Type="http://schemas.openxmlformats.org/officeDocument/2006/relationships/hyperlink" Target="https://www.cookie.fun/chains/solana.svg" TargetMode="External"/><Relationship Id="rId1095" Type="http://schemas.openxmlformats.org/officeDocument/2006/relationships/hyperlink" Target="https://www.cookie.fun/chains/solana.svg" TargetMode="External"/><Relationship Id="rId2146" Type="http://schemas.openxmlformats.org/officeDocument/2006/relationships/hyperlink" Target="https://www.cookie.fun/agent/finkeeper-ai" TargetMode="External"/><Relationship Id="rId2353" Type="http://schemas.openxmlformats.org/officeDocument/2006/relationships/hyperlink" Target="https://pbs.twimg.com/profile_images/1877091306062884865/4DReVrnp_normal.jpg" TargetMode="External"/><Relationship Id="rId2560" Type="http://schemas.openxmlformats.org/officeDocument/2006/relationships/hyperlink" Target="https://pbs.twimg.com/profile_images/1878444956626440192/UUs0mH05_400x400.jpg" TargetMode="External"/><Relationship Id="rId3404" Type="http://schemas.openxmlformats.org/officeDocument/2006/relationships/hyperlink" Target="https://x.com/thewolvesxyz/status/1878095589289935060" TargetMode="External"/><Relationship Id="rId3611" Type="http://schemas.openxmlformats.org/officeDocument/2006/relationships/hyperlink" Target="https://pbs.twimg.com/profile_images/1851258548015001600/LHKIS-Lp_400x400.jpg" TargetMode="External"/><Relationship Id="rId118" Type="http://schemas.openxmlformats.org/officeDocument/2006/relationships/hyperlink" Target="https://www.cookie.fun/chains/solana.svg" TargetMode="External"/><Relationship Id="rId325" Type="http://schemas.openxmlformats.org/officeDocument/2006/relationships/hyperlink" Target="https://www.cookie.fun/agent/degen8ball-exe" TargetMode="External"/><Relationship Id="rId532" Type="http://schemas.openxmlformats.org/officeDocument/2006/relationships/hyperlink" Target="https://www.cookie.fun/chains/base.svg" TargetMode="External"/><Relationship Id="rId1162" Type="http://schemas.openxmlformats.org/officeDocument/2006/relationships/hyperlink" Target="https://www.cookie.fun/agent/boop" TargetMode="External"/><Relationship Id="rId2006" Type="http://schemas.openxmlformats.org/officeDocument/2006/relationships/hyperlink" Target="https://pbs.twimg.com/profile_images/1877447162272821248/1iokoRkx_400x400.jpg" TargetMode="External"/><Relationship Id="rId2213" Type="http://schemas.openxmlformats.org/officeDocument/2006/relationships/hyperlink" Target="https://pbs.twimg.com/profile_images/1869045797985095680/9_-pwKZI_400x400.jpg" TargetMode="External"/><Relationship Id="rId2420" Type="http://schemas.openxmlformats.org/officeDocument/2006/relationships/hyperlink" Target="https://x.com/jkrdoc/status/1877816642119315650" TargetMode="External"/><Relationship Id="rId1022" Type="http://schemas.openxmlformats.org/officeDocument/2006/relationships/hyperlink" Target="https://pbs.twimg.com/profile_images/1872542559198666752/qodj7ifm_400x400.jpg" TargetMode="External"/><Relationship Id="rId1979" Type="http://schemas.openxmlformats.org/officeDocument/2006/relationships/hyperlink" Target="https://pbs.twimg.com/profile_images/1878520599095726080/gabqaLWI_400x400.jpg" TargetMode="External"/><Relationship Id="rId3194" Type="http://schemas.openxmlformats.org/officeDocument/2006/relationships/hyperlink" Target="https://www.cookie.fun/chains/solana.svg" TargetMode="External"/><Relationship Id="rId4038" Type="http://schemas.openxmlformats.org/officeDocument/2006/relationships/hyperlink" Target="https://www.cookie.fun/agent/crypto-101" TargetMode="External"/><Relationship Id="rId1839" Type="http://schemas.openxmlformats.org/officeDocument/2006/relationships/hyperlink" Target="https://www.cookie.fun/chains/base.svg" TargetMode="External"/><Relationship Id="rId3054" Type="http://schemas.openxmlformats.org/officeDocument/2006/relationships/hyperlink" Target="https://pbs.twimg.com/profile_images/1506936845413896193/Q408ci62_normal.jpg" TargetMode="External"/><Relationship Id="rId182" Type="http://schemas.openxmlformats.org/officeDocument/2006/relationships/hyperlink" Target="https://www.cookie.fun/chains/base.svg" TargetMode="External"/><Relationship Id="rId1906" Type="http://schemas.openxmlformats.org/officeDocument/2006/relationships/hyperlink" Target="https://www.cookie.fun/agent/warcat-ai" TargetMode="External"/><Relationship Id="rId3261" Type="http://schemas.openxmlformats.org/officeDocument/2006/relationships/hyperlink" Target="https://x.com/Tyler_Did_It/status/1877840791298568645" TargetMode="External"/><Relationship Id="rId4105" Type="http://schemas.openxmlformats.org/officeDocument/2006/relationships/hyperlink" Target="https://pbs.twimg.com/profile_images/1865949213781086208/AKkCVABB_400x400.jpg" TargetMode="External"/><Relationship Id="rId2070" Type="http://schemas.openxmlformats.org/officeDocument/2006/relationships/hyperlink" Target="https://www.cookie.fun/agent/otaku-journal" TargetMode="External"/><Relationship Id="rId3121" Type="http://schemas.openxmlformats.org/officeDocument/2006/relationships/hyperlink" Target="https://x.com/BbtNtwrk/status/1878915852721951131" TargetMode="External"/><Relationship Id="rId999" Type="http://schemas.openxmlformats.org/officeDocument/2006/relationships/hyperlink" Target="https://www.cookie.fun/chains/base.svg" TargetMode="External"/><Relationship Id="rId2887" Type="http://schemas.openxmlformats.org/officeDocument/2006/relationships/hyperlink" Target="https://pbs.twimg.com/profile_images/1752826759504965632/_BJV6z9l_normal.jpg" TargetMode="External"/><Relationship Id="rId859" Type="http://schemas.openxmlformats.org/officeDocument/2006/relationships/hyperlink" Target="https://www.cookie.fun/agent/nenedroid" TargetMode="External"/><Relationship Id="rId1489" Type="http://schemas.openxmlformats.org/officeDocument/2006/relationships/hyperlink" Target="https://www.cookie.fun/agent/halo" TargetMode="External"/><Relationship Id="rId1696" Type="http://schemas.openxmlformats.org/officeDocument/2006/relationships/hyperlink" Target="https://www.cookie.fun/agent/otomo" TargetMode="External"/><Relationship Id="rId3938" Type="http://schemas.openxmlformats.org/officeDocument/2006/relationships/hyperlink" Target="https://www.cookie.fun/chains/base.svg" TargetMode="External"/><Relationship Id="rId1349" Type="http://schemas.openxmlformats.org/officeDocument/2006/relationships/hyperlink" Target="https://pbs.twimg.com/profile_images/1838820667996672000/7E8r4_aW_400x400.jpg" TargetMode="External"/><Relationship Id="rId2747" Type="http://schemas.openxmlformats.org/officeDocument/2006/relationships/hyperlink" Target="https://pbs.twimg.com/profile_images/1871330840774426625/pjvENjuB_normal.jpg" TargetMode="External"/><Relationship Id="rId2954" Type="http://schemas.openxmlformats.org/officeDocument/2006/relationships/hyperlink" Target="https://x.com/kurorosage/status/1879253461747040412" TargetMode="External"/><Relationship Id="rId719" Type="http://schemas.openxmlformats.org/officeDocument/2006/relationships/hyperlink" Target="https://pbs.twimg.com/profile_images/1864599208164007936/jUsAWLJS_400x400.jpg" TargetMode="External"/><Relationship Id="rId926" Type="http://schemas.openxmlformats.org/officeDocument/2006/relationships/hyperlink" Target="https://pbs.twimg.com/profile_images/1863792574860816384/-B0vvgk7_400x400.jpg" TargetMode="External"/><Relationship Id="rId1556" Type="http://schemas.openxmlformats.org/officeDocument/2006/relationships/hyperlink" Target="https://pbs.twimg.com/profile_images/1858525221239541760/cdVuaQ4q_400x400.jpg" TargetMode="External"/><Relationship Id="rId1763" Type="http://schemas.openxmlformats.org/officeDocument/2006/relationships/hyperlink" Target="https://pbs.twimg.com/profile_images/1874659389405335552/u6B44qzK_400x400.jpg" TargetMode="External"/><Relationship Id="rId1970" Type="http://schemas.openxmlformats.org/officeDocument/2006/relationships/hyperlink" Target="https://pbs.twimg.com/profile_images/1878339029185245184/VrjyNcWE_400x400.jpg" TargetMode="External"/><Relationship Id="rId2607" Type="http://schemas.openxmlformats.org/officeDocument/2006/relationships/hyperlink" Target="https://www.cookie.fun/agent/agent-yp" TargetMode="External"/><Relationship Id="rId2814" Type="http://schemas.openxmlformats.org/officeDocument/2006/relationships/hyperlink" Target="https://pbs.twimg.com/profile_images/1834157145299763200/Fh1b6K9r_normal.jpg" TargetMode="External"/><Relationship Id="rId55" Type="http://schemas.openxmlformats.org/officeDocument/2006/relationships/hyperlink" Target="https://www.cookie.fun/chains/solana.svg" TargetMode="External"/><Relationship Id="rId1209" Type="http://schemas.openxmlformats.org/officeDocument/2006/relationships/hyperlink" Target="https://www.cookie.fun/chains/solana.svg" TargetMode="External"/><Relationship Id="rId1416" Type="http://schemas.openxmlformats.org/officeDocument/2006/relationships/hyperlink" Target="https://www.cookie.fun/chains/solana.svg" TargetMode="External"/><Relationship Id="rId1623" Type="http://schemas.openxmlformats.org/officeDocument/2006/relationships/hyperlink" Target="https://www.cookie.fun/chains/solana.svg" TargetMode="External"/><Relationship Id="rId1830" Type="http://schemas.openxmlformats.org/officeDocument/2006/relationships/hyperlink" Target="https://www.cookie.fun/chains/solana.svg" TargetMode="External"/><Relationship Id="rId3588" Type="http://schemas.openxmlformats.org/officeDocument/2006/relationships/hyperlink" Target="https://www.cookie.fun/chains/arbitrum.svg" TargetMode="External"/><Relationship Id="rId3795" Type="http://schemas.openxmlformats.org/officeDocument/2006/relationships/hyperlink" Target="https://www.cookie.fun/agent/music" TargetMode="External"/><Relationship Id="rId2397" Type="http://schemas.openxmlformats.org/officeDocument/2006/relationships/hyperlink" Target="https://pbs.twimg.com/profile_images/1733260923094155264/VUqJ7HGV_normal.jpg" TargetMode="External"/><Relationship Id="rId3448" Type="http://schemas.openxmlformats.org/officeDocument/2006/relationships/hyperlink" Target="https://pbs.twimg.com/profile_images/1855533647324913664/lQ3i5qLX_normal.jpg" TargetMode="External"/><Relationship Id="rId3655" Type="http://schemas.openxmlformats.org/officeDocument/2006/relationships/hyperlink" Target="https://pbs.twimg.com/profile_images/1875747557445361665/3IWSaZY-_normal.jpg" TargetMode="External"/><Relationship Id="rId3862" Type="http://schemas.openxmlformats.org/officeDocument/2006/relationships/hyperlink" Target="https://x.com/0xLawl/status/1878872318774222897" TargetMode="External"/><Relationship Id="rId369" Type="http://schemas.openxmlformats.org/officeDocument/2006/relationships/hyperlink" Target="https://www.cookie.fun/chains/solana.svg" TargetMode="External"/><Relationship Id="rId576" Type="http://schemas.openxmlformats.org/officeDocument/2006/relationships/hyperlink" Target="https://pbs.twimg.com/profile_images/1862402590190837760/yw0B_hLk_400x400.jpg" TargetMode="External"/><Relationship Id="rId783" Type="http://schemas.openxmlformats.org/officeDocument/2006/relationships/hyperlink" Target="https://www.cookie.fun/chains/solana.svg" TargetMode="External"/><Relationship Id="rId990" Type="http://schemas.openxmlformats.org/officeDocument/2006/relationships/hyperlink" Target="https://www.cookie.fun/chains/base.svg" TargetMode="External"/><Relationship Id="rId2257" Type="http://schemas.openxmlformats.org/officeDocument/2006/relationships/hyperlink" Target="https://pbs.twimg.com/profile_images/1878134578394943488/rKh2fuoT_400x400.jpg" TargetMode="External"/><Relationship Id="rId2464" Type="http://schemas.openxmlformats.org/officeDocument/2006/relationships/hyperlink" Target="https://pbs.twimg.com/profile_images/1855867085810962432/MNI_0PrH_400x400.jpg" TargetMode="External"/><Relationship Id="rId2671" Type="http://schemas.openxmlformats.org/officeDocument/2006/relationships/hyperlink" Target="https://pbs.twimg.com/profile_images/1865248625678520325/K8QQsqDl_normal.jpg" TargetMode="External"/><Relationship Id="rId3308" Type="http://schemas.openxmlformats.org/officeDocument/2006/relationships/hyperlink" Target="https://pbs.twimg.com/profile_images/1852448263108239360/Yj_RgJWP_normal.jpg" TargetMode="External"/><Relationship Id="rId3515" Type="http://schemas.openxmlformats.org/officeDocument/2006/relationships/hyperlink" Target="https://pbs.twimg.com/profile_images/1861853875369594880/zByXHcTT_normal.jpg" TargetMode="External"/><Relationship Id="rId229" Type="http://schemas.openxmlformats.org/officeDocument/2006/relationships/hyperlink" Target="https://www.cookie.fun/chains/solana.svg" TargetMode="External"/><Relationship Id="rId436" Type="http://schemas.openxmlformats.org/officeDocument/2006/relationships/hyperlink" Target="https://www.cookie.fun/chains/base.svg" TargetMode="External"/><Relationship Id="rId643" Type="http://schemas.openxmlformats.org/officeDocument/2006/relationships/hyperlink" Target="https://www.cookie.fun/agent/dnd-arena" TargetMode="External"/><Relationship Id="rId1066" Type="http://schemas.openxmlformats.org/officeDocument/2006/relationships/hyperlink" Target="https://www.cookie.fun/agent/azile" TargetMode="External"/><Relationship Id="rId1273" Type="http://schemas.openxmlformats.org/officeDocument/2006/relationships/hyperlink" Target="https://www.cookie.fun/agent/holmes" TargetMode="External"/><Relationship Id="rId1480" Type="http://schemas.openxmlformats.org/officeDocument/2006/relationships/hyperlink" Target="https://www.cookie.fun/agent/aiherm" TargetMode="External"/><Relationship Id="rId2117" Type="http://schemas.openxmlformats.org/officeDocument/2006/relationships/hyperlink" Target="https://pbs.twimg.com/profile_images/1874508028591964160/zNIwLYHp_400x400.jpg" TargetMode="External"/><Relationship Id="rId2324" Type="http://schemas.openxmlformats.org/officeDocument/2006/relationships/hyperlink" Target="https://x.com/osf_rekt/status/1879180178364248516" TargetMode="External"/><Relationship Id="rId3722" Type="http://schemas.openxmlformats.org/officeDocument/2006/relationships/hyperlink" Target="https://www.cookie.fun/chains/solana.svg" TargetMode="External"/><Relationship Id="rId850" Type="http://schemas.openxmlformats.org/officeDocument/2006/relationships/hyperlink" Target="https://www.cookie.fun/agent/michael-taolor-" TargetMode="External"/><Relationship Id="rId1133" Type="http://schemas.openxmlformats.org/officeDocument/2006/relationships/hyperlink" Target="https://pbs.twimg.com/profile_images/1866680925754462208/rfFEFZO2_400x400.jpg" TargetMode="External"/><Relationship Id="rId2531" Type="http://schemas.openxmlformats.org/officeDocument/2006/relationships/hyperlink" Target="https://pbs.twimg.com/profile_images/1833249183706583042/KmF6NY6__normal.jpg" TargetMode="External"/><Relationship Id="rId503" Type="http://schemas.openxmlformats.org/officeDocument/2006/relationships/hyperlink" Target="https://www.cookie.fun/agent/intern" TargetMode="External"/><Relationship Id="rId710" Type="http://schemas.openxmlformats.org/officeDocument/2006/relationships/hyperlink" Target="https://pbs.twimg.com/profile_images/1866828131044372480/rtqfHL2-_400x400.jpg" TargetMode="External"/><Relationship Id="rId1340" Type="http://schemas.openxmlformats.org/officeDocument/2006/relationships/hyperlink" Target="https://pbs.twimg.com/profile_images/1860478650057203712/wJRqaJkx_400x400.jpg" TargetMode="External"/><Relationship Id="rId3098" Type="http://schemas.openxmlformats.org/officeDocument/2006/relationships/hyperlink" Target="https://pbs.twimg.com/profile_images/1752826759504965632/_BJV6z9l_normal.jpg" TargetMode="External"/><Relationship Id="rId1200" Type="http://schemas.openxmlformats.org/officeDocument/2006/relationships/hyperlink" Target="https://www.cookie.fun/chains/solana.svg" TargetMode="External"/><Relationship Id="rId4149" Type="http://schemas.openxmlformats.org/officeDocument/2006/relationships/hyperlink" Target="https://www.cookie.fun/chains/solana.svg" TargetMode="External"/><Relationship Id="rId3165" Type="http://schemas.openxmlformats.org/officeDocument/2006/relationships/hyperlink" Target="https://pbs.twimg.com/profile_images/1812479890282749952/_iGDrK6u_normal.jpg" TargetMode="External"/><Relationship Id="rId3372" Type="http://schemas.openxmlformats.org/officeDocument/2006/relationships/hyperlink" Target="https://pbs.twimg.com/profile_images/1607967887305887745/pN-Bl6pc_normal.jpg" TargetMode="External"/><Relationship Id="rId4009" Type="http://schemas.openxmlformats.org/officeDocument/2006/relationships/hyperlink" Target="https://pbs.twimg.com/profile_images/1774498259257511936/pxGsqnO-_normal.jpg" TargetMode="External"/><Relationship Id="rId293" Type="http://schemas.openxmlformats.org/officeDocument/2006/relationships/hyperlink" Target="https://pbs.twimg.com/profile_images/1830000985609273344/Qsf2dzhz_400x400.jpg" TargetMode="External"/><Relationship Id="rId2181" Type="http://schemas.openxmlformats.org/officeDocument/2006/relationships/hyperlink" Target="https://pbs.twimg.com/profile_images/1870444245804597248/P22snD0f_400x400.jpg" TargetMode="External"/><Relationship Id="rId3025" Type="http://schemas.openxmlformats.org/officeDocument/2006/relationships/hyperlink" Target="https://pbs.twimg.com/profile_images/1859327780703309824/xa29TGP-_400x400.jpg" TargetMode="External"/><Relationship Id="rId3232" Type="http://schemas.openxmlformats.org/officeDocument/2006/relationships/hyperlink" Target="https://www.cookie.fun/chains/solana.svg" TargetMode="External"/><Relationship Id="rId153" Type="http://schemas.openxmlformats.org/officeDocument/2006/relationships/hyperlink" Target="https://www.cookie.fun/agent/wmm" TargetMode="External"/><Relationship Id="rId360" Type="http://schemas.openxmlformats.org/officeDocument/2006/relationships/hyperlink" Target="https://www.cookie.fun/chains/solana.svg" TargetMode="External"/><Relationship Id="rId2041" Type="http://schemas.openxmlformats.org/officeDocument/2006/relationships/hyperlink" Target="https://www.cookie.fun/agent/echomorphai" TargetMode="External"/><Relationship Id="rId220" Type="http://schemas.openxmlformats.org/officeDocument/2006/relationships/hyperlink" Target="https://pbs.twimg.com/profile_images/1822955310459334657/59u8XJL3_normal.jpg" TargetMode="External"/><Relationship Id="rId2998" Type="http://schemas.openxmlformats.org/officeDocument/2006/relationships/hyperlink" Target="https://pbs.twimg.com/profile_images/1585198113794494470/BklvuxQy_normal.jpg" TargetMode="External"/><Relationship Id="rId2858" Type="http://schemas.openxmlformats.org/officeDocument/2006/relationships/hyperlink" Target="https://pbs.twimg.com/profile_images/1856169719058841600/wKC9a-5f_400x400.jpg" TargetMode="External"/><Relationship Id="rId3909" Type="http://schemas.openxmlformats.org/officeDocument/2006/relationships/hyperlink" Target="https://www.cookie.fun/agent/santa" TargetMode="External"/><Relationship Id="rId4073" Type="http://schemas.openxmlformats.org/officeDocument/2006/relationships/hyperlink" Target="https://www.cookie.fun/agent/deep-worm" TargetMode="External"/><Relationship Id="rId99" Type="http://schemas.openxmlformats.org/officeDocument/2006/relationships/hyperlink" Target="https://pbs.twimg.com/profile_images/1794394967173210112/F9rS3xKQ_normal.jpg" TargetMode="External"/><Relationship Id="rId1667" Type="http://schemas.openxmlformats.org/officeDocument/2006/relationships/hyperlink" Target="https://pbs.twimg.com/profile_images/1858044277881974784/DbNJvhrE_400x400.jpg" TargetMode="External"/><Relationship Id="rId1874" Type="http://schemas.openxmlformats.org/officeDocument/2006/relationships/hyperlink" Target="https://pbs.twimg.com/profile_images/1874840129476628480/7vspI5pJ_400x400.jpg" TargetMode="External"/><Relationship Id="rId2718" Type="http://schemas.openxmlformats.org/officeDocument/2006/relationships/hyperlink" Target="https://x.com/crypto_linn/status/1878748127475445816" TargetMode="External"/><Relationship Id="rId2925" Type="http://schemas.openxmlformats.org/officeDocument/2006/relationships/hyperlink" Target="https://pbs.twimg.com/profile_images/1732097798424662016/XksPWfST_normal.jpg" TargetMode="External"/><Relationship Id="rId1527" Type="http://schemas.openxmlformats.org/officeDocument/2006/relationships/hyperlink" Target="https://www.cookie.fun/chains/solana.svg" TargetMode="External"/><Relationship Id="rId1734" Type="http://schemas.openxmlformats.org/officeDocument/2006/relationships/hyperlink" Target="https://www.cookie.fun/chains/solana.svg" TargetMode="External"/><Relationship Id="rId1941" Type="http://schemas.openxmlformats.org/officeDocument/2006/relationships/hyperlink" Target="https://x.com/sweetman_eth/status/1878851821495824441" TargetMode="External"/><Relationship Id="rId4140" Type="http://schemas.openxmlformats.org/officeDocument/2006/relationships/hyperlink" Target="https://pbs.twimg.com/profile_images/1859074255088123904/5G-zRaO5_400x400.jpg" TargetMode="External"/><Relationship Id="rId26" Type="http://schemas.openxmlformats.org/officeDocument/2006/relationships/hyperlink" Target="https://www.cookie.fun/agent/symx" TargetMode="External"/><Relationship Id="rId3699" Type="http://schemas.openxmlformats.org/officeDocument/2006/relationships/hyperlink" Target="https://x.com/SatsMoonSoon/status/1877827986885382165" TargetMode="External"/><Relationship Id="rId4000" Type="http://schemas.openxmlformats.org/officeDocument/2006/relationships/hyperlink" Target="https://www.cookie.fun/agent/lily-warden" TargetMode="External"/><Relationship Id="rId1801" Type="http://schemas.openxmlformats.org/officeDocument/2006/relationships/hyperlink" Target="https://www.cookie.fun/agent/skylar" TargetMode="External"/><Relationship Id="rId3559" Type="http://schemas.openxmlformats.org/officeDocument/2006/relationships/hyperlink" Target="https://pbs.twimg.com/profile_images/1834157145299763200/Fh1b6K9r_normal.jpg" TargetMode="External"/><Relationship Id="rId687" Type="http://schemas.openxmlformats.org/officeDocument/2006/relationships/hyperlink" Target="https://www.cookie.fun/chains/base.svg" TargetMode="External"/><Relationship Id="rId2368" Type="http://schemas.openxmlformats.org/officeDocument/2006/relationships/hyperlink" Target="https://pbs.twimg.com/profile_images/1861683543350616067/zJEJdZZc_400x400.jpg" TargetMode="External"/><Relationship Id="rId3766" Type="http://schemas.openxmlformats.org/officeDocument/2006/relationships/hyperlink" Target="https://www.cookie.fun/agent/misato" TargetMode="External"/><Relationship Id="rId3973" Type="http://schemas.openxmlformats.org/officeDocument/2006/relationships/hyperlink" Target="https://www.cookie.fun/agent/tsuba" TargetMode="External"/><Relationship Id="rId894" Type="http://schemas.openxmlformats.org/officeDocument/2006/relationships/hyperlink" Target="https://www.cookie.fun/chains/base.svg" TargetMode="External"/><Relationship Id="rId1177" Type="http://schemas.openxmlformats.org/officeDocument/2006/relationships/hyperlink" Target="https://www.cookie.fun/agent/zeresis" TargetMode="External"/><Relationship Id="rId2575" Type="http://schemas.openxmlformats.org/officeDocument/2006/relationships/hyperlink" Target="https://pbs.twimg.com/profile_images/1554027145420500992/0oOUOv6L_normal.jpg" TargetMode="External"/><Relationship Id="rId2782" Type="http://schemas.openxmlformats.org/officeDocument/2006/relationships/hyperlink" Target="https://pbs.twimg.com/profile_images/1872937933839450119/rmJyvgwE_normal.jpg" TargetMode="External"/><Relationship Id="rId3419" Type="http://schemas.openxmlformats.org/officeDocument/2006/relationships/hyperlink" Target="https://www.cookie.fun/agent/koby" TargetMode="External"/><Relationship Id="rId3626" Type="http://schemas.openxmlformats.org/officeDocument/2006/relationships/hyperlink" Target="https://pbs.twimg.com/profile_images/1854974578042253312/7JIanElc_normal.jpg" TargetMode="External"/><Relationship Id="rId3833" Type="http://schemas.openxmlformats.org/officeDocument/2006/relationships/hyperlink" Target="https://pbs.twimg.com/profile_images/1852860586838904833/dhAeFN_C_400x400.jpg" TargetMode="External"/><Relationship Id="rId547" Type="http://schemas.openxmlformats.org/officeDocument/2006/relationships/hyperlink" Target="https://www.cookie.fun/chains/base.svg" TargetMode="External"/><Relationship Id="rId754" Type="http://schemas.openxmlformats.org/officeDocument/2006/relationships/hyperlink" Target="https://www.cookie.fun/agent/delusional-bulls-ai" TargetMode="External"/><Relationship Id="rId961" Type="http://schemas.openxmlformats.org/officeDocument/2006/relationships/hyperlink" Target="https://www.cookie.fun/agent/the-kid" TargetMode="External"/><Relationship Id="rId1384" Type="http://schemas.openxmlformats.org/officeDocument/2006/relationships/hyperlink" Target="https://www.cookie.fun/agent/epoch" TargetMode="External"/><Relationship Id="rId1591" Type="http://schemas.openxmlformats.org/officeDocument/2006/relationships/hyperlink" Target="https://www.cookie.fun/agent/degod270" TargetMode="External"/><Relationship Id="rId2228" Type="http://schemas.openxmlformats.org/officeDocument/2006/relationships/hyperlink" Target="https://pbs.twimg.com/profile_images/1869093295378538496/JUVmMyEC_400x400.jpg" TargetMode="External"/><Relationship Id="rId2435" Type="http://schemas.openxmlformats.org/officeDocument/2006/relationships/hyperlink" Target="https://pbs.twimg.com/profile_images/1721158078765424640/hFrzagyZ_normal.jpg" TargetMode="External"/><Relationship Id="rId2642" Type="http://schemas.openxmlformats.org/officeDocument/2006/relationships/hyperlink" Target="https://x.com/traderrocko/status/1877712558238437838" TargetMode="External"/><Relationship Id="rId3900" Type="http://schemas.openxmlformats.org/officeDocument/2006/relationships/hyperlink" Target="https://pbs.twimg.com/profile_images/1852388249932541957/sNRChehH_400x400.jpg" TargetMode="External"/><Relationship Id="rId90" Type="http://schemas.openxmlformats.org/officeDocument/2006/relationships/hyperlink" Target="https://pbs.twimg.com/profile_images/1874757177279148032/2tcaL0Wh_400x400.jpg" TargetMode="External"/><Relationship Id="rId407" Type="http://schemas.openxmlformats.org/officeDocument/2006/relationships/hyperlink" Target="https://pbs.twimg.com/profile_images/1859846747171983360/hqVn000X_400x400.jpg" TargetMode="External"/><Relationship Id="rId614" Type="http://schemas.openxmlformats.org/officeDocument/2006/relationships/hyperlink" Target="https://pbs.twimg.com/profile_images/1853175342552489984/Qj6uMHg5_400x400.jpg" TargetMode="External"/><Relationship Id="rId821" Type="http://schemas.openxmlformats.org/officeDocument/2006/relationships/hyperlink" Target="https://pbs.twimg.com/profile_images/1866965792513986562/HrKelVoE_400x400.jpg" TargetMode="External"/><Relationship Id="rId1037" Type="http://schemas.openxmlformats.org/officeDocument/2006/relationships/hyperlink" Target="https://pbs.twimg.com/profile_images/1871342067609145344/1ZC_NgD5_400x400.jpg" TargetMode="External"/><Relationship Id="rId1244" Type="http://schemas.openxmlformats.org/officeDocument/2006/relationships/hyperlink" Target="https://pbs.twimg.com/profile_images/1862758765054791681/GOW_GuLy_400x400.jpg" TargetMode="External"/><Relationship Id="rId1451" Type="http://schemas.openxmlformats.org/officeDocument/2006/relationships/hyperlink" Target="https://pbs.twimg.com/profile_images/1858878650982055936/MdWreObr_400x400.jpg" TargetMode="External"/><Relationship Id="rId2502" Type="http://schemas.openxmlformats.org/officeDocument/2006/relationships/hyperlink" Target="https://x.com/RealKatoOG/status/1877365830507225231" TargetMode="External"/><Relationship Id="rId1104" Type="http://schemas.openxmlformats.org/officeDocument/2006/relationships/hyperlink" Target="https://www.cookie.fun/chains/solana.svg" TargetMode="External"/><Relationship Id="rId1311" Type="http://schemas.openxmlformats.org/officeDocument/2006/relationships/hyperlink" Target="https://www.cookie.fun/chains/solana.svg" TargetMode="External"/><Relationship Id="rId3069" Type="http://schemas.openxmlformats.org/officeDocument/2006/relationships/hyperlink" Target="https://pbs.twimg.com/profile_images/1876026103866736640/kGkyjKbA_400x400.jpg" TargetMode="External"/><Relationship Id="rId3276" Type="http://schemas.openxmlformats.org/officeDocument/2006/relationships/hyperlink" Target="https://www.cookie.fun/chains/base.svg" TargetMode="External"/><Relationship Id="rId3483" Type="http://schemas.openxmlformats.org/officeDocument/2006/relationships/hyperlink" Target="https://www.cookie.fun/agent/certaik" TargetMode="External"/><Relationship Id="rId3690" Type="http://schemas.openxmlformats.org/officeDocument/2006/relationships/hyperlink" Target="https://www.cookie.fun/agent/sarah" TargetMode="External"/><Relationship Id="rId197" Type="http://schemas.openxmlformats.org/officeDocument/2006/relationships/hyperlink" Target="https://www.cookie.fun/chains/base.svg" TargetMode="External"/><Relationship Id="rId2085" Type="http://schemas.openxmlformats.org/officeDocument/2006/relationships/hyperlink" Target="https://pbs.twimg.com/profile_images/1879041721851592704/0Rk9RZ7s_400x400.jpg" TargetMode="External"/><Relationship Id="rId2292" Type="http://schemas.openxmlformats.org/officeDocument/2006/relationships/hyperlink" Target="https://x.com/tonyplasencia3/status/1877050092328267780" TargetMode="External"/><Relationship Id="rId3136" Type="http://schemas.openxmlformats.org/officeDocument/2006/relationships/hyperlink" Target="https://www.cookie.fun/chains/solana.svg" TargetMode="External"/><Relationship Id="rId3343" Type="http://schemas.openxmlformats.org/officeDocument/2006/relationships/hyperlink" Target="https://x.com/0xNefu/status/1877115793156002040" TargetMode="External"/><Relationship Id="rId264" Type="http://schemas.openxmlformats.org/officeDocument/2006/relationships/hyperlink" Target="https://www.cookie.fun/chains/solana.svg" TargetMode="External"/><Relationship Id="rId471" Type="http://schemas.openxmlformats.org/officeDocument/2006/relationships/hyperlink" Target="https://pbs.twimg.com/profile_images/1861401016505151488/zNBu68iu_400x400.jpg" TargetMode="External"/><Relationship Id="rId2152" Type="http://schemas.openxmlformats.org/officeDocument/2006/relationships/hyperlink" Target="https://pbs.twimg.com/profile_images/1867966329254199296/1hUYs3ad_400x400.jpg" TargetMode="External"/><Relationship Id="rId3550" Type="http://schemas.openxmlformats.org/officeDocument/2006/relationships/hyperlink" Target="https://pbs.twimg.com/profile_images/1480238186009804802/PV-g6QGk_normal.jpg" TargetMode="External"/><Relationship Id="rId124" Type="http://schemas.openxmlformats.org/officeDocument/2006/relationships/hyperlink" Target="https://www.cookie.fun/chains/solana.svg" TargetMode="External"/><Relationship Id="rId3203" Type="http://schemas.openxmlformats.org/officeDocument/2006/relationships/hyperlink" Target="https://x.com/NFTBiker/status/1879296049527021734" TargetMode="External"/><Relationship Id="rId3410" Type="http://schemas.openxmlformats.org/officeDocument/2006/relationships/hyperlink" Target="https://www.cookie.fun/chains/solana.svg" TargetMode="External"/><Relationship Id="rId331" Type="http://schemas.openxmlformats.org/officeDocument/2006/relationships/hyperlink" Target="https://www.cookie.fun/agent/marie-ai-6900" TargetMode="External"/><Relationship Id="rId2012" Type="http://schemas.openxmlformats.org/officeDocument/2006/relationships/hyperlink" Target="https://pbs.twimg.com/profile_images/1877529245699944450/kQJh8dBd_400x400.png" TargetMode="External"/><Relationship Id="rId2969" Type="http://schemas.openxmlformats.org/officeDocument/2006/relationships/hyperlink" Target="https://x.com/Rewkang/status/1877483786599838026" TargetMode="External"/><Relationship Id="rId1778" Type="http://schemas.openxmlformats.org/officeDocument/2006/relationships/hyperlink" Target="https://pbs.twimg.com/profile_images/1874758055403106304/WwQdp4Wc_400x400.jpg" TargetMode="External"/><Relationship Id="rId1985" Type="http://schemas.openxmlformats.org/officeDocument/2006/relationships/hyperlink" Target="https://pbs.twimg.com/profile_images/1876179368235462656/B6glrMcX_400x400.jpg" TargetMode="External"/><Relationship Id="rId2829" Type="http://schemas.openxmlformats.org/officeDocument/2006/relationships/hyperlink" Target="https://x.com/Alejandro_XBT/status/1877780590373560769" TargetMode="External"/><Relationship Id="rId1638" Type="http://schemas.openxmlformats.org/officeDocument/2006/relationships/hyperlink" Target="https://www.cookie.fun/chains/solana.svg" TargetMode="External"/><Relationship Id="rId4044" Type="http://schemas.openxmlformats.org/officeDocument/2006/relationships/hyperlink" Target="https://pbs.twimg.com/profile_images/1753638166416789504/mtdOiLx8_normal.jpg" TargetMode="External"/><Relationship Id="rId1845" Type="http://schemas.openxmlformats.org/officeDocument/2006/relationships/hyperlink" Target="https://www.cookie.fun/chains/solana.svg" TargetMode="External"/><Relationship Id="rId3060" Type="http://schemas.openxmlformats.org/officeDocument/2006/relationships/hyperlink" Target="https://pbs.twimg.com/profile_images/1862088643541663744/6GZ61zsJ_400x400.jpg" TargetMode="External"/><Relationship Id="rId4111" Type="http://schemas.openxmlformats.org/officeDocument/2006/relationships/hyperlink" Target="https://www.cookie.fun/chains/solana.svg" TargetMode="External"/><Relationship Id="rId1705" Type="http://schemas.openxmlformats.org/officeDocument/2006/relationships/hyperlink" Target="https://www.cookie.fun/agent/qi" TargetMode="External"/><Relationship Id="rId1912" Type="http://schemas.openxmlformats.org/officeDocument/2006/relationships/hyperlink" Target="https://www.cookie.fun/agent/ai16y" TargetMode="External"/><Relationship Id="rId3877" Type="http://schemas.openxmlformats.org/officeDocument/2006/relationships/hyperlink" Target="https://pbs.twimg.com/profile_images/1876631199529267200/IG_L7xhT_normal.jpg" TargetMode="External"/><Relationship Id="rId798" Type="http://schemas.openxmlformats.org/officeDocument/2006/relationships/hyperlink" Target="https://www.cookie.fun/chains/solana.svg" TargetMode="External"/><Relationship Id="rId2479" Type="http://schemas.openxmlformats.org/officeDocument/2006/relationships/hyperlink" Target="https://pbs.twimg.com/profile_images/1861644575359512576/gwcl40Ld_normal.jpg" TargetMode="External"/><Relationship Id="rId2686" Type="http://schemas.openxmlformats.org/officeDocument/2006/relationships/hyperlink" Target="https://x.com/Benefactor_345/status/1877099243757842644" TargetMode="External"/><Relationship Id="rId2893" Type="http://schemas.openxmlformats.org/officeDocument/2006/relationships/hyperlink" Target="https://pbs.twimg.com/profile_images/1868445915809214464/hFhzO0sx_400x400.jpg" TargetMode="External"/><Relationship Id="rId3737" Type="http://schemas.openxmlformats.org/officeDocument/2006/relationships/hyperlink" Target="https://x.com/matthew_sigel/status/1877333307278442707" TargetMode="External"/><Relationship Id="rId3944" Type="http://schemas.openxmlformats.org/officeDocument/2006/relationships/hyperlink" Target="https://www.cookie.fun/chains/base.svg" TargetMode="External"/><Relationship Id="rId658" Type="http://schemas.openxmlformats.org/officeDocument/2006/relationships/hyperlink" Target="https://www.cookie.fun/agent/outerscope" TargetMode="External"/><Relationship Id="rId865" Type="http://schemas.openxmlformats.org/officeDocument/2006/relationships/hyperlink" Target="https://www.cookie.fun/agent/agent-volas-" TargetMode="External"/><Relationship Id="rId1288" Type="http://schemas.openxmlformats.org/officeDocument/2006/relationships/hyperlink" Target="https://www.cookie.fun/agent/koba" TargetMode="External"/><Relationship Id="rId1495" Type="http://schemas.openxmlformats.org/officeDocument/2006/relationships/hyperlink" Target="https://www.cookie.fun/agent/glen" TargetMode="External"/><Relationship Id="rId2339" Type="http://schemas.openxmlformats.org/officeDocument/2006/relationships/hyperlink" Target="https://pbs.twimg.com/profile_images/1862852807830777856/vfYYzndo_normal.jpg" TargetMode="External"/><Relationship Id="rId2546" Type="http://schemas.openxmlformats.org/officeDocument/2006/relationships/hyperlink" Target="https://x.com/rainbowdotme/status/1879325385571311891" TargetMode="External"/><Relationship Id="rId2753" Type="http://schemas.openxmlformats.org/officeDocument/2006/relationships/hyperlink" Target="https://www.cookie.fun/chains/solana.svg" TargetMode="External"/><Relationship Id="rId2960" Type="http://schemas.openxmlformats.org/officeDocument/2006/relationships/hyperlink" Target="https://x.com/CryptoEmpressX/status/1877597191084323209" TargetMode="External"/><Relationship Id="rId3804" Type="http://schemas.openxmlformats.org/officeDocument/2006/relationships/hyperlink" Target="https://pbs.twimg.com/profile_images/1858571164953833472/UnkKfsAI_normal.jpg" TargetMode="External"/><Relationship Id="rId518" Type="http://schemas.openxmlformats.org/officeDocument/2006/relationships/hyperlink" Target="https://www.cookie.fun/agent/gunner" TargetMode="External"/><Relationship Id="rId725" Type="http://schemas.openxmlformats.org/officeDocument/2006/relationships/hyperlink" Target="https://pbs.twimg.com/profile_images/1867470827320696832/Zljj6yEq_400x400.jpg" TargetMode="External"/><Relationship Id="rId932" Type="http://schemas.openxmlformats.org/officeDocument/2006/relationships/hyperlink" Target="https://pbs.twimg.com/profile_images/1870814949812879360/6sjARTnF_400x400.jpg" TargetMode="External"/><Relationship Id="rId1148" Type="http://schemas.openxmlformats.org/officeDocument/2006/relationships/hyperlink" Target="https://pbs.twimg.com/profile_images/1865463406716682240/5pa_JX3b_400x400.jpg" TargetMode="External"/><Relationship Id="rId1355" Type="http://schemas.openxmlformats.org/officeDocument/2006/relationships/hyperlink" Target="https://pbs.twimg.com/profile_images/1859836217652645888/nLlmnbJQ_400x400.jpg" TargetMode="External"/><Relationship Id="rId1562" Type="http://schemas.openxmlformats.org/officeDocument/2006/relationships/hyperlink" Target="https://pbs.twimg.com/profile_images/1858463247344840705/NizBpBn8_400x400.jpg" TargetMode="External"/><Relationship Id="rId2406" Type="http://schemas.openxmlformats.org/officeDocument/2006/relationships/hyperlink" Target="https://x.com/cyrilXBT/status/1878176052520050782" TargetMode="External"/><Relationship Id="rId2613" Type="http://schemas.openxmlformats.org/officeDocument/2006/relationships/hyperlink" Target="https://pbs.twimg.com/profile_images/1733260923094155264/VUqJ7HGV_normal.jpg" TargetMode="External"/><Relationship Id="rId1008" Type="http://schemas.openxmlformats.org/officeDocument/2006/relationships/hyperlink" Target="https://www.cookie.fun/chains/solana.svg" TargetMode="External"/><Relationship Id="rId1215" Type="http://schemas.openxmlformats.org/officeDocument/2006/relationships/hyperlink" Target="https://www.cookie.fun/chains/solana.svg" TargetMode="External"/><Relationship Id="rId1422" Type="http://schemas.openxmlformats.org/officeDocument/2006/relationships/hyperlink" Target="https://www.cookie.fun/chains/solana.svg" TargetMode="External"/><Relationship Id="rId2820" Type="http://schemas.openxmlformats.org/officeDocument/2006/relationships/hyperlink" Target="https://pbs.twimg.com/profile_images/1459203645782831117/GURd33BT_normal.jpg" TargetMode="External"/><Relationship Id="rId61" Type="http://schemas.openxmlformats.org/officeDocument/2006/relationships/hyperlink" Target="https://www.cookie.fun/agent/bill-nye-the-desci-guy" TargetMode="External"/><Relationship Id="rId3387" Type="http://schemas.openxmlformats.org/officeDocument/2006/relationships/hyperlink" Target="https://x.com/yoitsOG/status/1879298454939447505" TargetMode="External"/><Relationship Id="rId2196" Type="http://schemas.openxmlformats.org/officeDocument/2006/relationships/hyperlink" Target="https://www.cookie.fun/agent/memetogether" TargetMode="External"/><Relationship Id="rId3594" Type="http://schemas.openxmlformats.org/officeDocument/2006/relationships/hyperlink" Target="https://www.cookie.fun/chains/solana.svg" TargetMode="External"/><Relationship Id="rId168" Type="http://schemas.openxmlformats.org/officeDocument/2006/relationships/hyperlink" Target="https://www.cookie.fun/agent/pixie" TargetMode="External"/><Relationship Id="rId3247" Type="http://schemas.openxmlformats.org/officeDocument/2006/relationships/hyperlink" Target="https://pbs.twimg.com/profile_images/1864599209778741248/RMgjfx39_normal.jpg" TargetMode="External"/><Relationship Id="rId3454" Type="http://schemas.openxmlformats.org/officeDocument/2006/relationships/hyperlink" Target="https://www.cookie.fun/agent/gigai" TargetMode="External"/><Relationship Id="rId3661" Type="http://schemas.openxmlformats.org/officeDocument/2006/relationships/hyperlink" Target="https://www.cookie.fun/agent/spectra" TargetMode="External"/><Relationship Id="rId375" Type="http://schemas.openxmlformats.org/officeDocument/2006/relationships/hyperlink" Target="https://www.cookie.fun/chains/solana.svg" TargetMode="External"/><Relationship Id="rId582" Type="http://schemas.openxmlformats.org/officeDocument/2006/relationships/hyperlink" Target="https://pbs.twimg.com/profile_images/1876731599485652992/Uom1eiIH_400x400.jpg" TargetMode="External"/><Relationship Id="rId2056" Type="http://schemas.openxmlformats.org/officeDocument/2006/relationships/hyperlink" Target="https://www.cookie.fun/agent/pepexbt" TargetMode="External"/><Relationship Id="rId2263" Type="http://schemas.openxmlformats.org/officeDocument/2006/relationships/hyperlink" Target="https://pbs.twimg.com/profile_images/1874825832637603840/Pz4JvKsD_normal.jpg" TargetMode="External"/><Relationship Id="rId2470" Type="http://schemas.openxmlformats.org/officeDocument/2006/relationships/hyperlink" Target="https://x.com/JumperWave/status/1877417079428599858" TargetMode="External"/><Relationship Id="rId3107" Type="http://schemas.openxmlformats.org/officeDocument/2006/relationships/hyperlink" Target="https://pbs.twimg.com/profile_images/1778366683888914433/GBWz-Jp__normal.jpg" TargetMode="External"/><Relationship Id="rId3314" Type="http://schemas.openxmlformats.org/officeDocument/2006/relationships/hyperlink" Target="https://x.com/cryptotutor/status/1877100655233409184" TargetMode="External"/><Relationship Id="rId3521" Type="http://schemas.openxmlformats.org/officeDocument/2006/relationships/hyperlink" Target="https://x.com/reubs_btc/status/1877018982374326470" TargetMode="External"/><Relationship Id="rId235" Type="http://schemas.openxmlformats.org/officeDocument/2006/relationships/hyperlink" Target="https://pbs.twimg.com/profile_images/1743944537612177408/Ym9-uidp_400x400.jpg" TargetMode="External"/><Relationship Id="rId442" Type="http://schemas.openxmlformats.org/officeDocument/2006/relationships/hyperlink" Target="https://www.cookie.fun/chains/base.svg" TargetMode="External"/><Relationship Id="rId1072" Type="http://schemas.openxmlformats.org/officeDocument/2006/relationships/hyperlink" Target="https://www.cookie.fun/agent/6873" TargetMode="External"/><Relationship Id="rId2123" Type="http://schemas.openxmlformats.org/officeDocument/2006/relationships/hyperlink" Target="https://www.cookie.fun/agent/reintech" TargetMode="External"/><Relationship Id="rId2330" Type="http://schemas.openxmlformats.org/officeDocument/2006/relationships/hyperlink" Target="https://x.com/briangarrett/status/1878436851842793836" TargetMode="External"/><Relationship Id="rId302" Type="http://schemas.openxmlformats.org/officeDocument/2006/relationships/hyperlink" Target="https://pbs.twimg.com/profile_images/1824368105759399936/bEs1N1Fi_400x400.jpg" TargetMode="External"/><Relationship Id="rId4088" Type="http://schemas.openxmlformats.org/officeDocument/2006/relationships/hyperlink" Target="https://www.cookie.fun/agent/mira-parsen" TargetMode="External"/><Relationship Id="rId1889" Type="http://schemas.openxmlformats.org/officeDocument/2006/relationships/hyperlink" Target="https://pbs.twimg.com/profile_images/1874916605517275136/JeDecXH4_400x400.jpg" TargetMode="External"/><Relationship Id="rId4155" Type="http://schemas.openxmlformats.org/officeDocument/2006/relationships/hyperlink" Target="https://x.com/basilda_a/status/1878237186379710723" TargetMode="External"/><Relationship Id="rId1749" Type="http://schemas.openxmlformats.org/officeDocument/2006/relationships/hyperlink" Target="https://www.cookie.fun/chains/solana.svg" TargetMode="External"/><Relationship Id="rId1956" Type="http://schemas.openxmlformats.org/officeDocument/2006/relationships/hyperlink" Target="https://www.cookie.fun/chains/base.svg" TargetMode="External"/><Relationship Id="rId3171" Type="http://schemas.openxmlformats.org/officeDocument/2006/relationships/hyperlink" Target="https://www.cookie.fun/chains/solana.svg" TargetMode="External"/><Relationship Id="rId4015" Type="http://schemas.openxmlformats.org/officeDocument/2006/relationships/hyperlink" Target="https://www.cookie.fun/agent/gud-tech" TargetMode="External"/><Relationship Id="rId1609" Type="http://schemas.openxmlformats.org/officeDocument/2006/relationships/hyperlink" Target="https://www.cookie.fun/agent/pepebot" TargetMode="External"/><Relationship Id="rId1816" Type="http://schemas.openxmlformats.org/officeDocument/2006/relationships/hyperlink" Target="https://www.cookie.fun/agent/curaitor" TargetMode="External"/><Relationship Id="rId3031" Type="http://schemas.openxmlformats.org/officeDocument/2006/relationships/hyperlink" Target="https://x.com/The__Solstice/status/1878153005507506525" TargetMode="External"/><Relationship Id="rId3988" Type="http://schemas.openxmlformats.org/officeDocument/2006/relationships/hyperlink" Target="https://www.cookie.fun/agent/lana" TargetMode="External"/><Relationship Id="rId2797" Type="http://schemas.openxmlformats.org/officeDocument/2006/relationships/hyperlink" Target="https://x.com/BenjiGanar/status/1878174261724262553" TargetMode="External"/><Relationship Id="rId3848" Type="http://schemas.openxmlformats.org/officeDocument/2006/relationships/hyperlink" Target="https://pbs.twimg.com/profile_images/1859638138584420352/PCpAwGoI_400x400.jpg" TargetMode="External"/><Relationship Id="rId769" Type="http://schemas.openxmlformats.org/officeDocument/2006/relationships/hyperlink" Target="https://www.cookie.fun/agent/diss-god" TargetMode="External"/><Relationship Id="rId976" Type="http://schemas.openxmlformats.org/officeDocument/2006/relationships/hyperlink" Target="https://www.cookie.fun/agent/s200" TargetMode="External"/><Relationship Id="rId1399" Type="http://schemas.openxmlformats.org/officeDocument/2006/relationships/hyperlink" Target="https://www.cookie.fun/agent/avatali" TargetMode="External"/><Relationship Id="rId2657" Type="http://schemas.openxmlformats.org/officeDocument/2006/relationships/hyperlink" Target="https://www.cookie.fun/chains/solana.svg" TargetMode="External"/><Relationship Id="rId629" Type="http://schemas.openxmlformats.org/officeDocument/2006/relationships/hyperlink" Target="https://pbs.twimg.com/profile_images/1865289760526540800/FTI7VBh-_400x400.jpg" TargetMode="External"/><Relationship Id="rId1259" Type="http://schemas.openxmlformats.org/officeDocument/2006/relationships/hyperlink" Target="https://pbs.twimg.com/profile_images/1862587190066253824/poscXWj2_400x400.jpg" TargetMode="External"/><Relationship Id="rId1466" Type="http://schemas.openxmlformats.org/officeDocument/2006/relationships/hyperlink" Target="https://pbs.twimg.com/profile_images/1858726640140120064/TivRSZPI_400x400.jpg" TargetMode="External"/><Relationship Id="rId2864" Type="http://schemas.openxmlformats.org/officeDocument/2006/relationships/hyperlink" Target="https://x.com/fwielanier/status/1877379170482700403" TargetMode="External"/><Relationship Id="rId3708" Type="http://schemas.openxmlformats.org/officeDocument/2006/relationships/hyperlink" Target="https://x.com/defi_ghost/status/1877774987282579731" TargetMode="External"/><Relationship Id="rId3915" Type="http://schemas.openxmlformats.org/officeDocument/2006/relationships/hyperlink" Target="https://pbs.twimg.com/profile_images/1867615855808303104/LuW7RqE6_400x400.jpg" TargetMode="External"/><Relationship Id="rId836" Type="http://schemas.openxmlformats.org/officeDocument/2006/relationships/hyperlink" Target="https://pbs.twimg.com/profile_images/1861199789905399808/XhOc6D7x_400x400.jpg" TargetMode="External"/><Relationship Id="rId1119" Type="http://schemas.openxmlformats.org/officeDocument/2006/relationships/hyperlink" Target="https://www.cookie.fun/chains/solana.svg" TargetMode="External"/><Relationship Id="rId1673" Type="http://schemas.openxmlformats.org/officeDocument/2006/relationships/hyperlink" Target="https://pbs.twimg.com/profile_images/1857978653444915200/anbDH_Ak_400x400.jpg" TargetMode="External"/><Relationship Id="rId1880" Type="http://schemas.openxmlformats.org/officeDocument/2006/relationships/hyperlink" Target="https://pbs.twimg.com/profile_images/1875640085929959424/bpQj0n64_400x400.jpg" TargetMode="External"/><Relationship Id="rId2517" Type="http://schemas.openxmlformats.org/officeDocument/2006/relationships/hyperlink" Target="https://pbs.twimg.com/profile_images/1761532928452894720/N6A-Up8e_normal.jpg" TargetMode="External"/><Relationship Id="rId2724" Type="http://schemas.openxmlformats.org/officeDocument/2006/relationships/hyperlink" Target="https://x.com/ChillTRD/status/1879377985851334741" TargetMode="External"/><Relationship Id="rId2931" Type="http://schemas.openxmlformats.org/officeDocument/2006/relationships/hyperlink" Target="https://www.cookie.fun/agent/asym" TargetMode="External"/><Relationship Id="rId903" Type="http://schemas.openxmlformats.org/officeDocument/2006/relationships/hyperlink" Target="https://www.cookie.fun/chains/solana.svg" TargetMode="External"/><Relationship Id="rId1326" Type="http://schemas.openxmlformats.org/officeDocument/2006/relationships/hyperlink" Target="https://www.cookie.fun/chains/solana.svg" TargetMode="External"/><Relationship Id="rId1533" Type="http://schemas.openxmlformats.org/officeDocument/2006/relationships/hyperlink" Target="https://www.cookie.fun/chains/solana.svg" TargetMode="External"/><Relationship Id="rId1740" Type="http://schemas.openxmlformats.org/officeDocument/2006/relationships/hyperlink" Target="https://www.cookie.fun/chains/solana.svg" TargetMode="External"/><Relationship Id="rId32" Type="http://schemas.openxmlformats.org/officeDocument/2006/relationships/hyperlink" Target="https://www.cookie.fun/agent/rocket" TargetMode="External"/><Relationship Id="rId1600" Type="http://schemas.openxmlformats.org/officeDocument/2006/relationships/hyperlink" Target="https://www.cookie.fun/agent/chooseai" TargetMode="External"/><Relationship Id="rId3498" Type="http://schemas.openxmlformats.org/officeDocument/2006/relationships/hyperlink" Target="https://x.com/OptimusBull_/status/1877104687461093551" TargetMode="External"/><Relationship Id="rId3358" Type="http://schemas.openxmlformats.org/officeDocument/2006/relationships/hyperlink" Target="https://pbs.twimg.com/profile_images/1872364601129795584/xHubzCL8_400x400.jpg" TargetMode="External"/><Relationship Id="rId3565" Type="http://schemas.openxmlformats.org/officeDocument/2006/relationships/hyperlink" Target="https://pbs.twimg.com/profile_images/1874769738162712576/U9nykgto_normal.jpg" TargetMode="External"/><Relationship Id="rId3772" Type="http://schemas.openxmlformats.org/officeDocument/2006/relationships/hyperlink" Target="https://pbs.twimg.com/profile_images/1869696037709041664/KV7BpbYk_normal.jpg" TargetMode="External"/><Relationship Id="rId279" Type="http://schemas.openxmlformats.org/officeDocument/2006/relationships/hyperlink" Target="https://www.cookie.fun/chains/solana.svg" TargetMode="External"/><Relationship Id="rId486" Type="http://schemas.openxmlformats.org/officeDocument/2006/relationships/hyperlink" Target="https://pbs.twimg.com/profile_images/1864883649549864961/nz5zCRlp_400x400.jpg" TargetMode="External"/><Relationship Id="rId693" Type="http://schemas.openxmlformats.org/officeDocument/2006/relationships/hyperlink" Target="https://www.cookie.fun/chains/solana.svg" TargetMode="External"/><Relationship Id="rId2167" Type="http://schemas.openxmlformats.org/officeDocument/2006/relationships/hyperlink" Target="https://pbs.twimg.com/profile_images/1870933575282909184/5O2qtZW7_400x400.jpg" TargetMode="External"/><Relationship Id="rId2374" Type="http://schemas.openxmlformats.org/officeDocument/2006/relationships/hyperlink" Target="https://x.com/MightyDylanK/status/1877381954766512516" TargetMode="External"/><Relationship Id="rId2581" Type="http://schemas.openxmlformats.org/officeDocument/2006/relationships/hyperlink" Target="https://pbs.twimg.com/profile_images/1121454355700310016/WKTRKCbK_normal.png" TargetMode="External"/><Relationship Id="rId3218" Type="http://schemas.openxmlformats.org/officeDocument/2006/relationships/hyperlink" Target="https://www.cookie.fun/chains/solana.svg" TargetMode="External"/><Relationship Id="rId3425" Type="http://schemas.openxmlformats.org/officeDocument/2006/relationships/hyperlink" Target="https://pbs.twimg.com/profile_images/1866470568545091584/3RhmGAyL_normal.jpg" TargetMode="External"/><Relationship Id="rId3632" Type="http://schemas.openxmlformats.org/officeDocument/2006/relationships/hyperlink" Target="https://www.cookie.fun/chains/solana.svg" TargetMode="External"/><Relationship Id="rId139" Type="http://schemas.openxmlformats.org/officeDocument/2006/relationships/hyperlink" Target="https://pbs.twimg.com/profile_images/1861264643970174976/EUhlxq4B_400x400.jpg" TargetMode="External"/><Relationship Id="rId346" Type="http://schemas.openxmlformats.org/officeDocument/2006/relationships/hyperlink" Target="https://www.cookie.fun/agent/sam-small-autonomous-motherfucker" TargetMode="External"/><Relationship Id="rId553" Type="http://schemas.openxmlformats.org/officeDocument/2006/relationships/hyperlink" Target="https://www.cookie.fun/chains/base.svg" TargetMode="External"/><Relationship Id="rId760" Type="http://schemas.openxmlformats.org/officeDocument/2006/relationships/hyperlink" Target="https://www.cookie.fun/agent/opepenai" TargetMode="External"/><Relationship Id="rId1183" Type="http://schemas.openxmlformats.org/officeDocument/2006/relationships/hyperlink" Target="https://www.cookie.fun/agent/kek" TargetMode="External"/><Relationship Id="rId1390" Type="http://schemas.openxmlformats.org/officeDocument/2006/relationships/hyperlink" Target="https://www.cookie.fun/agent/nick" TargetMode="External"/><Relationship Id="rId2027" Type="http://schemas.openxmlformats.org/officeDocument/2006/relationships/hyperlink" Target="https://pbs.twimg.com/profile_images/1864195774638153728/O6Houl8D_400x400.jpg" TargetMode="External"/><Relationship Id="rId2234" Type="http://schemas.openxmlformats.org/officeDocument/2006/relationships/hyperlink" Target="https://www.cookie.fun/chains/solana.svg" TargetMode="External"/><Relationship Id="rId2441" Type="http://schemas.openxmlformats.org/officeDocument/2006/relationships/hyperlink" Target="https://www.cookie.fun/chains/solana.svg" TargetMode="External"/><Relationship Id="rId206" Type="http://schemas.openxmlformats.org/officeDocument/2006/relationships/hyperlink" Target="https://www.cookie.fun/chains/base.svg" TargetMode="External"/><Relationship Id="rId413" Type="http://schemas.openxmlformats.org/officeDocument/2006/relationships/hyperlink" Target="https://pbs.twimg.com/profile_images/1863322129988517888/FN81JyP8_400x400.jpg" TargetMode="External"/><Relationship Id="rId1043" Type="http://schemas.openxmlformats.org/officeDocument/2006/relationships/hyperlink" Target="https://pbs.twimg.com/profile_images/1792448494969753600/kjkeme3o_400x400.jpg" TargetMode="External"/><Relationship Id="rId620" Type="http://schemas.openxmlformats.org/officeDocument/2006/relationships/hyperlink" Target="https://pbs.twimg.com/profile_images/1863995071487426560/pNudrRoF_400x400.jpg" TargetMode="External"/><Relationship Id="rId1250" Type="http://schemas.openxmlformats.org/officeDocument/2006/relationships/hyperlink" Target="https://pbs.twimg.com/profile_images/1862493133025456129/751mj8ir_400x400.jpg" TargetMode="External"/><Relationship Id="rId2301" Type="http://schemas.openxmlformats.org/officeDocument/2006/relationships/hyperlink" Target="https://pbs.twimg.com/profile_images/1794709660844359680/zbYJdfZs_normal.jpg" TargetMode="External"/><Relationship Id="rId4059" Type="http://schemas.openxmlformats.org/officeDocument/2006/relationships/hyperlink" Target="https://pbs.twimg.com/profile_images/1874800519367278592/3UI7A6W8_normal.jpg" TargetMode="External"/><Relationship Id="rId1110" Type="http://schemas.openxmlformats.org/officeDocument/2006/relationships/hyperlink" Target="https://www.cookie.fun/chains/solana.svg" TargetMode="External"/><Relationship Id="rId1927" Type="http://schemas.openxmlformats.org/officeDocument/2006/relationships/hyperlink" Target="https://www.cookie.fun/agent/roko" TargetMode="External"/><Relationship Id="rId3075" Type="http://schemas.openxmlformats.org/officeDocument/2006/relationships/hyperlink" Target="https://x.com/0xcryptowizard/status/1877200255004942640" TargetMode="External"/><Relationship Id="rId3282" Type="http://schemas.openxmlformats.org/officeDocument/2006/relationships/hyperlink" Target="https://pbs.twimg.com/profile_images/1856479912011440128/WhuuUxEc_normal.jpg" TargetMode="External"/><Relationship Id="rId4126" Type="http://schemas.openxmlformats.org/officeDocument/2006/relationships/hyperlink" Target="https://www.cookie.fun/chains/solana.svg" TargetMode="External"/><Relationship Id="rId2091" Type="http://schemas.openxmlformats.org/officeDocument/2006/relationships/hyperlink" Target="https://pbs.twimg.com/profile_images/1871226381381586944/XwzJD_y9_400x400.jpg" TargetMode="External"/><Relationship Id="rId3142" Type="http://schemas.openxmlformats.org/officeDocument/2006/relationships/hyperlink" Target="https://pbs.twimg.com/profile_images/1765921509879537664/dAebweUc_normal.jpg" TargetMode="External"/><Relationship Id="rId270" Type="http://schemas.openxmlformats.org/officeDocument/2006/relationships/hyperlink" Target="https://www.cookie.fun/chains/solana.svg" TargetMode="External"/><Relationship Id="rId3002" Type="http://schemas.openxmlformats.org/officeDocument/2006/relationships/hyperlink" Target="https://www.cookie.fun/chains/solana.svg" TargetMode="External"/><Relationship Id="rId130" Type="http://schemas.openxmlformats.org/officeDocument/2006/relationships/hyperlink" Target="https://pbs.twimg.com/profile_images/1855025232530063360/PWwC4h4c_400x400.jpg" TargetMode="External"/><Relationship Id="rId3959" Type="http://schemas.openxmlformats.org/officeDocument/2006/relationships/hyperlink" Target="https://x.com/phunk2243/status/1879323081627603183" TargetMode="External"/><Relationship Id="rId2768" Type="http://schemas.openxmlformats.org/officeDocument/2006/relationships/hyperlink" Target="https://x.com/DSentralized/status/1877030280839548935" TargetMode="External"/><Relationship Id="rId2975" Type="http://schemas.openxmlformats.org/officeDocument/2006/relationships/hyperlink" Target="https://x.com/0xCaptainLevi/status/1877565949072568664" TargetMode="External"/><Relationship Id="rId3819" Type="http://schemas.openxmlformats.org/officeDocument/2006/relationships/hyperlink" Target="https://www.cookie.fun/chains/solana.svg" TargetMode="External"/><Relationship Id="rId947" Type="http://schemas.openxmlformats.org/officeDocument/2006/relationships/hyperlink" Target="https://pbs.twimg.com/profile_images/1861977017488379904/q130zl5u_400x400.jpg" TargetMode="External"/><Relationship Id="rId1577" Type="http://schemas.openxmlformats.org/officeDocument/2006/relationships/hyperlink" Target="https://pbs.twimg.com/profile_images/1860336816869769217/D9LKPlus_400x400.jpg" TargetMode="External"/><Relationship Id="rId1784" Type="http://schemas.openxmlformats.org/officeDocument/2006/relationships/hyperlink" Target="https://pbs.twimg.com/profile_images/1869060831532523520/Nr3Fcqwf_400x400.jpg" TargetMode="External"/><Relationship Id="rId1991" Type="http://schemas.openxmlformats.org/officeDocument/2006/relationships/hyperlink" Target="https://pbs.twimg.com/profile_images/1877013644099063808/Epv7j9Q7_400x400.jpg" TargetMode="External"/><Relationship Id="rId2628" Type="http://schemas.openxmlformats.org/officeDocument/2006/relationships/hyperlink" Target="https://x.com/0xDamien/status/1878259964826841524" TargetMode="External"/><Relationship Id="rId2835" Type="http://schemas.openxmlformats.org/officeDocument/2006/relationships/hyperlink" Target="https://www.cookie.fun/chains/solana.svg" TargetMode="External"/><Relationship Id="rId76" Type="http://schemas.openxmlformats.org/officeDocument/2006/relationships/hyperlink" Target="https://x.com/moonraygame/status/1877431046511173968" TargetMode="External"/><Relationship Id="rId807" Type="http://schemas.openxmlformats.org/officeDocument/2006/relationships/hyperlink" Target="https://www.cookie.fun/chains/solana.svg" TargetMode="External"/><Relationship Id="rId1437" Type="http://schemas.openxmlformats.org/officeDocument/2006/relationships/hyperlink" Target="https://www.cookie.fun/chains/solana.svg" TargetMode="External"/><Relationship Id="rId1644" Type="http://schemas.openxmlformats.org/officeDocument/2006/relationships/hyperlink" Target="https://www.cookie.fun/chains/solana.svg" TargetMode="External"/><Relationship Id="rId1851" Type="http://schemas.openxmlformats.org/officeDocument/2006/relationships/hyperlink" Target="https://www.cookie.fun/chains/base.svg" TargetMode="External"/><Relationship Id="rId2902" Type="http://schemas.openxmlformats.org/officeDocument/2006/relationships/hyperlink" Target="https://pbs.twimg.com/profile_images/1875027206357082112/BNDHc6Q1_normal.jpg" TargetMode="External"/><Relationship Id="rId4050" Type="http://schemas.openxmlformats.org/officeDocument/2006/relationships/hyperlink" Target="https://www.cookie.fun/chains/base.svg" TargetMode="External"/><Relationship Id="rId1504" Type="http://schemas.openxmlformats.org/officeDocument/2006/relationships/hyperlink" Target="https://www.cookie.fun/agent/dingle" TargetMode="External"/><Relationship Id="rId1711" Type="http://schemas.openxmlformats.org/officeDocument/2006/relationships/hyperlink" Target="https://www.cookie.fun/agent/capital-guard" TargetMode="External"/><Relationship Id="rId3469" Type="http://schemas.openxmlformats.org/officeDocument/2006/relationships/hyperlink" Target="https://pbs.twimg.com/profile_images/1560219928740888577/gbTc6iRK_normal.jpg" TargetMode="External"/><Relationship Id="rId3676" Type="http://schemas.openxmlformats.org/officeDocument/2006/relationships/hyperlink" Target="https://pbs.twimg.com/profile_images/1857549433409339392/9OSv_Jnu_normal.jpg" TargetMode="External"/><Relationship Id="rId597" Type="http://schemas.openxmlformats.org/officeDocument/2006/relationships/hyperlink" Target="https://pbs.twimg.com/profile_images/1864863166041059328/7q4x61NC_400x400.jpg" TargetMode="External"/><Relationship Id="rId2278" Type="http://schemas.openxmlformats.org/officeDocument/2006/relationships/hyperlink" Target="https://x.com/rasmr_eth/status/1877453259331268647" TargetMode="External"/><Relationship Id="rId2485" Type="http://schemas.openxmlformats.org/officeDocument/2006/relationships/hyperlink" Target="https://pbs.twimg.com/profile_images/1733260923094155264/VUqJ7HGV_normal.jpg" TargetMode="External"/><Relationship Id="rId3329" Type="http://schemas.openxmlformats.org/officeDocument/2006/relationships/hyperlink" Target="https://x.com/Irenezhao_/status/1879489402885558516" TargetMode="External"/><Relationship Id="rId3883" Type="http://schemas.openxmlformats.org/officeDocument/2006/relationships/hyperlink" Target="https://pbs.twimg.com/profile_images/1823694633588719616/HrwBd8MQ_normal.jpg" TargetMode="External"/><Relationship Id="rId457" Type="http://schemas.openxmlformats.org/officeDocument/2006/relationships/hyperlink" Target="https://www.cookie.fun/chains/solana.svg" TargetMode="External"/><Relationship Id="rId1087" Type="http://schemas.openxmlformats.org/officeDocument/2006/relationships/hyperlink" Target="https://www.cookie.fun/agent/sexforce" TargetMode="External"/><Relationship Id="rId1294" Type="http://schemas.openxmlformats.org/officeDocument/2006/relationships/hyperlink" Target="https://www.cookie.fun/agent/n0va" TargetMode="External"/><Relationship Id="rId2138" Type="http://schemas.openxmlformats.org/officeDocument/2006/relationships/hyperlink" Target="http://hypuwa.com/" TargetMode="External"/><Relationship Id="rId2692" Type="http://schemas.openxmlformats.org/officeDocument/2006/relationships/hyperlink" Target="https://pbs.twimg.com/profile_images/1879065631900958720/03osAUKd_400x400.jpg" TargetMode="External"/><Relationship Id="rId3536" Type="http://schemas.openxmlformats.org/officeDocument/2006/relationships/hyperlink" Target="https://pbs.twimg.com/profile_images/1499111220577767430/C9ltXeH2_normal.jpg" TargetMode="External"/><Relationship Id="rId3743" Type="http://schemas.openxmlformats.org/officeDocument/2006/relationships/hyperlink" Target="https://x.com/DeeZe/status/1878805998586180062" TargetMode="External"/><Relationship Id="rId3950" Type="http://schemas.openxmlformats.org/officeDocument/2006/relationships/hyperlink" Target="https://pbs.twimg.com/profile_images/1683578172690792449/0lcIMqcf_normal.jpg" TargetMode="External"/><Relationship Id="rId664" Type="http://schemas.openxmlformats.org/officeDocument/2006/relationships/hyperlink" Target="https://www.cookie.fun/agent/noxium" TargetMode="External"/><Relationship Id="rId871" Type="http://schemas.openxmlformats.org/officeDocument/2006/relationships/hyperlink" Target="https://www.cookie.fun/agent/gmpunk" TargetMode="External"/><Relationship Id="rId2345" Type="http://schemas.openxmlformats.org/officeDocument/2006/relationships/hyperlink" Target="https://www.cookie.fun/chains/base.svg" TargetMode="External"/><Relationship Id="rId2552" Type="http://schemas.openxmlformats.org/officeDocument/2006/relationships/hyperlink" Target="https://x.com/Cobratate/status/1877652838421029043" TargetMode="External"/><Relationship Id="rId3603" Type="http://schemas.openxmlformats.org/officeDocument/2006/relationships/hyperlink" Target="https://pbs.twimg.com/profile_images/1752826759504965632/_BJV6z9l_normal.jpg" TargetMode="External"/><Relationship Id="rId3810" Type="http://schemas.openxmlformats.org/officeDocument/2006/relationships/hyperlink" Target="https://x.com/Smokeyjoethepi1/status/1877273784664653937" TargetMode="External"/><Relationship Id="rId317" Type="http://schemas.openxmlformats.org/officeDocument/2006/relationships/hyperlink" Target="https://pbs.twimg.com/profile_images/1849408531528613888/ByADnnaL_400x400.jpg" TargetMode="External"/><Relationship Id="rId524" Type="http://schemas.openxmlformats.org/officeDocument/2006/relationships/hyperlink" Target="https://www.cookie.fun/agent/elon-musk" TargetMode="External"/><Relationship Id="rId731" Type="http://schemas.openxmlformats.org/officeDocument/2006/relationships/hyperlink" Target="https://pbs.twimg.com/profile_images/1865913409096548352/C3_Ai-N2_400x400.jpg" TargetMode="External"/><Relationship Id="rId1154" Type="http://schemas.openxmlformats.org/officeDocument/2006/relationships/hyperlink" Target="https://pbs.twimg.com/profile_images/1864720345715929088/VAoFBKEK_400x400.jpg" TargetMode="External"/><Relationship Id="rId1361" Type="http://schemas.openxmlformats.org/officeDocument/2006/relationships/hyperlink" Target="https://pbs.twimg.com/profile_images/1859763863547174912/pQcrKL40_400x400.jpg" TargetMode="External"/><Relationship Id="rId2205" Type="http://schemas.openxmlformats.org/officeDocument/2006/relationships/hyperlink" Target="https://www.cookie.fun/agent/nimbus-agent" TargetMode="External"/><Relationship Id="rId2412" Type="http://schemas.openxmlformats.org/officeDocument/2006/relationships/hyperlink" Target="https://x.com/shahh/status/1879257207180791906" TargetMode="External"/><Relationship Id="rId1014" Type="http://schemas.openxmlformats.org/officeDocument/2006/relationships/hyperlink" Target="https://www.cookie.fun/chains/solana.svg" TargetMode="External"/><Relationship Id="rId1221" Type="http://schemas.openxmlformats.org/officeDocument/2006/relationships/hyperlink" Target="https://www.cookie.fun/chains/solana.svg" TargetMode="External"/><Relationship Id="rId3186" Type="http://schemas.openxmlformats.org/officeDocument/2006/relationships/hyperlink" Target="https://pbs.twimg.com/profile_images/1612298772343816192/5o1KRFB8_normal.jpg" TargetMode="External"/><Relationship Id="rId3393" Type="http://schemas.openxmlformats.org/officeDocument/2006/relationships/hyperlink" Target="https://pbs.twimg.com/profile_images/1866663871379017728/z_VXv6Vu_400x400.jpg" TargetMode="External"/><Relationship Id="rId3046" Type="http://schemas.openxmlformats.org/officeDocument/2006/relationships/hyperlink" Target="https://pbs.twimg.com/profile_images/1701768132027707392/YyfQR5Cw_normal.png" TargetMode="External"/><Relationship Id="rId3253" Type="http://schemas.openxmlformats.org/officeDocument/2006/relationships/hyperlink" Target="https://pbs.twimg.com/profile_images/1856102351741894656/vASzKIfT_400x400.jpg" TargetMode="External"/><Relationship Id="rId3460" Type="http://schemas.openxmlformats.org/officeDocument/2006/relationships/hyperlink" Target="https://pbs.twimg.com/profile_images/1801175932314480641/8EhejS8-_normal.jpg" TargetMode="External"/><Relationship Id="rId174" Type="http://schemas.openxmlformats.org/officeDocument/2006/relationships/hyperlink" Target="https://www.cookie.fun/agent/caart" TargetMode="External"/><Relationship Id="rId381" Type="http://schemas.openxmlformats.org/officeDocument/2006/relationships/hyperlink" Target="https://www.cookie.fun/chains/solana.svg" TargetMode="External"/><Relationship Id="rId2062" Type="http://schemas.openxmlformats.org/officeDocument/2006/relationships/hyperlink" Target="https://www.cookie.fun/agent/cetos" TargetMode="External"/><Relationship Id="rId3113" Type="http://schemas.openxmlformats.org/officeDocument/2006/relationships/hyperlink" Target="https://x.com/The__Solstice/status/1878003798859554874" TargetMode="External"/><Relationship Id="rId241" Type="http://schemas.openxmlformats.org/officeDocument/2006/relationships/hyperlink" Target="https://www.cookie.fun/chains/ethereum.svg" TargetMode="External"/><Relationship Id="rId3320" Type="http://schemas.openxmlformats.org/officeDocument/2006/relationships/hyperlink" Target="https://x.com/cryptotutor/status/1877293253902376985" TargetMode="External"/><Relationship Id="rId2879" Type="http://schemas.openxmlformats.org/officeDocument/2006/relationships/hyperlink" Target="https://pbs.twimg.com/profile_images/1789364971354128385/s8FHrPnq_normal.jpg" TargetMode="External"/><Relationship Id="rId101" Type="http://schemas.openxmlformats.org/officeDocument/2006/relationships/hyperlink" Target="https://www.cookie.fun/agent/kyra" TargetMode="External"/><Relationship Id="rId1688" Type="http://schemas.openxmlformats.org/officeDocument/2006/relationships/hyperlink" Target="https://pbs.twimg.com/profile_images/1472394947638673408/22KXIJdt_400x400.jpg" TargetMode="External"/><Relationship Id="rId1895" Type="http://schemas.openxmlformats.org/officeDocument/2006/relationships/hyperlink" Target="https://pbs.twimg.com/profile_images/1875920062525349888/bSuhNEvh_400x400.jpg" TargetMode="External"/><Relationship Id="rId2739" Type="http://schemas.openxmlformats.org/officeDocument/2006/relationships/hyperlink" Target="https://www.cookie.fun/agent/eliza-wakes-up" TargetMode="External"/><Relationship Id="rId2946" Type="http://schemas.openxmlformats.org/officeDocument/2006/relationships/hyperlink" Target="https://x.com/ghost93_x/status/1878523947756503092" TargetMode="External"/><Relationship Id="rId4094" Type="http://schemas.openxmlformats.org/officeDocument/2006/relationships/hyperlink" Target="https://x.com/mobislixk/status/1878227942477574622" TargetMode="External"/><Relationship Id="rId918" Type="http://schemas.openxmlformats.org/officeDocument/2006/relationships/hyperlink" Target="https://www.cookie.fun/chains/solana.svg" TargetMode="External"/><Relationship Id="rId1548" Type="http://schemas.openxmlformats.org/officeDocument/2006/relationships/hyperlink" Target="https://www.cookie.fun/chains/solana.svg" TargetMode="External"/><Relationship Id="rId1755" Type="http://schemas.openxmlformats.org/officeDocument/2006/relationships/hyperlink" Target="https://www.cookie.fun/chains/base.svg" TargetMode="External"/><Relationship Id="rId4161" Type="http://schemas.openxmlformats.org/officeDocument/2006/relationships/hyperlink" Target="https://pbs.twimg.com/profile_images/1874802792059039744/UlgFozIt_400x400.jpg" TargetMode="External"/><Relationship Id="rId1408" Type="http://schemas.openxmlformats.org/officeDocument/2006/relationships/hyperlink" Target="https://www.cookie.fun/agent/caity" TargetMode="External"/><Relationship Id="rId1962" Type="http://schemas.openxmlformats.org/officeDocument/2006/relationships/hyperlink" Target="https://www.cookie.fun/chains/base.svg" TargetMode="External"/><Relationship Id="rId2806" Type="http://schemas.openxmlformats.org/officeDocument/2006/relationships/hyperlink" Target="https://pbs.twimg.com/profile_images/1851329073903255553/INdrP5Sc_normal.png" TargetMode="External"/><Relationship Id="rId4021" Type="http://schemas.openxmlformats.org/officeDocument/2006/relationships/hyperlink" Target="https://x.com/revolut20/status/1877325749662740804" TargetMode="External"/><Relationship Id="rId47" Type="http://schemas.openxmlformats.org/officeDocument/2006/relationships/hyperlink" Target="https://www.cookie.fun/agent/deep-whales-ai" TargetMode="External"/><Relationship Id="rId1615" Type="http://schemas.openxmlformats.org/officeDocument/2006/relationships/hyperlink" Target="https://www.cookie.fun/agent/smb810" TargetMode="External"/><Relationship Id="rId1822" Type="http://schemas.openxmlformats.org/officeDocument/2006/relationships/hyperlink" Target="https://www.cookie.fun/agent/agent-2025" TargetMode="External"/><Relationship Id="rId3787" Type="http://schemas.openxmlformats.org/officeDocument/2006/relationships/hyperlink" Target="https://www.cookie.fun/chains/solana.svg" TargetMode="External"/><Relationship Id="rId3994" Type="http://schemas.openxmlformats.org/officeDocument/2006/relationships/hyperlink" Target="https://pbs.twimg.com/profile_images/1840527197846544384/5jIIuNGx_normal.jpg" TargetMode="External"/><Relationship Id="rId2389" Type="http://schemas.openxmlformats.org/officeDocument/2006/relationships/hyperlink" Target="https://pbs.twimg.com/profile_images/1684526956266635264/xdq5pFT5_normal.jpg" TargetMode="External"/><Relationship Id="rId2596" Type="http://schemas.openxmlformats.org/officeDocument/2006/relationships/hyperlink" Target="https://pbs.twimg.com/profile_images/1860187585143832576/YUIhlUic_400x400.jpg" TargetMode="External"/><Relationship Id="rId3647" Type="http://schemas.openxmlformats.org/officeDocument/2006/relationships/hyperlink" Target="https://pbs.twimg.com/profile_images/1852755001892089856/TiiSj8R3_400x400.jpg" TargetMode="External"/><Relationship Id="rId3854" Type="http://schemas.openxmlformats.org/officeDocument/2006/relationships/hyperlink" Target="https://www.cookie.fun/agent/bossu" TargetMode="External"/><Relationship Id="rId568" Type="http://schemas.openxmlformats.org/officeDocument/2006/relationships/hyperlink" Target="https://www.cookie.fun/chains/base.svg" TargetMode="External"/><Relationship Id="rId775" Type="http://schemas.openxmlformats.org/officeDocument/2006/relationships/hyperlink" Target="https://www.cookie.fun/agent/roary-mybluntface" TargetMode="External"/><Relationship Id="rId982" Type="http://schemas.openxmlformats.org/officeDocument/2006/relationships/hyperlink" Target="https://www.cookie.fun/agent/pixel-haus" TargetMode="External"/><Relationship Id="rId1198" Type="http://schemas.openxmlformats.org/officeDocument/2006/relationships/hyperlink" Target="https://www.cookie.fun/agent/mcafeeai" TargetMode="External"/><Relationship Id="rId2249" Type="http://schemas.openxmlformats.org/officeDocument/2006/relationships/hyperlink" Target="https://www.cookie.fun/chains/solana.svg" TargetMode="External"/><Relationship Id="rId2456" Type="http://schemas.openxmlformats.org/officeDocument/2006/relationships/hyperlink" Target="https://x.com/VaderResearch/status/1879091715283513414" TargetMode="External"/><Relationship Id="rId2663" Type="http://schemas.openxmlformats.org/officeDocument/2006/relationships/hyperlink" Target="https://pbs.twimg.com/profile_images/1833982252272795649/YdQvXW46_normal.jpg" TargetMode="External"/><Relationship Id="rId2870" Type="http://schemas.openxmlformats.org/officeDocument/2006/relationships/hyperlink" Target="https://pbs.twimg.com/profile_images/1851676948897918976/3eQUc69U_400x400.jpg" TargetMode="External"/><Relationship Id="rId3507" Type="http://schemas.openxmlformats.org/officeDocument/2006/relationships/hyperlink" Target="https://x.com/LgDoucet/status/1877806974210887816" TargetMode="External"/><Relationship Id="rId3714" Type="http://schemas.openxmlformats.org/officeDocument/2006/relationships/hyperlink" Target="https://www.cookie.fun/chains/solana.svg" TargetMode="External"/><Relationship Id="rId3921" Type="http://schemas.openxmlformats.org/officeDocument/2006/relationships/hyperlink" Target="https://pbs.twimg.com/profile_images/1696225706768740353/ta6goKxa_normal.jpg" TargetMode="External"/><Relationship Id="rId428" Type="http://schemas.openxmlformats.org/officeDocument/2006/relationships/hyperlink" Target="https://pbs.twimg.com/profile_images/1859005281243418624/q6i3q3k5_400x400.jpg" TargetMode="External"/><Relationship Id="rId635" Type="http://schemas.openxmlformats.org/officeDocument/2006/relationships/hyperlink" Target="https://pbs.twimg.com/profile_images/1866326145383141376/nAifZZZU_400x400.jpg" TargetMode="External"/><Relationship Id="rId842" Type="http://schemas.openxmlformats.org/officeDocument/2006/relationships/hyperlink" Target="https://pbs.twimg.com/profile_images/1858040120475267074/RgzVZbL4_400x400.jpg" TargetMode="External"/><Relationship Id="rId1058" Type="http://schemas.openxmlformats.org/officeDocument/2006/relationships/hyperlink" Target="https://pbs.twimg.com/profile_images/1799829520683347968/rfpeGRd8_400x400.jpg" TargetMode="External"/><Relationship Id="rId1265" Type="http://schemas.openxmlformats.org/officeDocument/2006/relationships/hyperlink" Target="https://pbs.twimg.com/profile_images/1862425731579392000/q1Nwxhpg_400x400.jpg" TargetMode="External"/><Relationship Id="rId1472" Type="http://schemas.openxmlformats.org/officeDocument/2006/relationships/hyperlink" Target="https://pbs.twimg.com/profile_images/1858127879877558272/xDtrNgEB_400x400.jpg" TargetMode="External"/><Relationship Id="rId2109" Type="http://schemas.openxmlformats.org/officeDocument/2006/relationships/hyperlink" Target="https://www.cookie.fun/agent/the-meme-father" TargetMode="External"/><Relationship Id="rId2316" Type="http://schemas.openxmlformats.org/officeDocument/2006/relationships/hyperlink" Target="https://x.com/yoheinakajima/status/1877892357292732471" TargetMode="External"/><Relationship Id="rId2523" Type="http://schemas.openxmlformats.org/officeDocument/2006/relationships/hyperlink" Target="https://www.cookie.fun/agent/schizo-terminal" TargetMode="External"/><Relationship Id="rId2730" Type="http://schemas.openxmlformats.org/officeDocument/2006/relationships/hyperlink" Target="https://x.com/avocado_toast2/status/1877572010257109338" TargetMode="External"/><Relationship Id="rId702" Type="http://schemas.openxmlformats.org/officeDocument/2006/relationships/hyperlink" Target="https://www.cookie.fun/chains/solana.svg" TargetMode="External"/><Relationship Id="rId1125" Type="http://schemas.openxmlformats.org/officeDocument/2006/relationships/hyperlink" Target="https://www.cookie.fun/chains/solana.svg" TargetMode="External"/><Relationship Id="rId1332" Type="http://schemas.openxmlformats.org/officeDocument/2006/relationships/hyperlink" Target="https://www.cookie.fun/chains/solana.svg" TargetMode="External"/><Relationship Id="rId3297" Type="http://schemas.openxmlformats.org/officeDocument/2006/relationships/hyperlink" Target="https://www.cookie.fun/agent/degen-spartan-ai" TargetMode="External"/><Relationship Id="rId3157" Type="http://schemas.openxmlformats.org/officeDocument/2006/relationships/hyperlink" Target="https://www.cookie.fun/agent/morph" TargetMode="External"/><Relationship Id="rId285" Type="http://schemas.openxmlformats.org/officeDocument/2006/relationships/hyperlink" Target="https://www.cookie.fun/chains/solana.svg" TargetMode="External"/><Relationship Id="rId3364" Type="http://schemas.openxmlformats.org/officeDocument/2006/relationships/hyperlink" Target="https://x.com/FarmerBrownDeFi/status/1879245637079961696" TargetMode="External"/><Relationship Id="rId3571" Type="http://schemas.openxmlformats.org/officeDocument/2006/relationships/hyperlink" Target="https://www.cookie.fun/agent/plant" TargetMode="External"/><Relationship Id="rId492" Type="http://schemas.openxmlformats.org/officeDocument/2006/relationships/hyperlink" Target="https://pbs.twimg.com/profile_images/1861098056130654208/uA1Wa_5G_400x400.jpg" TargetMode="External"/><Relationship Id="rId2173" Type="http://schemas.openxmlformats.org/officeDocument/2006/relationships/hyperlink" Target="https://pbs.twimg.com/profile_images/1876104478371528704/pmP22eTs_400x400.jpg" TargetMode="External"/><Relationship Id="rId2380" Type="http://schemas.openxmlformats.org/officeDocument/2006/relationships/hyperlink" Target="https://pbs.twimg.com/profile_images/1808816849620250625/AQIUpfL3_400x400.jpg" TargetMode="External"/><Relationship Id="rId3017" Type="http://schemas.openxmlformats.org/officeDocument/2006/relationships/hyperlink" Target="https://x.com/rasmr_eth/status/1878851313729233304" TargetMode="External"/><Relationship Id="rId3224" Type="http://schemas.openxmlformats.org/officeDocument/2006/relationships/hyperlink" Target="https://pbs.twimg.com/profile_images/1854319673396850694/bt7bFsP0_normal.jpg" TargetMode="External"/><Relationship Id="rId3431" Type="http://schemas.openxmlformats.org/officeDocument/2006/relationships/hyperlink" Target="https://www.cookie.fun/agent/higher" TargetMode="External"/><Relationship Id="rId145" Type="http://schemas.openxmlformats.org/officeDocument/2006/relationships/hyperlink" Target="https://pbs.twimg.com/profile_images/1865896271807987712/1qOOGp7s_400x400.jpg" TargetMode="External"/><Relationship Id="rId352" Type="http://schemas.openxmlformats.org/officeDocument/2006/relationships/hyperlink" Target="https://www.cookie.fun/agent/aetheria" TargetMode="External"/><Relationship Id="rId2033" Type="http://schemas.openxmlformats.org/officeDocument/2006/relationships/hyperlink" Target="https://www.cookie.fun/chains/solana.svg" TargetMode="External"/><Relationship Id="rId2240" Type="http://schemas.openxmlformats.org/officeDocument/2006/relationships/hyperlink" Target="https://www.cookie.fun/chains/base.svg" TargetMode="External"/><Relationship Id="rId212" Type="http://schemas.openxmlformats.org/officeDocument/2006/relationships/hyperlink" Target="https://pbs.twimg.com/profile_images/1805820740950016001/P7GZrSs4_normal.jpg" TargetMode="External"/><Relationship Id="rId1799" Type="http://schemas.openxmlformats.org/officeDocument/2006/relationships/hyperlink" Target="https://pbs.twimg.com/profile_images/1874820337348538368/D07NCNQp_400x400.jpg" TargetMode="External"/><Relationship Id="rId2100" Type="http://schemas.openxmlformats.org/officeDocument/2006/relationships/hyperlink" Target="https://pbs.twimg.com/profile_images/1870917783745359873/QuPYCRoU_400x400.jpg" TargetMode="External"/><Relationship Id="rId4065" Type="http://schemas.openxmlformats.org/officeDocument/2006/relationships/hyperlink" Target="https://x.com/RaoulGMI/status/1877854165340246388" TargetMode="External"/><Relationship Id="rId1659" Type="http://schemas.openxmlformats.org/officeDocument/2006/relationships/hyperlink" Target="https://www.cookie.fun/chains/solana.svg" TargetMode="External"/><Relationship Id="rId1866" Type="http://schemas.openxmlformats.org/officeDocument/2006/relationships/hyperlink" Target="https://www.cookie.fun/chains/solana.svg" TargetMode="External"/><Relationship Id="rId2917" Type="http://schemas.openxmlformats.org/officeDocument/2006/relationships/hyperlink" Target="https://pbs.twimg.com/profile_images/1869417110285266945/N54otClO_400x400.jpg" TargetMode="External"/><Relationship Id="rId3081" Type="http://schemas.openxmlformats.org/officeDocument/2006/relationships/hyperlink" Target="https://pbs.twimg.com/profile_images/1779182656770781184/qF8wJPrf_400x400.jpg" TargetMode="External"/><Relationship Id="rId4132" Type="http://schemas.openxmlformats.org/officeDocument/2006/relationships/hyperlink" Target="https://www.cookie.fun/chains/solana.svg" TargetMode="External"/><Relationship Id="rId1519" Type="http://schemas.openxmlformats.org/officeDocument/2006/relationships/hyperlink" Target="https://www.cookie.fun/agent/neeche" TargetMode="External"/><Relationship Id="rId1726" Type="http://schemas.openxmlformats.org/officeDocument/2006/relationships/hyperlink" Target="https://www.cookie.fun/agent/charitai" TargetMode="External"/><Relationship Id="rId1933" Type="http://schemas.openxmlformats.org/officeDocument/2006/relationships/hyperlink" Target="https://x.com/UMotivesYT/status/1878240803715252381" TargetMode="External"/><Relationship Id="rId18" Type="http://schemas.openxmlformats.org/officeDocument/2006/relationships/hyperlink" Target="https://x.com/SebyGWeb3/status/1879446978536657082" TargetMode="External"/><Relationship Id="rId3898" Type="http://schemas.openxmlformats.org/officeDocument/2006/relationships/hyperlink" Target="https://pbs.twimg.com/profile_images/1457379008065253389/POfb_I4u_normal.jpg" TargetMode="External"/><Relationship Id="rId3758" Type="http://schemas.openxmlformats.org/officeDocument/2006/relationships/hyperlink" Target="https://x.com/iambroots/status/1877483884037685534" TargetMode="External"/><Relationship Id="rId3965" Type="http://schemas.openxmlformats.org/officeDocument/2006/relationships/hyperlink" Target="https://www.cookie.fun/chains/base.svg" TargetMode="External"/><Relationship Id="rId679" Type="http://schemas.openxmlformats.org/officeDocument/2006/relationships/hyperlink" Target="https://www.cookie.fun/agent/valpha-fst-bot" TargetMode="External"/><Relationship Id="rId886" Type="http://schemas.openxmlformats.org/officeDocument/2006/relationships/hyperlink" Target="https://www.cookie.fun/agent/sports-analyst-ai" TargetMode="External"/><Relationship Id="rId2567" Type="http://schemas.openxmlformats.org/officeDocument/2006/relationships/hyperlink" Target="https://pbs.twimg.com/profile_images/1862041003764355072/dWntt2bQ_normal.jpg" TargetMode="External"/><Relationship Id="rId2774" Type="http://schemas.openxmlformats.org/officeDocument/2006/relationships/hyperlink" Target="https://www.cookie.fun/agent/mona" TargetMode="External"/><Relationship Id="rId3618" Type="http://schemas.openxmlformats.org/officeDocument/2006/relationships/hyperlink" Target="https://www.cookie.fun/agent/1000x" TargetMode="External"/><Relationship Id="rId2" Type="http://schemas.openxmlformats.org/officeDocument/2006/relationships/hyperlink" Target="https://pbs.twimg.com/profile_images/1857789073550921728/f-APks2G_400x400.jpg" TargetMode="External"/><Relationship Id="rId539" Type="http://schemas.openxmlformats.org/officeDocument/2006/relationships/hyperlink" Target="https://www.cookie.fun/agent/shasha256" TargetMode="External"/><Relationship Id="rId746" Type="http://schemas.openxmlformats.org/officeDocument/2006/relationships/hyperlink" Target="https://pbs.twimg.com/profile_images/1860747427063721984/dLWK5Anb_400x400.jpg" TargetMode="External"/><Relationship Id="rId1169" Type="http://schemas.openxmlformats.org/officeDocument/2006/relationships/hyperlink" Target="https://pbs.twimg.com/profile_images/1770786465640775680/RLEtXDwI_400x400.jpg" TargetMode="External"/><Relationship Id="rId1376" Type="http://schemas.openxmlformats.org/officeDocument/2006/relationships/hyperlink" Target="https://pbs.twimg.com/profile_images/1858602052353748992/8CAF9JhK_400x400.jpg" TargetMode="External"/><Relationship Id="rId1583" Type="http://schemas.openxmlformats.org/officeDocument/2006/relationships/hyperlink" Target="https://pbs.twimg.com/profile_images/1850255305671634944/KeLFrB9K_400x400.jpg" TargetMode="External"/><Relationship Id="rId2427" Type="http://schemas.openxmlformats.org/officeDocument/2006/relationships/hyperlink" Target="https://www.cookie.fun/agent/trust" TargetMode="External"/><Relationship Id="rId2981" Type="http://schemas.openxmlformats.org/officeDocument/2006/relationships/hyperlink" Target="https://x.com/mrpunkdoteth/status/1878472820151239091" TargetMode="External"/><Relationship Id="rId3825" Type="http://schemas.openxmlformats.org/officeDocument/2006/relationships/hyperlink" Target="https://www.cookie.fun/agent/radio" TargetMode="External"/><Relationship Id="rId953" Type="http://schemas.openxmlformats.org/officeDocument/2006/relationships/hyperlink" Target="https://pbs.twimg.com/profile_images/1873042247303733248/4MJuDhSe_400x400.jpg" TargetMode="External"/><Relationship Id="rId1029" Type="http://schemas.openxmlformats.org/officeDocument/2006/relationships/hyperlink" Target="https://www.cookie.fun/chains/solana.svg" TargetMode="External"/><Relationship Id="rId1236" Type="http://schemas.openxmlformats.org/officeDocument/2006/relationships/hyperlink" Target="https://www.cookie.fun/chains/solana.svg" TargetMode="External"/><Relationship Id="rId1790" Type="http://schemas.openxmlformats.org/officeDocument/2006/relationships/hyperlink" Target="https://pbs.twimg.com/profile_images/1874761334031601664/zzR2dA2C_400x400.jpg" TargetMode="External"/><Relationship Id="rId2634" Type="http://schemas.openxmlformats.org/officeDocument/2006/relationships/hyperlink" Target="https://x.com/yb_effect/status/1878160122578600014" TargetMode="External"/><Relationship Id="rId2841" Type="http://schemas.openxmlformats.org/officeDocument/2006/relationships/hyperlink" Target="https://pbs.twimg.com/profile_images/1866157311435198464/OxFCTT41_normal.jpg" TargetMode="External"/><Relationship Id="rId82" Type="http://schemas.openxmlformats.org/officeDocument/2006/relationships/hyperlink" Target="https://pbs.twimg.com/profile_images/1864971119947845635/JzU7UL-C_400x400.jpg" TargetMode="External"/><Relationship Id="rId606" Type="http://schemas.openxmlformats.org/officeDocument/2006/relationships/hyperlink" Target="https://pbs.twimg.com/profile_images/1874844006578020352/g97tI5hZ_400x400.jpg" TargetMode="External"/><Relationship Id="rId813" Type="http://schemas.openxmlformats.org/officeDocument/2006/relationships/hyperlink" Target="https://www.cookie.fun/chains/solana.svg" TargetMode="External"/><Relationship Id="rId1443" Type="http://schemas.openxmlformats.org/officeDocument/2006/relationships/hyperlink" Target="https://www.cookie.fun/chains/solana.svg" TargetMode="External"/><Relationship Id="rId1650" Type="http://schemas.openxmlformats.org/officeDocument/2006/relationships/hyperlink" Target="https://www.cookie.fun/chains/solana.svg" TargetMode="External"/><Relationship Id="rId2701" Type="http://schemas.openxmlformats.org/officeDocument/2006/relationships/hyperlink" Target="https://pbs.twimg.com/profile_images/1644209709128249344/4IW9wcrF_normal.jpg" TargetMode="External"/><Relationship Id="rId1303" Type="http://schemas.openxmlformats.org/officeDocument/2006/relationships/hyperlink" Target="https://www.cookie.fun/agent/noopai" TargetMode="External"/><Relationship Id="rId1510" Type="http://schemas.openxmlformats.org/officeDocument/2006/relationships/hyperlink" Target="https://www.cookie.fun/agent/t800" TargetMode="External"/><Relationship Id="rId3268" Type="http://schemas.openxmlformats.org/officeDocument/2006/relationships/hyperlink" Target="https://pbs.twimg.com/profile_images/1876827777313239040/mO_qM4sq_400x400.jpg" TargetMode="External"/><Relationship Id="rId3475" Type="http://schemas.openxmlformats.org/officeDocument/2006/relationships/hyperlink" Target="https://www.cookie.fun/chains/solana.svg" TargetMode="External"/><Relationship Id="rId3682" Type="http://schemas.openxmlformats.org/officeDocument/2006/relationships/hyperlink" Target="https://pbs.twimg.com/profile_images/1805572620760268800/8bVV6P20_normal.jpg" TargetMode="External"/><Relationship Id="rId189" Type="http://schemas.openxmlformats.org/officeDocument/2006/relationships/hyperlink" Target="https://www.cookie.fun/agent/cwif" TargetMode="External"/><Relationship Id="rId396" Type="http://schemas.openxmlformats.org/officeDocument/2006/relationships/hyperlink" Target="https://www.cookie.fun/chains/base.svg" TargetMode="External"/><Relationship Id="rId2077" Type="http://schemas.openxmlformats.org/officeDocument/2006/relationships/hyperlink" Target="https://www.cookie.fun/agent/middle-earth" TargetMode="External"/><Relationship Id="rId2284" Type="http://schemas.openxmlformats.org/officeDocument/2006/relationships/hyperlink" Target="https://pbs.twimg.com/profile_images/1852463902027812864/BqBzGx6k_400x400.png" TargetMode="External"/><Relationship Id="rId2491" Type="http://schemas.openxmlformats.org/officeDocument/2006/relationships/hyperlink" Target="https://pbs.twimg.com/profile_images/1422538477900423170/tRsq0F8Y_normal.png" TargetMode="External"/><Relationship Id="rId3128" Type="http://schemas.openxmlformats.org/officeDocument/2006/relationships/hyperlink" Target="https://pbs.twimg.com/profile_images/1858571164953833472/UnkKfsAI_normal.jpg" TargetMode="External"/><Relationship Id="rId3335" Type="http://schemas.openxmlformats.org/officeDocument/2006/relationships/hyperlink" Target="https://pbs.twimg.com/profile_images/1840811789753397249/ikjx9Pug_400x400.png" TargetMode="External"/><Relationship Id="rId3542" Type="http://schemas.openxmlformats.org/officeDocument/2006/relationships/hyperlink" Target="https://x.com/aGANVogh/status/1878894970381426756" TargetMode="External"/><Relationship Id="rId256" Type="http://schemas.openxmlformats.org/officeDocument/2006/relationships/hyperlink" Target="https://www.cookie.fun/agent/wibwob" TargetMode="External"/><Relationship Id="rId463" Type="http://schemas.openxmlformats.org/officeDocument/2006/relationships/hyperlink" Target="https://www.cookie.fun/chains/solana.svg" TargetMode="External"/><Relationship Id="rId670" Type="http://schemas.openxmlformats.org/officeDocument/2006/relationships/hyperlink" Target="https://www.cookie.fun/agent/akane" TargetMode="External"/><Relationship Id="rId1093" Type="http://schemas.openxmlformats.org/officeDocument/2006/relationships/hyperlink" Target="https://www.cookie.fun/agent/maxx" TargetMode="External"/><Relationship Id="rId2144" Type="http://schemas.openxmlformats.org/officeDocument/2006/relationships/hyperlink" Target="https://pbs.twimg.com/profile_images/1870723579547136000/wvLRC0Ik_400x400.jpg" TargetMode="External"/><Relationship Id="rId2351" Type="http://schemas.openxmlformats.org/officeDocument/2006/relationships/hyperlink" Target="https://pbs.twimg.com/profile_images/1877051698528522241/VeDRwz4j_normal.jpg" TargetMode="External"/><Relationship Id="rId3402" Type="http://schemas.openxmlformats.org/officeDocument/2006/relationships/hyperlink" Target="https://pbs.twimg.com/profile_images/1863648719004110849/mIqZqIMV_400x400.jpg" TargetMode="External"/><Relationship Id="rId116" Type="http://schemas.openxmlformats.org/officeDocument/2006/relationships/hyperlink" Target="https://www.cookie.fun/agent/truth-terminals-hentai" TargetMode="External"/><Relationship Id="rId323" Type="http://schemas.openxmlformats.org/officeDocument/2006/relationships/hyperlink" Target="https://pbs.twimg.com/profile_images/1766159104786018304/pqlMVFvu_400x400.jpg" TargetMode="External"/><Relationship Id="rId530" Type="http://schemas.openxmlformats.org/officeDocument/2006/relationships/hyperlink" Target="https://www.cookie.fun/agent/boredcaster" TargetMode="External"/><Relationship Id="rId1160" Type="http://schemas.openxmlformats.org/officeDocument/2006/relationships/hyperlink" Target="https://pbs.twimg.com/profile_images/1865053455489937408/u9bWflJu_400x400.jpg" TargetMode="External"/><Relationship Id="rId2004" Type="http://schemas.openxmlformats.org/officeDocument/2006/relationships/hyperlink" Target="https://www.cookie.fun/chains/base.svg" TargetMode="External"/><Relationship Id="rId2211" Type="http://schemas.openxmlformats.org/officeDocument/2006/relationships/hyperlink" Target="http://prebulls.xyz/" TargetMode="External"/><Relationship Id="rId4176" Type="http://schemas.openxmlformats.org/officeDocument/2006/relationships/hyperlink" Target="https://www.cookie.fun/chains/solana.svg" TargetMode="External"/><Relationship Id="rId1020" Type="http://schemas.openxmlformats.org/officeDocument/2006/relationships/hyperlink" Target="https://www.cookie.fun/chains/solana.svg" TargetMode="External"/><Relationship Id="rId1977" Type="http://schemas.openxmlformats.org/officeDocument/2006/relationships/hyperlink" Target="https://www.cookie.fun/chains/base.svg" TargetMode="External"/><Relationship Id="rId1837" Type="http://schemas.openxmlformats.org/officeDocument/2006/relationships/hyperlink" Target="https://www.cookie.fun/agent/lexi" TargetMode="External"/><Relationship Id="rId3192" Type="http://schemas.openxmlformats.org/officeDocument/2006/relationships/hyperlink" Target="https://www.cookie.fun/agent/ongo" TargetMode="External"/><Relationship Id="rId4036" Type="http://schemas.openxmlformats.org/officeDocument/2006/relationships/hyperlink" Target="https://pbs.twimg.com/profile_images/1877079241944100865/bZ7orovo_400x400.jpg" TargetMode="External"/><Relationship Id="rId3052" Type="http://schemas.openxmlformats.org/officeDocument/2006/relationships/hyperlink" Target="https://pbs.twimg.com/profile_images/1607722344432242689/m1XRdYV7_normal.jpg" TargetMode="External"/><Relationship Id="rId4103" Type="http://schemas.openxmlformats.org/officeDocument/2006/relationships/hyperlink" Target="https://www.cookie.fun/chains/solana.svg" TargetMode="External"/><Relationship Id="rId180" Type="http://schemas.openxmlformats.org/officeDocument/2006/relationships/hyperlink" Target="https://www.cookie.fun/agent/takion-7400" TargetMode="External"/><Relationship Id="rId1904" Type="http://schemas.openxmlformats.org/officeDocument/2006/relationships/hyperlink" Target="https://pbs.twimg.com/profile_images/1876000529652051968/BFkX1z5Y_400x400.png" TargetMode="External"/><Relationship Id="rId3869" Type="http://schemas.openxmlformats.org/officeDocument/2006/relationships/hyperlink" Target="https://pbs.twimg.com/profile_images/1876322799603630080/X-xz2y2T_normal.jpg" TargetMode="External"/><Relationship Id="rId997" Type="http://schemas.openxmlformats.org/officeDocument/2006/relationships/hyperlink" Target="https://www.cookie.fun/agent/beeard" TargetMode="External"/><Relationship Id="rId2678" Type="http://schemas.openxmlformats.org/officeDocument/2006/relationships/hyperlink" Target="https://x.com/Flowslikeosmo/status/1878819335088840954" TargetMode="External"/><Relationship Id="rId2885" Type="http://schemas.openxmlformats.org/officeDocument/2006/relationships/hyperlink" Target="https://pbs.twimg.com/profile_images/1478130385116672008/kpiOx18X_normal.jpg" TargetMode="External"/><Relationship Id="rId3729" Type="http://schemas.openxmlformats.org/officeDocument/2006/relationships/hyperlink" Target="https://x.com/henloitsjoyce/status/1877039879629979708" TargetMode="External"/><Relationship Id="rId3936" Type="http://schemas.openxmlformats.org/officeDocument/2006/relationships/hyperlink" Target="https://www.cookie.fun/agent/sim" TargetMode="External"/><Relationship Id="rId857" Type="http://schemas.openxmlformats.org/officeDocument/2006/relationships/hyperlink" Target="https://pbs.twimg.com/profile_images/1850897425138937856/bK7I-m3z_400x400.jpg" TargetMode="External"/><Relationship Id="rId1487" Type="http://schemas.openxmlformats.org/officeDocument/2006/relationships/hyperlink" Target="https://pbs.twimg.com/profile_images/1806109433639874560/Z0NiYkMa_400x400.jpg" TargetMode="External"/><Relationship Id="rId1694" Type="http://schemas.openxmlformats.org/officeDocument/2006/relationships/hyperlink" Target="https://pbs.twimg.com/profile_images/1857890870516686848/C3qCcODN_400x400.jpg" TargetMode="External"/><Relationship Id="rId2538" Type="http://schemas.openxmlformats.org/officeDocument/2006/relationships/hyperlink" Target="https://x.com/Slokh/status/1877829321139564695" TargetMode="External"/><Relationship Id="rId2745" Type="http://schemas.openxmlformats.org/officeDocument/2006/relationships/hyperlink" Target="https://pbs.twimg.com/profile_images/1819463930802028544/wZAMMX0W_normal.jpg" TargetMode="External"/><Relationship Id="rId2952" Type="http://schemas.openxmlformats.org/officeDocument/2006/relationships/hyperlink" Target="https://x.com/ghost93_x/status/1878617473685258586" TargetMode="External"/><Relationship Id="rId717" Type="http://schemas.openxmlformats.org/officeDocument/2006/relationships/hyperlink" Target="https://www.cookie.fun/chains/solana.svg" TargetMode="External"/><Relationship Id="rId924" Type="http://schemas.openxmlformats.org/officeDocument/2006/relationships/hyperlink" Target="https://www.cookie.fun/chains/solana.svg" TargetMode="External"/><Relationship Id="rId1347" Type="http://schemas.openxmlformats.org/officeDocument/2006/relationships/hyperlink" Target="https://www.cookie.fun/chains/solana.svg" TargetMode="External"/><Relationship Id="rId1554" Type="http://schemas.openxmlformats.org/officeDocument/2006/relationships/hyperlink" Target="https://www.cookie.fun/chains/solana.svg" TargetMode="External"/><Relationship Id="rId1761" Type="http://schemas.openxmlformats.org/officeDocument/2006/relationships/hyperlink" Target="https://www.cookie.fun/chains/base.svg" TargetMode="External"/><Relationship Id="rId2605" Type="http://schemas.openxmlformats.org/officeDocument/2006/relationships/hyperlink" Target="https://pbs.twimg.com/profile_images/1752826759504965632/_BJV6z9l_normal.jpg" TargetMode="External"/><Relationship Id="rId2812" Type="http://schemas.openxmlformats.org/officeDocument/2006/relationships/hyperlink" Target="https://www.cookie.fun/chains/solana.svg" TargetMode="External"/><Relationship Id="rId53" Type="http://schemas.openxmlformats.org/officeDocument/2006/relationships/hyperlink" Target="https://www.cookie.fun/agent/btch" TargetMode="External"/><Relationship Id="rId1207" Type="http://schemas.openxmlformats.org/officeDocument/2006/relationships/hyperlink" Target="https://www.cookie.fun/agent/mow" TargetMode="External"/><Relationship Id="rId1414" Type="http://schemas.openxmlformats.org/officeDocument/2006/relationships/hyperlink" Target="https://www.cookie.fun/agent/genz" TargetMode="External"/><Relationship Id="rId1621" Type="http://schemas.openxmlformats.org/officeDocument/2006/relationships/hyperlink" Target="https://www.cookie.fun/agent/rock" TargetMode="External"/><Relationship Id="rId3379" Type="http://schemas.openxmlformats.org/officeDocument/2006/relationships/hyperlink" Target="https://x.com/Shade_Protocol/status/1877728037598621900" TargetMode="External"/><Relationship Id="rId3586" Type="http://schemas.openxmlformats.org/officeDocument/2006/relationships/hyperlink" Target="https://www.cookie.fun/agent/overlord" TargetMode="External"/><Relationship Id="rId3793" Type="http://schemas.openxmlformats.org/officeDocument/2006/relationships/hyperlink" Target="https://x.com/MetaMona_/status/1877504575961256003" TargetMode="External"/><Relationship Id="rId2188" Type="http://schemas.openxmlformats.org/officeDocument/2006/relationships/hyperlink" Target="https://www.cookie.fun/agent/pirates" TargetMode="External"/><Relationship Id="rId2395" Type="http://schemas.openxmlformats.org/officeDocument/2006/relationships/hyperlink" Target="https://pbs.twimg.com/profile_images/1874609296119320576/RMXAHHLa_normal.jpg" TargetMode="External"/><Relationship Id="rId3239" Type="http://schemas.openxmlformats.org/officeDocument/2006/relationships/hyperlink" Target="https://x.com/sayinshallah/status/1879047087393997265" TargetMode="External"/><Relationship Id="rId3446" Type="http://schemas.openxmlformats.org/officeDocument/2006/relationships/hyperlink" Target="https://pbs.twimg.com/profile_images/1851336297312358400/f2yStToY_normal.jpg" TargetMode="External"/><Relationship Id="rId367" Type="http://schemas.openxmlformats.org/officeDocument/2006/relationships/hyperlink" Target="https://www.cookie.fun/agent/yunggmoney" TargetMode="External"/><Relationship Id="rId574" Type="http://schemas.openxmlformats.org/officeDocument/2006/relationships/hyperlink" Target="https://www.cookie.fun/chains/base.svg" TargetMode="External"/><Relationship Id="rId2048" Type="http://schemas.openxmlformats.org/officeDocument/2006/relationships/hyperlink" Target="https://www.cookie.fun/agent/goat-arena" TargetMode="External"/><Relationship Id="rId2255" Type="http://schemas.openxmlformats.org/officeDocument/2006/relationships/hyperlink" Target="https://www.cookie.fun/chains/solana.svg" TargetMode="External"/><Relationship Id="rId3653" Type="http://schemas.openxmlformats.org/officeDocument/2006/relationships/hyperlink" Target="https://pbs.twimg.com/profile_images/1872371692388884480/1BrkL2_T_normal.jpg" TargetMode="External"/><Relationship Id="rId3860" Type="http://schemas.openxmlformats.org/officeDocument/2006/relationships/hyperlink" Target="https://pbs.twimg.com/profile_images/1771183612748034048/VJnfA7F7_400x400.jpg" TargetMode="External"/><Relationship Id="rId227" Type="http://schemas.openxmlformats.org/officeDocument/2006/relationships/hyperlink" Target="https://www.cookie.fun/agent/poodonkai" TargetMode="External"/><Relationship Id="rId781" Type="http://schemas.openxmlformats.org/officeDocument/2006/relationships/hyperlink" Target="https://www.cookie.fun/agent/deluluai" TargetMode="External"/><Relationship Id="rId2462" Type="http://schemas.openxmlformats.org/officeDocument/2006/relationships/hyperlink" Target="https://x.com/esatoshiclub/status/1877303863893471312" TargetMode="External"/><Relationship Id="rId3306" Type="http://schemas.openxmlformats.org/officeDocument/2006/relationships/hyperlink" Target="https://pbs.twimg.com/profile_images/1872371692388884480/1BrkL2_T_normal.jpg" TargetMode="External"/><Relationship Id="rId3513" Type="http://schemas.openxmlformats.org/officeDocument/2006/relationships/hyperlink" Target="https://www.cookie.fun/chains/solana.svg" TargetMode="External"/><Relationship Id="rId3720" Type="http://schemas.openxmlformats.org/officeDocument/2006/relationships/hyperlink" Target="https://www.cookie.fun/agent/devin" TargetMode="External"/><Relationship Id="rId434" Type="http://schemas.openxmlformats.org/officeDocument/2006/relationships/hyperlink" Target="https://www.cookie.fun/agent/4gentic" TargetMode="External"/><Relationship Id="rId641" Type="http://schemas.openxmlformats.org/officeDocument/2006/relationships/hyperlink" Target="https://pbs.twimg.com/profile_images/1865757157481656320/dQageKMD_400x400.jpg" TargetMode="External"/><Relationship Id="rId1064" Type="http://schemas.openxmlformats.org/officeDocument/2006/relationships/hyperlink" Target="https://pbs.twimg.com/profile_images/1787320272875343872/WpHrRhwo_400x400.jpg" TargetMode="External"/><Relationship Id="rId1271" Type="http://schemas.openxmlformats.org/officeDocument/2006/relationships/hyperlink" Target="https://pbs.twimg.com/profile_images/1860785764822388736/IGP6eIR4_400x400.jpg" TargetMode="External"/><Relationship Id="rId2115" Type="http://schemas.openxmlformats.org/officeDocument/2006/relationships/hyperlink" Target="https://pbs.twimg.com/profile_images/1877771728216264704/RsWaxtGi_400x400.jpg" TargetMode="External"/><Relationship Id="rId2322" Type="http://schemas.openxmlformats.org/officeDocument/2006/relationships/hyperlink" Target="https://x.com/osf_rekt/status/1878516979868332327" TargetMode="External"/><Relationship Id="rId501" Type="http://schemas.openxmlformats.org/officeDocument/2006/relationships/hyperlink" Target="https://pbs.twimg.com/profile_images/1849910825676427265/EsSDR8Kl_400x400.jpg" TargetMode="External"/><Relationship Id="rId1131" Type="http://schemas.openxmlformats.org/officeDocument/2006/relationships/hyperlink" Target="https://www.cookie.fun/chains/solana.svg" TargetMode="External"/><Relationship Id="rId3096" Type="http://schemas.openxmlformats.org/officeDocument/2006/relationships/hyperlink" Target="https://pbs.twimg.com/profile_images/1752826759504965632/_BJV6z9l_normal.jpg" TargetMode="External"/><Relationship Id="rId4147" Type="http://schemas.openxmlformats.org/officeDocument/2006/relationships/hyperlink" Target="https://www.cookie.fun/agent/tate-terminal" TargetMode="External"/><Relationship Id="rId1948" Type="http://schemas.openxmlformats.org/officeDocument/2006/relationships/hyperlink" Target="https://www.cookie.fun/agent/sketchy" TargetMode="External"/><Relationship Id="rId3163" Type="http://schemas.openxmlformats.org/officeDocument/2006/relationships/hyperlink" Target="https://pbs.twimg.com/profile_images/1745081671756472320/PBIlV2do_normal.jpg" TargetMode="External"/><Relationship Id="rId3370" Type="http://schemas.openxmlformats.org/officeDocument/2006/relationships/hyperlink" Target="https://www.cookie.fun/chains/solana.svg" TargetMode="External"/><Relationship Id="rId4007" Type="http://schemas.openxmlformats.org/officeDocument/2006/relationships/hyperlink" Target="https://www.cookie.fun/chains/solana.svg" TargetMode="External"/><Relationship Id="rId291" Type="http://schemas.openxmlformats.org/officeDocument/2006/relationships/hyperlink" Target="https://www.cookie.fun/chains/solana.svg" TargetMode="External"/><Relationship Id="rId1808" Type="http://schemas.openxmlformats.org/officeDocument/2006/relationships/hyperlink" Target="https://pbs.twimg.com/profile_images/1875213146689884160/ahdePSqX_400x400.jpg" TargetMode="External"/><Relationship Id="rId3023" Type="http://schemas.openxmlformats.org/officeDocument/2006/relationships/hyperlink" Target="https://www.cookie.fun/chains/base.svg" TargetMode="External"/><Relationship Id="rId151" Type="http://schemas.openxmlformats.org/officeDocument/2006/relationships/hyperlink" Target="https://pbs.twimg.com/profile_images/1864794799930331136/qBCRVlAM_400x400.jpg" TargetMode="External"/><Relationship Id="rId3230" Type="http://schemas.openxmlformats.org/officeDocument/2006/relationships/hyperlink" Target="https://www.cookie.fun/agent/mana-on-sol" TargetMode="External"/><Relationship Id="rId2789" Type="http://schemas.openxmlformats.org/officeDocument/2006/relationships/hyperlink" Target="https://x.com/Deebs_DeFi/status/1878468477045850403" TargetMode="External"/><Relationship Id="rId2996" Type="http://schemas.openxmlformats.org/officeDocument/2006/relationships/hyperlink" Target="https://pbs.twimg.com/profile_images/1873983306859241479/-jmj71fb_normal.jpg" TargetMode="External"/><Relationship Id="rId968" Type="http://schemas.openxmlformats.org/officeDocument/2006/relationships/hyperlink" Target="https://pbs.twimg.com/profile_images/1872815464427945984/HKsnSgG9_400x400.jpg" TargetMode="External"/><Relationship Id="rId1598" Type="http://schemas.openxmlformats.org/officeDocument/2006/relationships/hyperlink" Target="https://pbs.twimg.com/profile_images/1857243022531977216/sU2QlrPG_400x400.jpg" TargetMode="External"/><Relationship Id="rId2649" Type="http://schemas.openxmlformats.org/officeDocument/2006/relationships/hyperlink" Target="https://pbs.twimg.com/profile_images/1826272616354660352/GTUwX_rD_normal.jpg" TargetMode="External"/><Relationship Id="rId2856" Type="http://schemas.openxmlformats.org/officeDocument/2006/relationships/hyperlink" Target="https://x.com/LgDoucet/status/1877806974210887816" TargetMode="External"/><Relationship Id="rId3907" Type="http://schemas.openxmlformats.org/officeDocument/2006/relationships/hyperlink" Target="https://x.com/DCBK2LA/status/1879329468516552733" TargetMode="External"/><Relationship Id="rId97" Type="http://schemas.openxmlformats.org/officeDocument/2006/relationships/hyperlink" Target="https://pbs.twimg.com/profile_images/1765817423054123009/OivvC-Af_normal.jpg" TargetMode="External"/><Relationship Id="rId828" Type="http://schemas.openxmlformats.org/officeDocument/2006/relationships/hyperlink" Target="https://www.cookie.fun/chains/solana.svg" TargetMode="External"/><Relationship Id="rId1458" Type="http://schemas.openxmlformats.org/officeDocument/2006/relationships/hyperlink" Target="https://www.cookie.fun/chains/solana.svg" TargetMode="External"/><Relationship Id="rId1665" Type="http://schemas.openxmlformats.org/officeDocument/2006/relationships/hyperlink" Target="https://www.cookie.fun/chains/solana.svg" TargetMode="External"/><Relationship Id="rId1872" Type="http://schemas.openxmlformats.org/officeDocument/2006/relationships/hyperlink" Target="https://www.cookie.fun/chains/base.svg" TargetMode="External"/><Relationship Id="rId2509" Type="http://schemas.openxmlformats.org/officeDocument/2006/relationships/hyperlink" Target="https://pbs.twimg.com/profile_images/1874983006630195200/zQ6Vsyhl_normal.jpg" TargetMode="External"/><Relationship Id="rId2716" Type="http://schemas.openxmlformats.org/officeDocument/2006/relationships/hyperlink" Target="https://pbs.twimg.com/profile_images/1839371102923231232/Tj2-D3VD_400x400.jpg" TargetMode="External"/><Relationship Id="rId4071" Type="http://schemas.openxmlformats.org/officeDocument/2006/relationships/hyperlink" Target="https://x.com/marvellousdefi_/status/1878207966303641675" TargetMode="External"/><Relationship Id="rId1318" Type="http://schemas.openxmlformats.org/officeDocument/2006/relationships/hyperlink" Target="https://www.cookie.fun/agent/phaidon" TargetMode="External"/><Relationship Id="rId1525" Type="http://schemas.openxmlformats.org/officeDocument/2006/relationships/hyperlink" Target="https://www.cookie.fun/agent/raicist" TargetMode="External"/><Relationship Id="rId2923" Type="http://schemas.openxmlformats.org/officeDocument/2006/relationships/hyperlink" Target="https://pbs.twimg.com/profile_images/1873031108633169921/hRV7zr5H_normal.jpg" TargetMode="External"/><Relationship Id="rId1732" Type="http://schemas.openxmlformats.org/officeDocument/2006/relationships/hyperlink" Target="https://www.cookie.fun/agent/popai" TargetMode="External"/><Relationship Id="rId24" Type="http://schemas.openxmlformats.org/officeDocument/2006/relationships/hyperlink" Target="https://pbs.twimg.com/profile_images/1799902799863664640/FFb-xaqb_400x400.jpg" TargetMode="External"/><Relationship Id="rId2299" Type="http://schemas.openxmlformats.org/officeDocument/2006/relationships/hyperlink" Target="https://pbs.twimg.com/profile_images/1590573382734692352/Y_tzJcdY_normal.jpg" TargetMode="External"/><Relationship Id="rId3697" Type="http://schemas.openxmlformats.org/officeDocument/2006/relationships/hyperlink" Target="https://x.com/abgweb3/status/1877770503441568056" TargetMode="External"/><Relationship Id="rId3557" Type="http://schemas.openxmlformats.org/officeDocument/2006/relationships/hyperlink" Target="https://pbs.twimg.com/profile_images/1834157145299763200/Fh1b6K9r_normal.jpg" TargetMode="External"/><Relationship Id="rId3764" Type="http://schemas.openxmlformats.org/officeDocument/2006/relationships/hyperlink" Target="https://pbs.twimg.com/profile_images/1876063038953938944/j4JNaJk8_400x400.jpg" TargetMode="External"/><Relationship Id="rId3971" Type="http://schemas.openxmlformats.org/officeDocument/2006/relationships/hyperlink" Target="https://x.com/hanxiaobu2/status/1877369643607929040" TargetMode="External"/><Relationship Id="rId478" Type="http://schemas.openxmlformats.org/officeDocument/2006/relationships/hyperlink" Target="https://www.cookie.fun/chains/solana.svg" TargetMode="External"/><Relationship Id="rId685" Type="http://schemas.openxmlformats.org/officeDocument/2006/relationships/hyperlink" Target="https://www.cookie.fun/agent/breakout-bro" TargetMode="External"/><Relationship Id="rId892" Type="http://schemas.openxmlformats.org/officeDocument/2006/relationships/hyperlink" Target="https://www.cookie.fun/agent/glyph" TargetMode="External"/><Relationship Id="rId2159" Type="http://schemas.openxmlformats.org/officeDocument/2006/relationships/hyperlink" Target="https://pbs.twimg.com/profile_images/1819965551772565504/JyZl03N8_400x400.jpg" TargetMode="External"/><Relationship Id="rId2366" Type="http://schemas.openxmlformats.org/officeDocument/2006/relationships/hyperlink" Target="https://x.com/Mars_DeFi/status/1878774167618675073" TargetMode="External"/><Relationship Id="rId2573" Type="http://schemas.openxmlformats.org/officeDocument/2006/relationships/hyperlink" Target="https://www.cookie.fun/chains/base.svg" TargetMode="External"/><Relationship Id="rId2780" Type="http://schemas.openxmlformats.org/officeDocument/2006/relationships/hyperlink" Target="https://pbs.twimg.com/profile_images/1836640650412068867/0EZw0Bg-_normal.jpg" TargetMode="External"/><Relationship Id="rId3417" Type="http://schemas.openxmlformats.org/officeDocument/2006/relationships/hyperlink" Target="https://x.com/OXFUNHQ/status/1879237043953537181" TargetMode="External"/><Relationship Id="rId3624" Type="http://schemas.openxmlformats.org/officeDocument/2006/relationships/hyperlink" Target="https://pbs.twimg.com/profile_images/1854974578042253312/7JIanElc_normal.jpg" TargetMode="External"/><Relationship Id="rId3831" Type="http://schemas.openxmlformats.org/officeDocument/2006/relationships/hyperlink" Target="https://pbs.twimg.com/profile_images/1877838779114749953/Oe-Q-5uy_400x400.jpg" TargetMode="External"/><Relationship Id="rId338" Type="http://schemas.openxmlformats.org/officeDocument/2006/relationships/hyperlink" Target="https://pbs.twimg.com/profile_images/1859052068834865156/1iIwpIPA_400x400.jpg" TargetMode="External"/><Relationship Id="rId545" Type="http://schemas.openxmlformats.org/officeDocument/2006/relationships/hyperlink" Target="https://www.cookie.fun/agent/rain" TargetMode="External"/><Relationship Id="rId752" Type="http://schemas.openxmlformats.org/officeDocument/2006/relationships/hyperlink" Target="https://pbs.twimg.com/profile_images/1862552561795878912/CDrBr0x-_400x400.jpg" TargetMode="External"/><Relationship Id="rId1175" Type="http://schemas.openxmlformats.org/officeDocument/2006/relationships/hyperlink" Target="https://pbs.twimg.com/profile_images/1864160339530575872/w7zg5Hoi_400x400.jpg" TargetMode="External"/><Relationship Id="rId1382" Type="http://schemas.openxmlformats.org/officeDocument/2006/relationships/hyperlink" Target="https://pbs.twimg.com/profile_images/1858203643230691328/eDMCjEFv_400x400.jpg" TargetMode="External"/><Relationship Id="rId2019" Type="http://schemas.openxmlformats.org/officeDocument/2006/relationships/hyperlink" Target="https://www.cookie.fun/chains/base.svg" TargetMode="External"/><Relationship Id="rId2226" Type="http://schemas.openxmlformats.org/officeDocument/2006/relationships/hyperlink" Target="https://www.cookie.fun/chains/solana.svg" TargetMode="External"/><Relationship Id="rId2433" Type="http://schemas.openxmlformats.org/officeDocument/2006/relationships/hyperlink" Target="https://pbs.twimg.com/profile_images/1806436217950441472/UQXxhjcU_normal.jpg" TargetMode="External"/><Relationship Id="rId2640" Type="http://schemas.openxmlformats.org/officeDocument/2006/relationships/hyperlink" Target="https://x.com/OX_DAO/status/1878567157119803790" TargetMode="External"/><Relationship Id="rId405" Type="http://schemas.openxmlformats.org/officeDocument/2006/relationships/hyperlink" Target="https://www.cookie.fun/chains/avalanche.svg" TargetMode="External"/><Relationship Id="rId612" Type="http://schemas.openxmlformats.org/officeDocument/2006/relationships/hyperlink" Target="https://pbs.twimg.com/profile_images/1842825342194446336/7-VG_8iW_normal.jpg" TargetMode="External"/><Relationship Id="rId1035" Type="http://schemas.openxmlformats.org/officeDocument/2006/relationships/hyperlink" Target="https://www.cookie.fun/chains/solana.svg" TargetMode="External"/><Relationship Id="rId1242" Type="http://schemas.openxmlformats.org/officeDocument/2006/relationships/hyperlink" Target="https://www.cookie.fun/chains/solana.svg" TargetMode="External"/><Relationship Id="rId2500" Type="http://schemas.openxmlformats.org/officeDocument/2006/relationships/hyperlink" Target="https://pbs.twimg.com/profile_images/1770106984349786112/jJQiGmu9_400x400.jpg" TargetMode="External"/><Relationship Id="rId1102" Type="http://schemas.openxmlformats.org/officeDocument/2006/relationships/hyperlink" Target="https://www.cookie.fun/agent/mci" TargetMode="External"/><Relationship Id="rId3067" Type="http://schemas.openxmlformats.org/officeDocument/2006/relationships/hyperlink" Target="https://pbs.twimg.com/profile_images/1778709769991176192/hFGUFdyw_normal.jpg" TargetMode="External"/><Relationship Id="rId3274" Type="http://schemas.openxmlformats.org/officeDocument/2006/relationships/hyperlink" Target="https://www.cookie.fun/agent/profitpilot" TargetMode="External"/><Relationship Id="rId4118" Type="http://schemas.openxmlformats.org/officeDocument/2006/relationships/hyperlink" Target="https://pbs.twimg.com/profile_images/1806079994000478208/PyfujI-a_normal.jpg" TargetMode="External"/><Relationship Id="rId195" Type="http://schemas.openxmlformats.org/officeDocument/2006/relationships/hyperlink" Target="https://www.cookie.fun/agent/kasu-hunter" TargetMode="External"/><Relationship Id="rId1919" Type="http://schemas.openxmlformats.org/officeDocument/2006/relationships/hyperlink" Target="https://pbs.twimg.com/profile_images/1875337924662771713/WSfgwOez_400x400.png" TargetMode="External"/><Relationship Id="rId3481" Type="http://schemas.openxmlformats.org/officeDocument/2006/relationships/hyperlink" Target="https://x.com/Lomashuk/status/1878487398885081246" TargetMode="External"/><Relationship Id="rId2083" Type="http://schemas.openxmlformats.org/officeDocument/2006/relationships/hyperlink" Target="https://pbs.twimg.com/profile_images/1871349394794283008/hIm6jL-W_400x400.jpg" TargetMode="External"/><Relationship Id="rId2290" Type="http://schemas.openxmlformats.org/officeDocument/2006/relationships/hyperlink" Target="https://x.com/aeyakovenko/status/1878085985977954369" TargetMode="External"/><Relationship Id="rId3134" Type="http://schemas.openxmlformats.org/officeDocument/2006/relationships/hyperlink" Target="https://www.cookie.fun/agent/limitless" TargetMode="External"/><Relationship Id="rId3341" Type="http://schemas.openxmlformats.org/officeDocument/2006/relationships/hyperlink" Target="https://x.com/0xNefu/status/1877126272335200386" TargetMode="External"/><Relationship Id="rId262" Type="http://schemas.openxmlformats.org/officeDocument/2006/relationships/hyperlink" Target="https://www.cookie.fun/agent/fiji-exe" TargetMode="External"/><Relationship Id="rId2150" Type="http://schemas.openxmlformats.org/officeDocument/2006/relationships/hyperlink" Target="http://fictionx.ai/" TargetMode="External"/><Relationship Id="rId3201" Type="http://schemas.openxmlformats.org/officeDocument/2006/relationships/hyperlink" Target="https://x.com/theYRDGZ/status/1877474119786045440" TargetMode="External"/><Relationship Id="rId122" Type="http://schemas.openxmlformats.org/officeDocument/2006/relationships/hyperlink" Target="https://www.cookie.fun/agent/lola" TargetMode="External"/><Relationship Id="rId2010" Type="http://schemas.openxmlformats.org/officeDocument/2006/relationships/hyperlink" Target="https://www.cookie.fun/chains/base.svg" TargetMode="External"/><Relationship Id="rId1569" Type="http://schemas.openxmlformats.org/officeDocument/2006/relationships/hyperlink" Target="https://www.cookie.fun/chains/solana.svg" TargetMode="External"/><Relationship Id="rId2967" Type="http://schemas.openxmlformats.org/officeDocument/2006/relationships/hyperlink" Target="https://x.com/BiteyeCN/status/1877249880021942569" TargetMode="External"/><Relationship Id="rId939" Type="http://schemas.openxmlformats.org/officeDocument/2006/relationships/hyperlink" Target="https://www.cookie.fun/chains/base.svg" TargetMode="External"/><Relationship Id="rId1776" Type="http://schemas.openxmlformats.org/officeDocument/2006/relationships/hyperlink" Target="https://www.cookie.fun/chains/base.svg" TargetMode="External"/><Relationship Id="rId1983" Type="http://schemas.openxmlformats.org/officeDocument/2006/relationships/hyperlink" Target="https://www.cookie.fun/chains/solana.svg" TargetMode="External"/><Relationship Id="rId2827" Type="http://schemas.openxmlformats.org/officeDocument/2006/relationships/hyperlink" Target="https://x.com/Alejandro_XBT/status/1878112899777913128" TargetMode="External"/><Relationship Id="rId4042" Type="http://schemas.openxmlformats.org/officeDocument/2006/relationships/hyperlink" Target="https://pbs.twimg.com/profile_images/1863778246799880192/pM1fnD16_normal.jpg" TargetMode="External"/><Relationship Id="rId68" Type="http://schemas.openxmlformats.org/officeDocument/2006/relationships/hyperlink" Target="https://pbs.twimg.com/profile_images/1864054533657178112/EhtqVT01_400x400.jpg" TargetMode="External"/><Relationship Id="rId1429" Type="http://schemas.openxmlformats.org/officeDocument/2006/relationships/hyperlink" Target="https://www.cookie.fun/agent/agi" TargetMode="External"/><Relationship Id="rId1636" Type="http://schemas.openxmlformats.org/officeDocument/2006/relationships/hyperlink" Target="https://www.cookie.fun/agent/sint" TargetMode="External"/><Relationship Id="rId1843" Type="http://schemas.openxmlformats.org/officeDocument/2006/relationships/hyperlink" Target="https://www.cookie.fun/agent/detective-ai" TargetMode="External"/><Relationship Id="rId1703" Type="http://schemas.openxmlformats.org/officeDocument/2006/relationships/hyperlink" Target="https://pbs.twimg.com/profile_images/1869831600961208320/f6c5qgv6_400x400.jpg" TargetMode="External"/><Relationship Id="rId1910" Type="http://schemas.openxmlformats.org/officeDocument/2006/relationships/hyperlink" Target="https://pbs.twimg.com/profile_images/1876131127146012672/8pWouLsb_400x400.jpg" TargetMode="External"/><Relationship Id="rId3668" Type="http://schemas.openxmlformats.org/officeDocument/2006/relationships/hyperlink" Target="https://www.cookie.fun/chains/solana.svg" TargetMode="External"/><Relationship Id="rId3875" Type="http://schemas.openxmlformats.org/officeDocument/2006/relationships/hyperlink" Target="https://www.cookie.fun/chains/solana.svg" TargetMode="External"/><Relationship Id="rId589" Type="http://schemas.openxmlformats.org/officeDocument/2006/relationships/hyperlink" Target="https://www.cookie.fun/chains/base.svg" TargetMode="External"/><Relationship Id="rId796" Type="http://schemas.openxmlformats.org/officeDocument/2006/relationships/hyperlink" Target="https://www.cookie.fun/agent/nelson-wizardking" TargetMode="External"/><Relationship Id="rId2477" Type="http://schemas.openxmlformats.org/officeDocument/2006/relationships/hyperlink" Target="https://www.cookie.fun/chains/solana.svg" TargetMode="External"/><Relationship Id="rId2684" Type="http://schemas.openxmlformats.org/officeDocument/2006/relationships/hyperlink" Target="https://x.com/udiWertheimer/status/1877056846747316363" TargetMode="External"/><Relationship Id="rId3528" Type="http://schemas.openxmlformats.org/officeDocument/2006/relationships/hyperlink" Target="https://www.cookie.fun/agent/liminal" TargetMode="External"/><Relationship Id="rId3735" Type="http://schemas.openxmlformats.org/officeDocument/2006/relationships/hyperlink" Target="https://x.com/wallstreetbets/status/1878862575959777355" TargetMode="External"/><Relationship Id="rId449" Type="http://schemas.openxmlformats.org/officeDocument/2006/relationships/hyperlink" Target="https://www.cookie.fun/agent/degen-hagrid" TargetMode="External"/><Relationship Id="rId656" Type="http://schemas.openxmlformats.org/officeDocument/2006/relationships/hyperlink" Target="https://pbs.twimg.com/profile_images/1866186002529996801/H6sn2YUl_400x400.png" TargetMode="External"/><Relationship Id="rId863" Type="http://schemas.openxmlformats.org/officeDocument/2006/relationships/hyperlink" Target="https://pbs.twimg.com/profile_images/1870599659778871296/bebbVXlY_400x400.jpg" TargetMode="External"/><Relationship Id="rId1079" Type="http://schemas.openxmlformats.org/officeDocument/2006/relationships/hyperlink" Target="https://pbs.twimg.com/profile_images/1868607338481111040/qGtIHKzq_400x400.jpg" TargetMode="External"/><Relationship Id="rId1286" Type="http://schemas.openxmlformats.org/officeDocument/2006/relationships/hyperlink" Target="https://pbs.twimg.com/profile_images/1861771436651696128/pdTpvXBI_400x400.jpg" TargetMode="External"/><Relationship Id="rId1493" Type="http://schemas.openxmlformats.org/officeDocument/2006/relationships/hyperlink" Target="https://pbs.twimg.com/profile_images/1858656666272616448/_9sJkvsO_400x400.jpg" TargetMode="External"/><Relationship Id="rId2337" Type="http://schemas.openxmlformats.org/officeDocument/2006/relationships/hyperlink" Target="https://pbs.twimg.com/profile_images/1551586710873550848/8_M8f6ds_normal.jpg" TargetMode="External"/><Relationship Id="rId2544" Type="http://schemas.openxmlformats.org/officeDocument/2006/relationships/hyperlink" Target="https://x.com/MLeeJr/status/1878293174998663213" TargetMode="External"/><Relationship Id="rId2891" Type="http://schemas.openxmlformats.org/officeDocument/2006/relationships/hyperlink" Target="https://pbs.twimg.com/profile_images/1637218141255131139/IY4gsV5h_normal.jpg" TargetMode="External"/><Relationship Id="rId3942" Type="http://schemas.openxmlformats.org/officeDocument/2006/relationships/hyperlink" Target="https://www.cookie.fun/agent/capricorn" TargetMode="External"/><Relationship Id="rId309" Type="http://schemas.openxmlformats.org/officeDocument/2006/relationships/hyperlink" Target="https://www.cookie.fun/chains/solana.svg" TargetMode="External"/><Relationship Id="rId516" Type="http://schemas.openxmlformats.org/officeDocument/2006/relationships/hyperlink" Target="https://pbs.twimg.com/profile_images/1860296546723446785/AuJ5BbEW_400x400.jpg" TargetMode="External"/><Relationship Id="rId1146" Type="http://schemas.openxmlformats.org/officeDocument/2006/relationships/hyperlink" Target="https://www.cookie.fun/chains/solana.svg" TargetMode="External"/><Relationship Id="rId2751" Type="http://schemas.openxmlformats.org/officeDocument/2006/relationships/hyperlink" Target="https://www.cookie.fun/agent/moe" TargetMode="External"/><Relationship Id="rId3802" Type="http://schemas.openxmlformats.org/officeDocument/2006/relationships/hyperlink" Target="https://www.cookie.fun/chains/solana.svg" TargetMode="External"/><Relationship Id="rId723" Type="http://schemas.openxmlformats.org/officeDocument/2006/relationships/hyperlink" Target="https://www.cookie.fun/chains/solana.svg" TargetMode="External"/><Relationship Id="rId930" Type="http://schemas.openxmlformats.org/officeDocument/2006/relationships/hyperlink" Target="https://www.cookie.fun/chains/solana.svg" TargetMode="External"/><Relationship Id="rId1006" Type="http://schemas.openxmlformats.org/officeDocument/2006/relationships/hyperlink" Target="https://www.cookie.fun/agent/diddytron" TargetMode="External"/><Relationship Id="rId1353" Type="http://schemas.openxmlformats.org/officeDocument/2006/relationships/hyperlink" Target="https://www.cookie.fun/chains/solana.svg" TargetMode="External"/><Relationship Id="rId1560" Type="http://schemas.openxmlformats.org/officeDocument/2006/relationships/hyperlink" Target="https://www.cookie.fun/chains/solana.svg" TargetMode="External"/><Relationship Id="rId2404" Type="http://schemas.openxmlformats.org/officeDocument/2006/relationships/hyperlink" Target="https://pbs.twimg.com/profile_images/1868618767846039552/rcjufeVM_400x400.jpg" TargetMode="External"/><Relationship Id="rId2611" Type="http://schemas.openxmlformats.org/officeDocument/2006/relationships/hyperlink" Target="https://pbs.twimg.com/profile_images/1839737518058790912/z6Kr5LQb_normal.jpg" TargetMode="External"/><Relationship Id="rId1213" Type="http://schemas.openxmlformats.org/officeDocument/2006/relationships/hyperlink" Target="https://www.cookie.fun/agent/baos" TargetMode="External"/><Relationship Id="rId1420" Type="http://schemas.openxmlformats.org/officeDocument/2006/relationships/hyperlink" Target="https://www.cookie.fun/agent/shapeless" TargetMode="External"/><Relationship Id="rId3178" Type="http://schemas.openxmlformats.org/officeDocument/2006/relationships/hyperlink" Target="https://x.com/JoshMcGruff/status/1879335313497264579" TargetMode="External"/><Relationship Id="rId3385" Type="http://schemas.openxmlformats.org/officeDocument/2006/relationships/hyperlink" Target="https://x.com/yoitsOG/status/1877704683441074510" TargetMode="External"/><Relationship Id="rId3592" Type="http://schemas.openxmlformats.org/officeDocument/2006/relationships/hyperlink" Target="https://www.cookie.fun/agent/soleng" TargetMode="External"/><Relationship Id="rId2194" Type="http://schemas.openxmlformats.org/officeDocument/2006/relationships/hyperlink" Target="https://www.cookie.fun/agent/memecoin-fun" TargetMode="External"/><Relationship Id="rId3038" Type="http://schemas.openxmlformats.org/officeDocument/2006/relationships/hyperlink" Target="https://www.cookie.fun/chains/base.svg" TargetMode="External"/><Relationship Id="rId3245" Type="http://schemas.openxmlformats.org/officeDocument/2006/relationships/hyperlink" Target="https://pbs.twimg.com/profile_images/1478130385116672008/kpiOx18X_normal.jpg" TargetMode="External"/><Relationship Id="rId3452" Type="http://schemas.openxmlformats.org/officeDocument/2006/relationships/hyperlink" Target="https://pbs.twimg.com/profile_images/1707558009776242688/Mu8g3JM2_normal.jpg" TargetMode="External"/><Relationship Id="rId166" Type="http://schemas.openxmlformats.org/officeDocument/2006/relationships/hyperlink" Target="https://pbs.twimg.com/profile_images/1833186908069105665/yJunfJMk_400x400.jpg" TargetMode="External"/><Relationship Id="rId373" Type="http://schemas.openxmlformats.org/officeDocument/2006/relationships/hyperlink" Target="https://www.cookie.fun/agent/aurora-terminal" TargetMode="External"/><Relationship Id="rId580" Type="http://schemas.openxmlformats.org/officeDocument/2006/relationships/hyperlink" Target="https://www.cookie.fun/chains/base.svg" TargetMode="External"/><Relationship Id="rId2054" Type="http://schemas.openxmlformats.org/officeDocument/2006/relationships/hyperlink" Target="https://pbs.twimg.com/profile_images/1869271933138661376/iSzJc8F8_400x400.jpg" TargetMode="External"/><Relationship Id="rId2261" Type="http://schemas.openxmlformats.org/officeDocument/2006/relationships/hyperlink" Target="https://www.cookie.fun/chains/base.svg" TargetMode="External"/><Relationship Id="rId3105" Type="http://schemas.openxmlformats.org/officeDocument/2006/relationships/hyperlink" Target="https://pbs.twimg.com/profile_images/1778366683888914433/GBWz-Jp__normal.jpg" TargetMode="External"/><Relationship Id="rId3312" Type="http://schemas.openxmlformats.org/officeDocument/2006/relationships/hyperlink" Target="https://pbs.twimg.com/profile_images/1870076582963945472/LN_Val_Z_400x400.jpg" TargetMode="External"/><Relationship Id="rId233" Type="http://schemas.openxmlformats.org/officeDocument/2006/relationships/hyperlink" Target="https://pbs.twimg.com/profile_images/1876977143919316992/cmkpuDms_400x400.jpg" TargetMode="External"/><Relationship Id="rId440" Type="http://schemas.openxmlformats.org/officeDocument/2006/relationships/hyperlink" Target="https://www.cookie.fun/agent/oraclex" TargetMode="External"/><Relationship Id="rId1070" Type="http://schemas.openxmlformats.org/officeDocument/2006/relationships/hyperlink" Target="https://pbs.twimg.com/profile_images/1868847672888610816/zfITVo5E_400x400.jpg" TargetMode="External"/><Relationship Id="rId2121" Type="http://schemas.openxmlformats.org/officeDocument/2006/relationships/hyperlink" Target="https://www.cookie.fun/agent/terminal-of-memes" TargetMode="External"/><Relationship Id="rId300" Type="http://schemas.openxmlformats.org/officeDocument/2006/relationships/hyperlink" Target="https://www.cookie.fun/chains/arbitrum.svg" TargetMode="External"/><Relationship Id="rId4086" Type="http://schemas.openxmlformats.org/officeDocument/2006/relationships/hyperlink" Target="https://x.com/RadNFTV/status/1877419605750153684" TargetMode="External"/><Relationship Id="rId1887" Type="http://schemas.openxmlformats.org/officeDocument/2006/relationships/hyperlink" Target="https://www.cookie.fun/chains/base.svg" TargetMode="External"/><Relationship Id="rId2938" Type="http://schemas.openxmlformats.org/officeDocument/2006/relationships/hyperlink" Target="https://x.com/nicedayJules/status/1877390684178755965" TargetMode="External"/><Relationship Id="rId1747" Type="http://schemas.openxmlformats.org/officeDocument/2006/relationships/hyperlink" Target="https://www.cookie.fun/agent/erina" TargetMode="External"/><Relationship Id="rId1954" Type="http://schemas.openxmlformats.org/officeDocument/2006/relationships/hyperlink" Target="https://www.cookie.fun/agent/smartai" TargetMode="External"/><Relationship Id="rId4153" Type="http://schemas.openxmlformats.org/officeDocument/2006/relationships/hyperlink" Target="https://pbs.twimg.com/profile_images/1860474137707204608/uwAyIYPU_400x400.jpg" TargetMode="External"/><Relationship Id="rId39" Type="http://schemas.openxmlformats.org/officeDocument/2006/relationships/hyperlink" Target="https://pbs.twimg.com/profile_images/1868392437648900096/WjYeNAjv_400x400.jpg" TargetMode="External"/><Relationship Id="rId1607" Type="http://schemas.openxmlformats.org/officeDocument/2006/relationships/hyperlink" Target="https://pbs.twimg.com/profile_images/1858340078160076800/HNaCHkuy_400x400.jpg" TargetMode="External"/><Relationship Id="rId1814" Type="http://schemas.openxmlformats.org/officeDocument/2006/relationships/hyperlink" Target="https://pbs.twimg.com/profile_images/1874837560469409792/y6G22Phm_400x400.jpg" TargetMode="External"/><Relationship Id="rId4013" Type="http://schemas.openxmlformats.org/officeDocument/2006/relationships/hyperlink" Target="https://x.com/RareAxies/status/1878830757785096342" TargetMode="External"/><Relationship Id="rId3779" Type="http://schemas.openxmlformats.org/officeDocument/2006/relationships/hyperlink" Target="https://pbs.twimg.com/profile_images/1808731402445201409/kVORVEQ4_normal.jpg" TargetMode="External"/><Relationship Id="rId2588" Type="http://schemas.openxmlformats.org/officeDocument/2006/relationships/hyperlink" Target="https://x.com/Cryppocrates/status/1877846026281005371" TargetMode="External"/><Relationship Id="rId3986" Type="http://schemas.openxmlformats.org/officeDocument/2006/relationships/hyperlink" Target="https://x.com/Eljaboom/status/1878193449536762055" TargetMode="External"/><Relationship Id="rId1397" Type="http://schemas.openxmlformats.org/officeDocument/2006/relationships/hyperlink" Target="https://pbs.twimg.com/profile_images/1859275553767063552/lCJiooUA_400x400.jpg" TargetMode="External"/><Relationship Id="rId2795" Type="http://schemas.openxmlformats.org/officeDocument/2006/relationships/hyperlink" Target="https://x.com/iWantCoinNews/status/1877706302857654317" TargetMode="External"/><Relationship Id="rId3639" Type="http://schemas.openxmlformats.org/officeDocument/2006/relationships/hyperlink" Target="https://www.cookie.fun/chains/solana.svg" TargetMode="External"/><Relationship Id="rId3846" Type="http://schemas.openxmlformats.org/officeDocument/2006/relationships/hyperlink" Target="https://pbs.twimg.com/profile_images/1875472471677108224/Fp5kS1f4_normal.jpg" TargetMode="External"/><Relationship Id="rId767" Type="http://schemas.openxmlformats.org/officeDocument/2006/relationships/hyperlink" Target="https://pbs.twimg.com/profile_images/1862862982902128641/IoDLGiGD_400x400.jpg" TargetMode="External"/><Relationship Id="rId974" Type="http://schemas.openxmlformats.org/officeDocument/2006/relationships/hyperlink" Target="https://pbs.twimg.com/profile_images/1876505564345450496/rHE1cmuK_400x400.jpg" TargetMode="External"/><Relationship Id="rId2448" Type="http://schemas.openxmlformats.org/officeDocument/2006/relationships/hyperlink" Target="https://x.com/CryptoExpert101/status/1879001872301969845" TargetMode="External"/><Relationship Id="rId2655" Type="http://schemas.openxmlformats.org/officeDocument/2006/relationships/hyperlink" Target="https://www.cookie.fun/agent/tank" TargetMode="External"/><Relationship Id="rId2862" Type="http://schemas.openxmlformats.org/officeDocument/2006/relationships/hyperlink" Target="https://x.com/sjdedic/status/1879383304203636914" TargetMode="External"/><Relationship Id="rId3706" Type="http://schemas.openxmlformats.org/officeDocument/2006/relationships/hyperlink" Target="https://pbs.twimg.com/profile_images/1869513448960163841/PldCEKC8_400x400.jpg" TargetMode="External"/><Relationship Id="rId3913" Type="http://schemas.openxmlformats.org/officeDocument/2006/relationships/hyperlink" Target="https://pbs.twimg.com/profile_images/1805895265746051072/vSr7Tsbo_normal.jpg" TargetMode="External"/><Relationship Id="rId627" Type="http://schemas.openxmlformats.org/officeDocument/2006/relationships/hyperlink" Target="https://www.cookie.fun/chains/solana.svg" TargetMode="External"/><Relationship Id="rId834" Type="http://schemas.openxmlformats.org/officeDocument/2006/relationships/hyperlink" Target="https://www.cookie.fun/chains/solana.svg" TargetMode="External"/><Relationship Id="rId1257" Type="http://schemas.openxmlformats.org/officeDocument/2006/relationships/hyperlink" Target="https://www.cookie.fun/chains/solana.svg" TargetMode="External"/><Relationship Id="rId1464" Type="http://schemas.openxmlformats.org/officeDocument/2006/relationships/hyperlink" Target="https://www.cookie.fun/chains/solana.svg" TargetMode="External"/><Relationship Id="rId1671" Type="http://schemas.openxmlformats.org/officeDocument/2006/relationships/hyperlink" Target="https://www.cookie.fun/chains/solana.svg" TargetMode="External"/><Relationship Id="rId2308" Type="http://schemas.openxmlformats.org/officeDocument/2006/relationships/hyperlink" Target="https://pbs.twimg.com/profile_images/1855410740020293632/QGF56UwO_400x400.jpg" TargetMode="External"/><Relationship Id="rId2515" Type="http://schemas.openxmlformats.org/officeDocument/2006/relationships/hyperlink" Target="https://pbs.twimg.com/profile_images/1873983306859241479/-jmj71fb_normal.jpg" TargetMode="External"/><Relationship Id="rId2722" Type="http://schemas.openxmlformats.org/officeDocument/2006/relationships/hyperlink" Target="https://x.com/KashKysh/status/1879275507059146952" TargetMode="External"/><Relationship Id="rId901" Type="http://schemas.openxmlformats.org/officeDocument/2006/relationships/hyperlink" Target="https://www.cookie.fun/agent/akane-" TargetMode="External"/><Relationship Id="rId1117" Type="http://schemas.openxmlformats.org/officeDocument/2006/relationships/hyperlink" Target="https://www.cookie.fun/agent/dicksout" TargetMode="External"/><Relationship Id="rId1324" Type="http://schemas.openxmlformats.org/officeDocument/2006/relationships/hyperlink" Target="https://www.cookie.fun/agent/blankface" TargetMode="External"/><Relationship Id="rId1531" Type="http://schemas.openxmlformats.org/officeDocument/2006/relationships/hyperlink" Target="https://www.cookie.fun/agent/beckerai" TargetMode="External"/><Relationship Id="rId30" Type="http://schemas.openxmlformats.org/officeDocument/2006/relationships/hyperlink" Target="https://pbs.twimg.com/profile_images/1875266537633845248/1Rmp3wUJ_400x400.jpg" TargetMode="External"/><Relationship Id="rId3289" Type="http://schemas.openxmlformats.org/officeDocument/2006/relationships/hyperlink" Target="https://x.com/TheBoggartt/status/1877104353594552794" TargetMode="External"/><Relationship Id="rId3496" Type="http://schemas.openxmlformats.org/officeDocument/2006/relationships/hyperlink" Target="https://x.com/blknoiz06/status/1878157047058858210" TargetMode="External"/><Relationship Id="rId2098" Type="http://schemas.openxmlformats.org/officeDocument/2006/relationships/hyperlink" Target="https://pbs.twimg.com/profile_images/1870819639854616576/YPJfGQYL_400x400.jpg" TargetMode="External"/><Relationship Id="rId3149" Type="http://schemas.openxmlformats.org/officeDocument/2006/relationships/hyperlink" Target="https://x.com/Cryppocrates/status/1878215761598288125" TargetMode="External"/><Relationship Id="rId3356" Type="http://schemas.openxmlformats.org/officeDocument/2006/relationships/hyperlink" Target="https://x.com/hunterorrell/status/1877578324509139183" TargetMode="External"/><Relationship Id="rId3563" Type="http://schemas.openxmlformats.org/officeDocument/2006/relationships/hyperlink" Target="https://pbs.twimg.com/profile_images/1874769738162712576/U9nykgto_normal.jpg" TargetMode="External"/><Relationship Id="rId277" Type="http://schemas.openxmlformats.org/officeDocument/2006/relationships/hyperlink" Target="https://www.cookie.fun/agent/rod-ai" TargetMode="External"/><Relationship Id="rId484" Type="http://schemas.openxmlformats.org/officeDocument/2006/relationships/hyperlink" Target="https://www.cookie.fun/chains/solana.svg" TargetMode="External"/><Relationship Id="rId2165" Type="http://schemas.openxmlformats.org/officeDocument/2006/relationships/hyperlink" Target="https://pbs.twimg.com/profile_images/1869808392098983940/Hx4j63zb_400x400.jpg" TargetMode="External"/><Relationship Id="rId3009" Type="http://schemas.openxmlformats.org/officeDocument/2006/relationships/hyperlink" Target="https://x.com/Web3Alex_/status/1877704422911795567" TargetMode="External"/><Relationship Id="rId3216" Type="http://schemas.openxmlformats.org/officeDocument/2006/relationships/hyperlink" Target="https://www.cookie.fun/agent/moss" TargetMode="External"/><Relationship Id="rId3770" Type="http://schemas.openxmlformats.org/officeDocument/2006/relationships/hyperlink" Target="https://pbs.twimg.com/profile_images/1762381335791054848/mSMeyQDS_normal.jpg" TargetMode="External"/><Relationship Id="rId137" Type="http://schemas.openxmlformats.org/officeDocument/2006/relationships/hyperlink" Target="https://www.cookie.fun/chains/solana.svg" TargetMode="External"/><Relationship Id="rId344" Type="http://schemas.openxmlformats.org/officeDocument/2006/relationships/hyperlink" Target="https://pbs.twimg.com/profile_images/1860955072722550784/bUsJ9UID_400x400.jpg" TargetMode="External"/><Relationship Id="rId691" Type="http://schemas.openxmlformats.org/officeDocument/2006/relationships/hyperlink" Target="https://www.cookie.fun/agent/gattaca" TargetMode="External"/><Relationship Id="rId2025" Type="http://schemas.openxmlformats.org/officeDocument/2006/relationships/hyperlink" Target="https://www.cookie.fun/chains/solana.svg" TargetMode="External"/><Relationship Id="rId2372" Type="http://schemas.openxmlformats.org/officeDocument/2006/relationships/hyperlink" Target="https://x.com/ysiu/status/1877569236819726811" TargetMode="External"/><Relationship Id="rId3423" Type="http://schemas.openxmlformats.org/officeDocument/2006/relationships/hyperlink" Target="https://pbs.twimg.com/profile_images/1839124375670501376/HaMB901j_normal.jpg" TargetMode="External"/><Relationship Id="rId3630" Type="http://schemas.openxmlformats.org/officeDocument/2006/relationships/hyperlink" Target="https://www.cookie.fun/agent/kitten-haimer" TargetMode="External"/><Relationship Id="rId551" Type="http://schemas.openxmlformats.org/officeDocument/2006/relationships/hyperlink" Target="https://www.cookie.fun/agent/a-o-d" TargetMode="External"/><Relationship Id="rId1181" Type="http://schemas.openxmlformats.org/officeDocument/2006/relationships/hyperlink" Target="https://pbs.twimg.com/profile_images/1864497003478102016/wSM4EnZc_400x400.jpg" TargetMode="External"/><Relationship Id="rId2232" Type="http://schemas.openxmlformats.org/officeDocument/2006/relationships/hyperlink" Target="https://www.cookie.fun/agent/optree" TargetMode="External"/><Relationship Id="rId204" Type="http://schemas.openxmlformats.org/officeDocument/2006/relationships/hyperlink" Target="https://www.cookie.fun/agent/penguin-santa" TargetMode="External"/><Relationship Id="rId411" Type="http://schemas.openxmlformats.org/officeDocument/2006/relationships/hyperlink" Target="https://www.cookie.fun/chains/solana.svg" TargetMode="External"/><Relationship Id="rId1041" Type="http://schemas.openxmlformats.org/officeDocument/2006/relationships/hyperlink" Target="https://www.cookie.fun/chains/solana.svg" TargetMode="External"/><Relationship Id="rId1998" Type="http://schemas.openxmlformats.org/officeDocument/2006/relationships/hyperlink" Target="https://www.cookie.fun/chains/solana.svg" TargetMode="External"/><Relationship Id="rId1858" Type="http://schemas.openxmlformats.org/officeDocument/2006/relationships/hyperlink" Target="https://www.cookie.fun/agent/mystri" TargetMode="External"/><Relationship Id="rId4057" Type="http://schemas.openxmlformats.org/officeDocument/2006/relationships/hyperlink" Target="https://www.cookie.fun/chains/solana.svg" TargetMode="External"/><Relationship Id="rId2909" Type="http://schemas.openxmlformats.org/officeDocument/2006/relationships/hyperlink" Target="https://x.com/IntractCampaign/status/1878305919974637611" TargetMode="External"/><Relationship Id="rId3073" Type="http://schemas.openxmlformats.org/officeDocument/2006/relationships/hyperlink" Target="https://x.com/Irenezhao_/status/1877253334857388118" TargetMode="External"/><Relationship Id="rId3280" Type="http://schemas.openxmlformats.org/officeDocument/2006/relationships/hyperlink" Target="https://pbs.twimg.com/profile_images/1727082596507762688/u1y5wTSG_normal.jpg" TargetMode="External"/><Relationship Id="rId4124" Type="http://schemas.openxmlformats.org/officeDocument/2006/relationships/hyperlink" Target="https://www.cookie.fun/agent/aiwithdaddyissues" TargetMode="External"/><Relationship Id="rId1718" Type="http://schemas.openxmlformats.org/officeDocument/2006/relationships/hyperlink" Target="https://pbs.twimg.com/profile_images/1875583513984167939/YXUoT7jo_400x400.jpg" TargetMode="External"/><Relationship Id="rId1925" Type="http://schemas.openxmlformats.org/officeDocument/2006/relationships/hyperlink" Target="https://pbs.twimg.com/profile_images/1876863764135604224/wetYDLU3_400x400.jpg" TargetMode="External"/><Relationship Id="rId3140" Type="http://schemas.openxmlformats.org/officeDocument/2006/relationships/hyperlink" Target="https://pbs.twimg.com/profile_images/1877376167507890176/ctIXJTwa_normal.jpg" TargetMode="External"/><Relationship Id="rId2699" Type="http://schemas.openxmlformats.org/officeDocument/2006/relationships/hyperlink" Target="https://pbs.twimg.com/profile_images/1469588644088451073/VEu0DKDG_normal.jpg" TargetMode="External"/><Relationship Id="rId3000" Type="http://schemas.openxmlformats.org/officeDocument/2006/relationships/hyperlink" Target="https://www.cookie.fun/agent/rex" TargetMode="External"/><Relationship Id="rId3957" Type="http://schemas.openxmlformats.org/officeDocument/2006/relationships/hyperlink" Target="https://x.com/phunk2243/status/1879324639933153730" TargetMode="External"/><Relationship Id="rId878" Type="http://schemas.openxmlformats.org/officeDocument/2006/relationships/hyperlink" Target="https://pbs.twimg.com/profile_images/1862007266733596672/86Tgyszm_400x400.jpg" TargetMode="External"/><Relationship Id="rId2559" Type="http://schemas.openxmlformats.org/officeDocument/2006/relationships/hyperlink" Target="https://www.cookie.fun/agent/thales" TargetMode="External"/><Relationship Id="rId2766" Type="http://schemas.openxmlformats.org/officeDocument/2006/relationships/hyperlink" Target="https://x.com/0xsuperpat/status/1878794765778718768" TargetMode="External"/><Relationship Id="rId2973" Type="http://schemas.openxmlformats.org/officeDocument/2006/relationships/hyperlink" Target="https://x.com/0xCaptainLevi/status/1877397319613608301" TargetMode="External"/><Relationship Id="rId3817" Type="http://schemas.openxmlformats.org/officeDocument/2006/relationships/hyperlink" Target="https://www.cookie.fun/agent/hop" TargetMode="External"/><Relationship Id="rId738" Type="http://schemas.openxmlformats.org/officeDocument/2006/relationships/hyperlink" Target="https://www.cookie.fun/chains/solana.svg" TargetMode="External"/><Relationship Id="rId945" Type="http://schemas.openxmlformats.org/officeDocument/2006/relationships/hyperlink" Target="https://www.cookie.fun/chains/base.svg" TargetMode="External"/><Relationship Id="rId1368" Type="http://schemas.openxmlformats.org/officeDocument/2006/relationships/hyperlink" Target="https://www.cookie.fun/chains/solana.svg" TargetMode="External"/><Relationship Id="rId1575" Type="http://schemas.openxmlformats.org/officeDocument/2006/relationships/hyperlink" Target="https://www.cookie.fun/chains/solana.svg" TargetMode="External"/><Relationship Id="rId1782" Type="http://schemas.openxmlformats.org/officeDocument/2006/relationships/hyperlink" Target="https://www.cookie.fun/chains/base.svg" TargetMode="External"/><Relationship Id="rId2419" Type="http://schemas.openxmlformats.org/officeDocument/2006/relationships/hyperlink" Target="https://pbs.twimg.com/profile_images/1872986386166382592/KMNgNBSv_normal.jpg" TargetMode="External"/><Relationship Id="rId2626" Type="http://schemas.openxmlformats.org/officeDocument/2006/relationships/hyperlink" Target="https://x.com/0xdoves/status/1877316954194657282" TargetMode="External"/><Relationship Id="rId2833" Type="http://schemas.openxmlformats.org/officeDocument/2006/relationships/hyperlink" Target="https://www.cookie.fun/agent/logos" TargetMode="External"/><Relationship Id="rId74" Type="http://schemas.openxmlformats.org/officeDocument/2006/relationships/hyperlink" Target="https://pbs.twimg.com/profile_images/1858804168946831360/L_EntIWE_400x400.jpg" TargetMode="External"/><Relationship Id="rId805" Type="http://schemas.openxmlformats.org/officeDocument/2006/relationships/hyperlink" Target="https://www.cookie.fun/agent/cogito" TargetMode="External"/><Relationship Id="rId1228" Type="http://schemas.openxmlformats.org/officeDocument/2006/relationships/hyperlink" Target="https://www.cookie.fun/agent/kitcat" TargetMode="External"/><Relationship Id="rId1435" Type="http://schemas.openxmlformats.org/officeDocument/2006/relationships/hyperlink" Target="https://www.cookie.fun/agent/rover" TargetMode="External"/><Relationship Id="rId1642" Type="http://schemas.openxmlformats.org/officeDocument/2006/relationships/hyperlink" Target="https://www.cookie.fun/agent/bonk" TargetMode="External"/><Relationship Id="rId2900" Type="http://schemas.openxmlformats.org/officeDocument/2006/relationships/hyperlink" Target="https://pbs.twimg.com/profile_images/1621580327507345408/GTMoS6oZ_normal.jpg" TargetMode="External"/><Relationship Id="rId1502" Type="http://schemas.openxmlformats.org/officeDocument/2006/relationships/hyperlink" Target="https://pbs.twimg.com/profile_images/1878238325489668096/AvOZxCUP_400x400.jpg" TargetMode="External"/><Relationship Id="rId388" Type="http://schemas.openxmlformats.org/officeDocument/2006/relationships/hyperlink" Target="https://www.cookie.fun/agent/kaily" TargetMode="External"/><Relationship Id="rId2069" Type="http://schemas.openxmlformats.org/officeDocument/2006/relationships/hyperlink" Target="https://www.cookie.fun/chains/solana.svg" TargetMode="External"/><Relationship Id="rId3467" Type="http://schemas.openxmlformats.org/officeDocument/2006/relationships/hyperlink" Target="https://pbs.twimg.com/profile_images/1771058965767479296/AGJGQeTF_normal.jpg" TargetMode="External"/><Relationship Id="rId3674" Type="http://schemas.openxmlformats.org/officeDocument/2006/relationships/hyperlink" Target="https://pbs.twimg.com/profile_images/1810355238085279744/pre3iUDX_normal.jpg" TargetMode="External"/><Relationship Id="rId3881" Type="http://schemas.openxmlformats.org/officeDocument/2006/relationships/hyperlink" Target="https://pbs.twimg.com/profile_images/1876631199529267200/IG_L7xhT_normal.jpg" TargetMode="External"/><Relationship Id="rId595" Type="http://schemas.openxmlformats.org/officeDocument/2006/relationships/hyperlink" Target="https://www.cookie.fun/chains/base.svg" TargetMode="External"/><Relationship Id="rId2276" Type="http://schemas.openxmlformats.org/officeDocument/2006/relationships/hyperlink" Target="https://x.com/smileycapital/status/1877398568304050451" TargetMode="External"/><Relationship Id="rId2483" Type="http://schemas.openxmlformats.org/officeDocument/2006/relationships/hyperlink" Target="https://pbs.twimg.com/profile_images/1772836615313817600/SYj2QKwO_normal.jpg" TargetMode="External"/><Relationship Id="rId2690" Type="http://schemas.openxmlformats.org/officeDocument/2006/relationships/hyperlink" Target="https://x.com/whomptuh/status/1877874185227342114" TargetMode="External"/><Relationship Id="rId3327" Type="http://schemas.openxmlformats.org/officeDocument/2006/relationships/hyperlink" Target="https://x.com/Irenezhao_/status/1877739701068783944" TargetMode="External"/><Relationship Id="rId3534" Type="http://schemas.openxmlformats.org/officeDocument/2006/relationships/hyperlink" Target="https://pbs.twimg.com/profile_images/1578435750160470020/7YO6MA5u_normal.jpg" TargetMode="External"/><Relationship Id="rId3741" Type="http://schemas.openxmlformats.org/officeDocument/2006/relationships/hyperlink" Target="https://x.com/jerallaire/status/1877372800383570147" TargetMode="External"/><Relationship Id="rId248" Type="http://schemas.openxmlformats.org/officeDocument/2006/relationships/hyperlink" Target="https://www.cookie.fun/agent/toga" TargetMode="External"/><Relationship Id="rId455" Type="http://schemas.openxmlformats.org/officeDocument/2006/relationships/hyperlink" Target="https://www.cookie.fun/agent/beastai" TargetMode="External"/><Relationship Id="rId662" Type="http://schemas.openxmlformats.org/officeDocument/2006/relationships/hyperlink" Target="https://pbs.twimg.com/profile_images/1848987295170306048/nm2qa1lM_400x400.jpg" TargetMode="External"/><Relationship Id="rId1085" Type="http://schemas.openxmlformats.org/officeDocument/2006/relationships/hyperlink" Target="https://pbs.twimg.com/profile_images/1850972946153586688/atQvaRqG_400x400.jpg" TargetMode="External"/><Relationship Id="rId1292" Type="http://schemas.openxmlformats.org/officeDocument/2006/relationships/hyperlink" Target="https://pbs.twimg.com/profile_images/1861711690586357760/6bE1G6Cl_400x400.jpg" TargetMode="External"/><Relationship Id="rId2136" Type="http://schemas.openxmlformats.org/officeDocument/2006/relationships/hyperlink" Target="https://www.cookie.fun/agent/hypuwa-com" TargetMode="External"/><Relationship Id="rId2343" Type="http://schemas.openxmlformats.org/officeDocument/2006/relationships/hyperlink" Target="https://www.cookie.fun/agent/henlo" TargetMode="External"/><Relationship Id="rId2550" Type="http://schemas.openxmlformats.org/officeDocument/2006/relationships/hyperlink" Target="https://x.com/Defi0xJeff/status/1878777766474399886" TargetMode="External"/><Relationship Id="rId3601" Type="http://schemas.openxmlformats.org/officeDocument/2006/relationships/hyperlink" Target="https://www.cookie.fun/chains/base.svg" TargetMode="External"/><Relationship Id="rId108" Type="http://schemas.openxmlformats.org/officeDocument/2006/relationships/hyperlink" Target="https://pbs.twimg.com/profile_images/1857644197609611264/2MSpdIFY_400x400.jpg" TargetMode="External"/><Relationship Id="rId315" Type="http://schemas.openxmlformats.org/officeDocument/2006/relationships/hyperlink" Target="https://www.cookie.fun/chains/solana.svg" TargetMode="External"/><Relationship Id="rId522" Type="http://schemas.openxmlformats.org/officeDocument/2006/relationships/hyperlink" Target="https://pbs.twimg.com/profile_images/1862394114689437696/39F0PpA1_400x400.jpg" TargetMode="External"/><Relationship Id="rId1152" Type="http://schemas.openxmlformats.org/officeDocument/2006/relationships/hyperlink" Target="https://www.cookie.fun/chains/solana.svg" TargetMode="External"/><Relationship Id="rId2203" Type="http://schemas.openxmlformats.org/officeDocument/2006/relationships/hyperlink" Target="https://www.cookie.fun/agent/mojo-gogo" TargetMode="External"/><Relationship Id="rId2410" Type="http://schemas.openxmlformats.org/officeDocument/2006/relationships/hyperlink" Target="https://x.com/cyrilXBT/status/1878201787582128243" TargetMode="External"/><Relationship Id="rId1012" Type="http://schemas.openxmlformats.org/officeDocument/2006/relationships/hyperlink" Target="https://www.cookie.fun/agent/pep" TargetMode="External"/><Relationship Id="rId4168" Type="http://schemas.openxmlformats.org/officeDocument/2006/relationships/hyperlink" Target="https://www.cookie.fun/agent/saint" TargetMode="External"/><Relationship Id="rId1969" Type="http://schemas.openxmlformats.org/officeDocument/2006/relationships/hyperlink" Target="https://www.cookie.fun/agent/bob-buster" TargetMode="External"/><Relationship Id="rId3184" Type="http://schemas.openxmlformats.org/officeDocument/2006/relationships/hyperlink" Target="https://pbs.twimg.com/profile_images/1872860038529798144/cIXiAY1R_normal.jpg" TargetMode="External"/><Relationship Id="rId4028" Type="http://schemas.openxmlformats.org/officeDocument/2006/relationships/hyperlink" Target="https://www.cookie.fun/chains/solana.svg" TargetMode="External"/><Relationship Id="rId1829" Type="http://schemas.openxmlformats.org/officeDocument/2006/relationships/hyperlink" Target="https://pbs.twimg.com/profile_images/1873462909277237248/JXg7g-gl_400x400.jpg" TargetMode="External"/><Relationship Id="rId3391" Type="http://schemas.openxmlformats.org/officeDocument/2006/relationships/hyperlink" Target="https://x.com/AndySlaps/status/1879491926510170328" TargetMode="External"/><Relationship Id="rId3044" Type="http://schemas.openxmlformats.org/officeDocument/2006/relationships/hyperlink" Target="https://pbs.twimg.com/profile_images/1422538477900423170/tRsq0F8Y_normal.png" TargetMode="External"/><Relationship Id="rId3251" Type="http://schemas.openxmlformats.org/officeDocument/2006/relationships/hyperlink" Target="https://pbs.twimg.com/profile_images/1855193730426290176/UyV2mnPm_normal.jpg" TargetMode="External"/><Relationship Id="rId172" Type="http://schemas.openxmlformats.org/officeDocument/2006/relationships/hyperlink" Target="https://pbs.twimg.com/profile_images/1850261887121870848/gm0NLj4h_400x400.jpg" TargetMode="External"/><Relationship Id="rId2060" Type="http://schemas.openxmlformats.org/officeDocument/2006/relationships/hyperlink" Target="https://pbs.twimg.com/profile_images/1868497516683227137/Bb5OrMGy_400x400.png" TargetMode="External"/><Relationship Id="rId3111" Type="http://schemas.openxmlformats.org/officeDocument/2006/relationships/hyperlink" Target="https://pbs.twimg.com/profile_images/1866788413241954306/ZD4kTsGT_400x400.jpg" TargetMode="External"/><Relationship Id="rId989" Type="http://schemas.openxmlformats.org/officeDocument/2006/relationships/hyperlink" Target="https://pbs.twimg.com/profile_images/1878692873786593280/dtBMcoSt_400x400.jpg" TargetMode="External"/><Relationship Id="rId2877" Type="http://schemas.openxmlformats.org/officeDocument/2006/relationships/hyperlink" Target="https://pbs.twimg.com/profile_images/1738860733771780096/eYaFzxgO_normal.png" TargetMode="External"/><Relationship Id="rId849" Type="http://schemas.openxmlformats.org/officeDocument/2006/relationships/hyperlink" Target="https://www.cookie.fun/chains/base.svg" TargetMode="External"/><Relationship Id="rId1479" Type="http://schemas.openxmlformats.org/officeDocument/2006/relationships/hyperlink" Target="https://www.cookie.fun/chains/solana.svg" TargetMode="External"/><Relationship Id="rId1686" Type="http://schemas.openxmlformats.org/officeDocument/2006/relationships/hyperlink" Target="https://www.cookie.fun/chains/solana.svg" TargetMode="External"/><Relationship Id="rId3928" Type="http://schemas.openxmlformats.org/officeDocument/2006/relationships/hyperlink" Target="https://pbs.twimg.com/profile_images/1816519907045236736/yD6iA3KJ_normal.jpg" TargetMode="External"/><Relationship Id="rId4092" Type="http://schemas.openxmlformats.org/officeDocument/2006/relationships/hyperlink" Target="https://pbs.twimg.com/profile_images/1872382627011035136/ag-fU-8E_400x400.jpg" TargetMode="External"/><Relationship Id="rId1339" Type="http://schemas.openxmlformats.org/officeDocument/2006/relationships/hyperlink" Target="https://www.cookie.fun/agent/bbc" TargetMode="External"/><Relationship Id="rId1893" Type="http://schemas.openxmlformats.org/officeDocument/2006/relationships/hyperlink" Target="https://www.cookie.fun/chains/base.svg" TargetMode="External"/><Relationship Id="rId2737" Type="http://schemas.openxmlformats.org/officeDocument/2006/relationships/hyperlink" Target="https://pbs.twimg.com/profile_images/1609778151369883648/dgvqvUMB_normal.jpg" TargetMode="External"/><Relationship Id="rId2944" Type="http://schemas.openxmlformats.org/officeDocument/2006/relationships/hyperlink" Target="https://pbs.twimg.com/profile_images/1868843705060184064/3gASpEzg_400x400.jpg" TargetMode="External"/><Relationship Id="rId709" Type="http://schemas.openxmlformats.org/officeDocument/2006/relationships/hyperlink" Target="https://www.cookie.fun/agent/arcai" TargetMode="External"/><Relationship Id="rId916" Type="http://schemas.openxmlformats.org/officeDocument/2006/relationships/hyperlink" Target="https://www.cookie.fun/agent/adam" TargetMode="External"/><Relationship Id="rId1546" Type="http://schemas.openxmlformats.org/officeDocument/2006/relationships/hyperlink" Target="https://www.cookie.fun/agent/milady201" TargetMode="External"/><Relationship Id="rId1753" Type="http://schemas.openxmlformats.org/officeDocument/2006/relationships/hyperlink" Target="https://www.cookie.fun/agent/agent-cerebrus" TargetMode="External"/><Relationship Id="rId1960" Type="http://schemas.openxmlformats.org/officeDocument/2006/relationships/hyperlink" Target="https://www.cookie.fun/agent/beep" TargetMode="External"/><Relationship Id="rId2804" Type="http://schemas.openxmlformats.org/officeDocument/2006/relationships/hyperlink" Target="https://pbs.twimg.com/profile_images/1861583698388242432/hkGjELtU_normal.png" TargetMode="External"/><Relationship Id="rId45" Type="http://schemas.openxmlformats.org/officeDocument/2006/relationships/hyperlink" Target="https://pbs.twimg.com/profile_images/1870504224678612994/lWHFK4_-_400x400.jpg" TargetMode="External"/><Relationship Id="rId1406" Type="http://schemas.openxmlformats.org/officeDocument/2006/relationships/hyperlink" Target="https://pbs.twimg.com/profile_images/1859070997858508800/aK8KOKI__400x400.jpg" TargetMode="External"/><Relationship Id="rId1613" Type="http://schemas.openxmlformats.org/officeDocument/2006/relationships/hyperlink" Target="https://pbs.twimg.com/profile_images/1865227676987936768/jxVpr5m4_400x400.jpg" TargetMode="External"/><Relationship Id="rId1820" Type="http://schemas.openxmlformats.org/officeDocument/2006/relationships/hyperlink" Target="https://pbs.twimg.com/profile_images/1877963871366873088/HagSZBub_400x400.jpg" TargetMode="External"/><Relationship Id="rId3578" Type="http://schemas.openxmlformats.org/officeDocument/2006/relationships/hyperlink" Target="https://www.cookie.fun/agent/forest" TargetMode="External"/><Relationship Id="rId3785" Type="http://schemas.openxmlformats.org/officeDocument/2006/relationships/hyperlink" Target="https://www.cookie.fun/agent/pillzumi" TargetMode="External"/><Relationship Id="rId3992" Type="http://schemas.openxmlformats.org/officeDocument/2006/relationships/hyperlink" Target="https://pbs.twimg.com/profile_images/1840527197846544384/5jIIuNGx_normal.jpg" TargetMode="External"/><Relationship Id="rId499" Type="http://schemas.openxmlformats.org/officeDocument/2006/relationships/hyperlink" Target="https://www.cookie.fun/chains/solana.svg" TargetMode="External"/><Relationship Id="rId2387" Type="http://schemas.openxmlformats.org/officeDocument/2006/relationships/hyperlink" Target="https://pbs.twimg.com/profile_images/1679189748680630273/3FPwpRqu_normal.jpg" TargetMode="External"/><Relationship Id="rId2594" Type="http://schemas.openxmlformats.org/officeDocument/2006/relationships/hyperlink" Target="https://x.com/Cryppocrates/status/1877935772260610300" TargetMode="External"/><Relationship Id="rId3438" Type="http://schemas.openxmlformats.org/officeDocument/2006/relationships/hyperlink" Target="https://x.com/anquetil/status/1879320640664338535" TargetMode="External"/><Relationship Id="rId3645" Type="http://schemas.openxmlformats.org/officeDocument/2006/relationships/hyperlink" Target="https://pbs.twimg.com/profile_images/1751098466623946752/Yt6-h4rB_normal.jpg" TargetMode="External"/><Relationship Id="rId3852" Type="http://schemas.openxmlformats.org/officeDocument/2006/relationships/hyperlink" Target="https://x.com/Smokeyjoethepi1/status/1879232274862125250" TargetMode="External"/><Relationship Id="rId359" Type="http://schemas.openxmlformats.org/officeDocument/2006/relationships/hyperlink" Target="https://pbs.twimg.com/profile_images/1858221794534002688/_cP-o_kp_400x400.jpg" TargetMode="External"/><Relationship Id="rId566" Type="http://schemas.openxmlformats.org/officeDocument/2006/relationships/hyperlink" Target="https://www.cookie.fun/agent/mango" TargetMode="External"/><Relationship Id="rId773" Type="http://schemas.openxmlformats.org/officeDocument/2006/relationships/hyperlink" Target="https://pbs.twimg.com/profile_images/1860118216455991296/oCnlAO4A_400x400.jpg" TargetMode="External"/><Relationship Id="rId1196" Type="http://schemas.openxmlformats.org/officeDocument/2006/relationships/hyperlink" Target="https://pbs.twimg.com/profile_images/1861842630251810816/mTW520u6_400x400.jpg" TargetMode="External"/><Relationship Id="rId2247" Type="http://schemas.openxmlformats.org/officeDocument/2006/relationships/hyperlink" Target="https://www.cookie.fun/agent/kedra" TargetMode="External"/><Relationship Id="rId2454" Type="http://schemas.openxmlformats.org/officeDocument/2006/relationships/hyperlink" Target="https://x.com/S4mmyEth/status/1877051682950959408" TargetMode="External"/><Relationship Id="rId3505" Type="http://schemas.openxmlformats.org/officeDocument/2006/relationships/hyperlink" Target="https://x.com/Tyler_Did_It/status/1877799867684102224" TargetMode="External"/><Relationship Id="rId219" Type="http://schemas.openxmlformats.org/officeDocument/2006/relationships/hyperlink" Target="https://x.com/0xSweep/status/1877827766986342651" TargetMode="External"/><Relationship Id="rId426" Type="http://schemas.openxmlformats.org/officeDocument/2006/relationships/hyperlink" Target="https://www.cookie.fun/chains/base.svg" TargetMode="External"/><Relationship Id="rId633" Type="http://schemas.openxmlformats.org/officeDocument/2006/relationships/hyperlink" Target="https://www.cookie.fun/chains/base.svg" TargetMode="External"/><Relationship Id="rId980" Type="http://schemas.openxmlformats.org/officeDocument/2006/relationships/hyperlink" Target="https://pbs.twimg.com/profile_images/1861722015943868416/SIG9AMwG_400x400.png" TargetMode="External"/><Relationship Id="rId1056" Type="http://schemas.openxmlformats.org/officeDocument/2006/relationships/hyperlink" Target="https://www.cookie.fun/chains/solana.svg" TargetMode="External"/><Relationship Id="rId1263" Type="http://schemas.openxmlformats.org/officeDocument/2006/relationships/hyperlink" Target="https://www.cookie.fun/chains/solana.svg" TargetMode="External"/><Relationship Id="rId2107" Type="http://schemas.openxmlformats.org/officeDocument/2006/relationships/hyperlink" Target="https://www.cookie.fun/agent/omni-agi" TargetMode="External"/><Relationship Id="rId2314" Type="http://schemas.openxmlformats.org/officeDocument/2006/relationships/hyperlink" Target="https://x.com/clwnwrldnjyr/status/1878076925761225163" TargetMode="External"/><Relationship Id="rId2661" Type="http://schemas.openxmlformats.org/officeDocument/2006/relationships/hyperlink" Target="https://pbs.twimg.com/profile_images/1352548197835681793/P8tRO3U2_normal.jpg" TargetMode="External"/><Relationship Id="rId3712" Type="http://schemas.openxmlformats.org/officeDocument/2006/relationships/hyperlink" Target="https://www.cookie.fun/agent/fine-wtf" TargetMode="External"/><Relationship Id="rId840" Type="http://schemas.openxmlformats.org/officeDocument/2006/relationships/hyperlink" Target="https://www.cookie.fun/chains/base.svg" TargetMode="External"/><Relationship Id="rId1470" Type="http://schemas.openxmlformats.org/officeDocument/2006/relationships/hyperlink" Target="https://www.cookie.fun/chains/solana.svg" TargetMode="External"/><Relationship Id="rId2521" Type="http://schemas.openxmlformats.org/officeDocument/2006/relationships/hyperlink" Target="https://pbs.twimg.com/profile_images/1761532928452894720/N6A-Up8e_normal.jpg" TargetMode="External"/><Relationship Id="rId700" Type="http://schemas.openxmlformats.org/officeDocument/2006/relationships/hyperlink" Target="https://www.cookie.fun/agent/parrhesia-ai" TargetMode="External"/><Relationship Id="rId1123" Type="http://schemas.openxmlformats.org/officeDocument/2006/relationships/hyperlink" Target="https://www.cookie.fun/agent/ticket" TargetMode="External"/><Relationship Id="rId1330" Type="http://schemas.openxmlformats.org/officeDocument/2006/relationships/hyperlink" Target="https://www.cookie.fun/agent/chillwhale" TargetMode="External"/><Relationship Id="rId3088" Type="http://schemas.openxmlformats.org/officeDocument/2006/relationships/hyperlink" Target="https://www.cookie.fun/agent/limbo" TargetMode="External"/><Relationship Id="rId3295" Type="http://schemas.openxmlformats.org/officeDocument/2006/relationships/hyperlink" Target="https://x.com/TheBoggartt/status/1877796483308691528" TargetMode="External"/><Relationship Id="rId4139" Type="http://schemas.openxmlformats.org/officeDocument/2006/relationships/hyperlink" Target="https://www.cookie.fun/agent/guanciale" TargetMode="External"/><Relationship Id="rId3155" Type="http://schemas.openxmlformats.org/officeDocument/2006/relationships/hyperlink" Target="https://x.com/boobs_scary/status/1878346630149124234" TargetMode="External"/><Relationship Id="rId3362" Type="http://schemas.openxmlformats.org/officeDocument/2006/relationships/hyperlink" Target="https://x.com/GuidoDisalle/status/1877761182913716238" TargetMode="External"/><Relationship Id="rId283" Type="http://schemas.openxmlformats.org/officeDocument/2006/relationships/hyperlink" Target="https://www.cookie.fun/agent/ai-crystal-node" TargetMode="External"/><Relationship Id="rId490" Type="http://schemas.openxmlformats.org/officeDocument/2006/relationships/hyperlink" Target="https://www.cookie.fun/chains/solana.svg" TargetMode="External"/><Relationship Id="rId2171" Type="http://schemas.openxmlformats.org/officeDocument/2006/relationships/hyperlink" Target="https://pbs.twimg.com/profile_images/1871372228576874496/P6BhG0iO_400x400.jpg" TargetMode="External"/><Relationship Id="rId3015" Type="http://schemas.openxmlformats.org/officeDocument/2006/relationships/hyperlink" Target="https://x.com/rasmr_eth/status/1878972294292210114" TargetMode="External"/><Relationship Id="rId3222" Type="http://schemas.openxmlformats.org/officeDocument/2006/relationships/hyperlink" Target="https://pbs.twimg.com/profile_images/1779633957165756418/WUIJVOqw_normal.jpg" TargetMode="External"/><Relationship Id="rId143" Type="http://schemas.openxmlformats.org/officeDocument/2006/relationships/hyperlink" Target="https://www.cookie.fun/chains/solana.svg" TargetMode="External"/><Relationship Id="rId350" Type="http://schemas.openxmlformats.org/officeDocument/2006/relationships/hyperlink" Target="https://pbs.twimg.com/profile_images/1856855677211209728/1UggNY1c_400x400.jpg" TargetMode="External"/><Relationship Id="rId2031" Type="http://schemas.openxmlformats.org/officeDocument/2006/relationships/hyperlink" Target="https://www.cookie.fun/agent/evita" TargetMode="External"/><Relationship Id="rId9" Type="http://schemas.openxmlformats.org/officeDocument/2006/relationships/hyperlink" Target="https://www.cookie.fun/chains/base.svg" TargetMode="External"/><Relationship Id="rId210" Type="http://schemas.openxmlformats.org/officeDocument/2006/relationships/hyperlink" Target="https://pbs.twimg.com/profile_images/1816739803611996160/gICwrKaH_normal.jpg" TargetMode="External"/><Relationship Id="rId2988" Type="http://schemas.openxmlformats.org/officeDocument/2006/relationships/hyperlink" Target="https://www.cookie.fun/agent/taocat" TargetMode="External"/><Relationship Id="rId1797" Type="http://schemas.openxmlformats.org/officeDocument/2006/relationships/hyperlink" Target="https://www.cookie.fun/chains/solana.svg" TargetMode="External"/><Relationship Id="rId2848" Type="http://schemas.openxmlformats.org/officeDocument/2006/relationships/hyperlink" Target="https://x.com/WORLD3_AI/status/1878834127098835116" TargetMode="External"/><Relationship Id="rId89" Type="http://schemas.openxmlformats.org/officeDocument/2006/relationships/hyperlink" Target="https://www.cookie.fun/agent/alpha-rabbit" TargetMode="External"/><Relationship Id="rId1657" Type="http://schemas.openxmlformats.org/officeDocument/2006/relationships/hyperlink" Target="https://www.cookie.fun/agent/kekek" TargetMode="External"/><Relationship Id="rId1864" Type="http://schemas.openxmlformats.org/officeDocument/2006/relationships/hyperlink" Target="https://www.cookie.fun/agent/cyborg-elon" TargetMode="External"/><Relationship Id="rId2708" Type="http://schemas.openxmlformats.org/officeDocument/2006/relationships/hyperlink" Target="https://x.com/RAnSacks/status/1878824997873234383" TargetMode="External"/><Relationship Id="rId2915" Type="http://schemas.openxmlformats.org/officeDocument/2006/relationships/hyperlink" Target="https://x.com/DeFiDecoder_/status/1877352242950349109" TargetMode="External"/><Relationship Id="rId4063" Type="http://schemas.openxmlformats.org/officeDocument/2006/relationships/hyperlink" Target="https://pbs.twimg.com/profile_images/1860218101901697024/b_JN-oGk_400x400.jpg" TargetMode="External"/><Relationship Id="rId1517" Type="http://schemas.openxmlformats.org/officeDocument/2006/relationships/hyperlink" Target="https://pbs.twimg.com/profile_images/1858529079718293506/jrBiRaX4_400x400.jpg" TargetMode="External"/><Relationship Id="rId1724" Type="http://schemas.openxmlformats.org/officeDocument/2006/relationships/hyperlink" Target="https://pbs.twimg.com/profile_images/1879066137042030592/eJ-ZiZ7h_400x400.jpg" TargetMode="External"/><Relationship Id="rId4130" Type="http://schemas.openxmlformats.org/officeDocument/2006/relationships/hyperlink" Target="https://www.cookie.fun/agent/sami1" TargetMode="External"/><Relationship Id="rId16" Type="http://schemas.openxmlformats.org/officeDocument/2006/relationships/hyperlink" Target="https://x.com/sepsauce/status/1877608012904288282" TargetMode="External"/><Relationship Id="rId1931" Type="http://schemas.openxmlformats.org/officeDocument/2006/relationships/hyperlink" Target="https://pbs.twimg.com/profile_images/1875404610216591360/y-YkONHO_400x400.jpg" TargetMode="External"/><Relationship Id="rId3689" Type="http://schemas.openxmlformats.org/officeDocument/2006/relationships/hyperlink" Target="https://pbs.twimg.com/profile_images/1738726339056656384/gxNUdFvb_normal.jpg" TargetMode="External"/><Relationship Id="rId3896" Type="http://schemas.openxmlformats.org/officeDocument/2006/relationships/hyperlink" Target="https://www.cookie.fun/chains/solana.svg" TargetMode="External"/><Relationship Id="rId2498" Type="http://schemas.openxmlformats.org/officeDocument/2006/relationships/hyperlink" Target="https://x.com/cryptocom/status/1879454710043697339" TargetMode="External"/><Relationship Id="rId3549" Type="http://schemas.openxmlformats.org/officeDocument/2006/relationships/hyperlink" Target="https://x.com/Stitvuli/status/1879344279132438864" TargetMode="External"/><Relationship Id="rId677" Type="http://schemas.openxmlformats.org/officeDocument/2006/relationships/hyperlink" Target="https://pbs.twimg.com/profile_images/1867912214985736192/QaxKBT0N_400x400.jpg" TargetMode="External"/><Relationship Id="rId2358" Type="http://schemas.openxmlformats.org/officeDocument/2006/relationships/hyperlink" Target="https://x.com/WazzCrypto/status/1879201619633738212" TargetMode="External"/><Relationship Id="rId3756" Type="http://schemas.openxmlformats.org/officeDocument/2006/relationships/hyperlink" Target="https://pbs.twimg.com/profile_images/1863784273104207872/5qbxVWCX_400x400.jpg" TargetMode="External"/><Relationship Id="rId3963" Type="http://schemas.openxmlformats.org/officeDocument/2006/relationships/hyperlink" Target="https://www.cookie.fun/agent/agentalgo" TargetMode="External"/><Relationship Id="rId884" Type="http://schemas.openxmlformats.org/officeDocument/2006/relationships/hyperlink" Target="https://pbs.twimg.com/profile_images/1853745728881033216/Tq2Go4s1_400x400.jpg" TargetMode="External"/><Relationship Id="rId2565" Type="http://schemas.openxmlformats.org/officeDocument/2006/relationships/hyperlink" Target="https://pbs.twimg.com/profile_images/1557234672434049024/uoN1L0bo_normal.jpg" TargetMode="External"/><Relationship Id="rId2772" Type="http://schemas.openxmlformats.org/officeDocument/2006/relationships/hyperlink" Target="https://x.com/SebyGWeb3/status/1879446978536657082" TargetMode="External"/><Relationship Id="rId3409" Type="http://schemas.openxmlformats.org/officeDocument/2006/relationships/hyperlink" Target="https://pbs.twimg.com/profile_images/1859856989641207808/7VcZYkbh_400x400.jpg" TargetMode="External"/><Relationship Id="rId3616" Type="http://schemas.openxmlformats.org/officeDocument/2006/relationships/hyperlink" Target="https://pbs.twimg.com/profile_images/1848823420336934913/oI0-xNGe_400x400.jpg" TargetMode="External"/><Relationship Id="rId3823" Type="http://schemas.openxmlformats.org/officeDocument/2006/relationships/hyperlink" Target="https://pbs.twimg.com/profile_images/1857788769467842560/yWEOMlTs_400x400.jpg" TargetMode="External"/><Relationship Id="rId537" Type="http://schemas.openxmlformats.org/officeDocument/2006/relationships/hyperlink" Target="https://pbs.twimg.com/profile_images/1860622596200427520/iyoLb7nx_400x400.jpg" TargetMode="External"/><Relationship Id="rId744" Type="http://schemas.openxmlformats.org/officeDocument/2006/relationships/hyperlink" Target="https://www.cookie.fun/chains/solana.svg" TargetMode="External"/><Relationship Id="rId951" Type="http://schemas.openxmlformats.org/officeDocument/2006/relationships/hyperlink" Target="https://www.cookie.fun/chains/base.svg" TargetMode="External"/><Relationship Id="rId1167" Type="http://schemas.openxmlformats.org/officeDocument/2006/relationships/hyperlink" Target="https://www.cookie.fun/chains/solana.svg" TargetMode="External"/><Relationship Id="rId1374" Type="http://schemas.openxmlformats.org/officeDocument/2006/relationships/hyperlink" Target="https://www.cookie.fun/chains/solana.svg" TargetMode="External"/><Relationship Id="rId1581" Type="http://schemas.openxmlformats.org/officeDocument/2006/relationships/hyperlink" Target="https://www.cookie.fun/chains/solana.svg" TargetMode="External"/><Relationship Id="rId2218" Type="http://schemas.openxmlformats.org/officeDocument/2006/relationships/hyperlink" Target="https://www.cookie.fun/agent/whojuicin" TargetMode="External"/><Relationship Id="rId2425" Type="http://schemas.openxmlformats.org/officeDocument/2006/relationships/hyperlink" Target="https://pbs.twimg.com/profile_images/1641817384498388997/Fr2NIVVT_normal.jpg" TargetMode="External"/><Relationship Id="rId2632" Type="http://schemas.openxmlformats.org/officeDocument/2006/relationships/hyperlink" Target="https://pbs.twimg.com/profile_images/1855247617870991360/OktzGE0a_400x400.jpg" TargetMode="External"/><Relationship Id="rId80" Type="http://schemas.openxmlformats.org/officeDocument/2006/relationships/hyperlink" Target="https://www.cookie.fun/chains/base.svg" TargetMode="External"/><Relationship Id="rId604" Type="http://schemas.openxmlformats.org/officeDocument/2006/relationships/hyperlink" Target="https://www.cookie.fun/chains/solana.svg" TargetMode="External"/><Relationship Id="rId811" Type="http://schemas.openxmlformats.org/officeDocument/2006/relationships/hyperlink" Target="https://www.cookie.fun/agent/cgm" TargetMode="External"/><Relationship Id="rId1027" Type="http://schemas.openxmlformats.org/officeDocument/2006/relationships/hyperlink" Target="https://www.cookie.fun/agent/cain" TargetMode="External"/><Relationship Id="rId1234" Type="http://schemas.openxmlformats.org/officeDocument/2006/relationships/hyperlink" Target="https://www.cookie.fun/agent/meimei" TargetMode="External"/><Relationship Id="rId1441" Type="http://schemas.openxmlformats.org/officeDocument/2006/relationships/hyperlink" Target="https://www.cookie.fun/agent/bg" TargetMode="External"/><Relationship Id="rId1301" Type="http://schemas.openxmlformats.org/officeDocument/2006/relationships/hyperlink" Target="https://pbs.twimg.com/profile_images/1860985721118396416/1TL4fakb_400x400.jpg" TargetMode="External"/><Relationship Id="rId3199" Type="http://schemas.openxmlformats.org/officeDocument/2006/relationships/hyperlink" Target="https://x.com/scizors_eth/status/1877241164400632201" TargetMode="External"/><Relationship Id="rId3059" Type="http://schemas.openxmlformats.org/officeDocument/2006/relationships/hyperlink" Target="https://www.cookie.fun/agent/otto" TargetMode="External"/><Relationship Id="rId3266" Type="http://schemas.openxmlformats.org/officeDocument/2006/relationships/hyperlink" Target="https://www.cookie.fun/chains/solana.svg" TargetMode="External"/><Relationship Id="rId3473" Type="http://schemas.openxmlformats.org/officeDocument/2006/relationships/hyperlink" Target="https://www.cookie.fun/agent/xgpt" TargetMode="External"/><Relationship Id="rId187" Type="http://schemas.openxmlformats.org/officeDocument/2006/relationships/hyperlink" Target="https://pbs.twimg.com/profile_images/1861663411882315776/6wKZSjJ0_400x400.jpg" TargetMode="External"/><Relationship Id="rId394" Type="http://schemas.openxmlformats.org/officeDocument/2006/relationships/hyperlink" Target="https://www.cookie.fun/agent/pawsy" TargetMode="External"/><Relationship Id="rId2075" Type="http://schemas.openxmlformats.org/officeDocument/2006/relationships/hyperlink" Target="https://pbs.twimg.com/profile_images/1868303112349290496/BPLUOqmo_400x400.jpg" TargetMode="External"/><Relationship Id="rId2282" Type="http://schemas.openxmlformats.org/officeDocument/2006/relationships/hyperlink" Target="https://x.com/notthreadguy/status/1878914369318477827" TargetMode="External"/><Relationship Id="rId3126" Type="http://schemas.openxmlformats.org/officeDocument/2006/relationships/hyperlink" Target="https://pbs.twimg.com/profile_images/1846269193370406912/06U5y96x_normal.jpg" TargetMode="External"/><Relationship Id="rId3680" Type="http://schemas.openxmlformats.org/officeDocument/2006/relationships/hyperlink" Target="https://www.cookie.fun/chains/ethereum.svg" TargetMode="External"/><Relationship Id="rId254" Type="http://schemas.openxmlformats.org/officeDocument/2006/relationships/hyperlink" Target="https://pbs.twimg.com/profile_images/1856416346193702914/ExPH3qro_400x400.jpg" TargetMode="External"/><Relationship Id="rId1091" Type="http://schemas.openxmlformats.org/officeDocument/2006/relationships/hyperlink" Target="https://pbs.twimg.com/profile_images/1867820087123537920/KQvNRU6q_400x400.jpg" TargetMode="External"/><Relationship Id="rId3333" Type="http://schemas.openxmlformats.org/officeDocument/2006/relationships/hyperlink" Target="https://x.com/Irenezhao_/status/1877672916759801971" TargetMode="External"/><Relationship Id="rId3540" Type="http://schemas.openxmlformats.org/officeDocument/2006/relationships/hyperlink" Target="https://pbs.twimg.com/profile_images/1869172659415552001/dSJ8MyCJ_400x400.jpg" TargetMode="External"/><Relationship Id="rId114" Type="http://schemas.openxmlformats.org/officeDocument/2006/relationships/hyperlink" Target="https://pbs.twimg.com/profile_images/1875517028062162944/91BETxn8_400x400.jpg" TargetMode="External"/><Relationship Id="rId461" Type="http://schemas.openxmlformats.org/officeDocument/2006/relationships/hyperlink" Target="https://www.cookie.fun/agent/wizard" TargetMode="External"/><Relationship Id="rId2142" Type="http://schemas.openxmlformats.org/officeDocument/2006/relationships/hyperlink" Target="https://pbs.twimg.com/profile_images/1866303067496566784/vhREpWNR_400x400.jpg" TargetMode="External"/><Relationship Id="rId3400" Type="http://schemas.openxmlformats.org/officeDocument/2006/relationships/hyperlink" Target="https://pbs.twimg.com/profile_images/1752826759504965632/_BJV6z9l_normal.jpg" TargetMode="External"/><Relationship Id="rId321" Type="http://schemas.openxmlformats.org/officeDocument/2006/relationships/hyperlink" Target="https://www.cookie.fun/chains/ethereum.svg" TargetMode="External"/><Relationship Id="rId2002" Type="http://schemas.openxmlformats.org/officeDocument/2006/relationships/hyperlink" Target="https://www.cookie.fun/agent/macro-economic-agent" TargetMode="External"/><Relationship Id="rId2959" Type="http://schemas.openxmlformats.org/officeDocument/2006/relationships/hyperlink" Target="https://pbs.twimg.com/profile_images/1684526956266635264/xdq5pFT5_normal.jpg" TargetMode="External"/><Relationship Id="rId1768" Type="http://schemas.openxmlformats.org/officeDocument/2006/relationships/hyperlink" Target="https://www.cookie.fun/agent/cain-nakamoto" TargetMode="External"/><Relationship Id="rId2819" Type="http://schemas.openxmlformats.org/officeDocument/2006/relationships/hyperlink" Target="https://x.com/crypto_banter/status/1877814267266605113" TargetMode="External"/><Relationship Id="rId4174" Type="http://schemas.openxmlformats.org/officeDocument/2006/relationships/hyperlink" Target="https://www.cookie.fun/agent/anti-goatse" TargetMode="External"/><Relationship Id="rId1628" Type="http://schemas.openxmlformats.org/officeDocument/2006/relationships/hyperlink" Target="https://pbs.twimg.com/profile_images/1859576642676588546/TnvZEpXB_400x400.jpg" TargetMode="External"/><Relationship Id="rId1975" Type="http://schemas.openxmlformats.org/officeDocument/2006/relationships/hyperlink" Target="https://www.cookie.fun/agent/hypeking" TargetMode="External"/><Relationship Id="rId3190" Type="http://schemas.openxmlformats.org/officeDocument/2006/relationships/hyperlink" Target="https://pbs.twimg.com/profile_images/1872194045734170624/f50upLYA_400x400.jpg" TargetMode="External"/><Relationship Id="rId4034" Type="http://schemas.openxmlformats.org/officeDocument/2006/relationships/hyperlink" Target="https://www.cookie.fun/chains/ethereum.svg" TargetMode="External"/><Relationship Id="rId1835" Type="http://schemas.openxmlformats.org/officeDocument/2006/relationships/hyperlink" Target="https://pbs.twimg.com/profile_images/1862694102170505216/MZhCjq2Z_400x400.jpg" TargetMode="External"/><Relationship Id="rId3050" Type="http://schemas.openxmlformats.org/officeDocument/2006/relationships/hyperlink" Target="https://www.cookie.fun/chains/solana.svg" TargetMode="External"/><Relationship Id="rId4101" Type="http://schemas.openxmlformats.org/officeDocument/2006/relationships/hyperlink" Target="https://www.cookie.fun/agent/sensus" TargetMode="External"/><Relationship Id="rId1902" Type="http://schemas.openxmlformats.org/officeDocument/2006/relationships/hyperlink" Target="https://www.cookie.fun/chains/solana.svg" TargetMode="External"/><Relationship Id="rId3867" Type="http://schemas.openxmlformats.org/officeDocument/2006/relationships/hyperlink" Target="https://pbs.twimg.com/profile_images/1590938848304844801/2BV_WAwd_normal.jpg" TargetMode="External"/><Relationship Id="rId788" Type="http://schemas.openxmlformats.org/officeDocument/2006/relationships/hyperlink" Target="https://pbs.twimg.com/profile_images/1856691866273525760/gTgZWuq5_400x400.jpg" TargetMode="External"/><Relationship Id="rId995" Type="http://schemas.openxmlformats.org/officeDocument/2006/relationships/hyperlink" Target="https://pbs.twimg.com/profile_images/1865851048709017600/JbFFUeuw_400x400.jpg" TargetMode="External"/><Relationship Id="rId2469" Type="http://schemas.openxmlformats.org/officeDocument/2006/relationships/hyperlink" Target="https://pbs.twimg.com/profile_images/1352548197835681793/P8tRO3U2_normal.jpg" TargetMode="External"/><Relationship Id="rId2676" Type="http://schemas.openxmlformats.org/officeDocument/2006/relationships/hyperlink" Target="https://x.com/bull_bnb/status/1878179684334096686" TargetMode="External"/><Relationship Id="rId2883" Type="http://schemas.openxmlformats.org/officeDocument/2006/relationships/hyperlink" Target="https://www.cookie.fun/chains/solana.svg" TargetMode="External"/><Relationship Id="rId3727" Type="http://schemas.openxmlformats.org/officeDocument/2006/relationships/hyperlink" Target="https://x.com/DAnconia_Crypto/status/1877019982069981228" TargetMode="External"/><Relationship Id="rId3934" Type="http://schemas.openxmlformats.org/officeDocument/2006/relationships/hyperlink" Target="https://x.com/keigowda/status/1878720743183458497" TargetMode="External"/><Relationship Id="rId648" Type="http://schemas.openxmlformats.org/officeDocument/2006/relationships/hyperlink" Target="https://www.cookie.fun/chains/base.svg" TargetMode="External"/><Relationship Id="rId855" Type="http://schemas.openxmlformats.org/officeDocument/2006/relationships/hyperlink" Target="https://www.cookie.fun/chains/base.svg" TargetMode="External"/><Relationship Id="rId1278" Type="http://schemas.openxmlformats.org/officeDocument/2006/relationships/hyperlink" Target="https://www.cookie.fun/chains/solana.svg" TargetMode="External"/><Relationship Id="rId1485" Type="http://schemas.openxmlformats.org/officeDocument/2006/relationships/hyperlink" Target="https://www.cookie.fun/chains/solana.svg" TargetMode="External"/><Relationship Id="rId1692" Type="http://schemas.openxmlformats.org/officeDocument/2006/relationships/hyperlink" Target="https://www.cookie.fun/chains/solana.svg" TargetMode="External"/><Relationship Id="rId2329" Type="http://schemas.openxmlformats.org/officeDocument/2006/relationships/hyperlink" Target="https://pbs.twimg.com/profile_images/1859616195797823488/qiLRzcjU_normal.jpg" TargetMode="External"/><Relationship Id="rId2536" Type="http://schemas.openxmlformats.org/officeDocument/2006/relationships/hyperlink" Target="https://pbs.twimg.com/profile_images/1860014909683105792/mwGIopaa_400x400.jpg" TargetMode="External"/><Relationship Id="rId2743" Type="http://schemas.openxmlformats.org/officeDocument/2006/relationships/hyperlink" Target="https://pbs.twimg.com/profile_images/1554027145420500992/0oOUOv6L_normal.jpg" TargetMode="External"/><Relationship Id="rId508" Type="http://schemas.openxmlformats.org/officeDocument/2006/relationships/hyperlink" Target="https://www.cookie.fun/chains/solana.svg" TargetMode="External"/><Relationship Id="rId715" Type="http://schemas.openxmlformats.org/officeDocument/2006/relationships/hyperlink" Target="https://www.cookie.fun/agent/yami-the-demon-warrior" TargetMode="External"/><Relationship Id="rId922" Type="http://schemas.openxmlformats.org/officeDocument/2006/relationships/hyperlink" Target="https://www.cookie.fun/agent/eve" TargetMode="External"/><Relationship Id="rId1138" Type="http://schemas.openxmlformats.org/officeDocument/2006/relationships/hyperlink" Target="https://www.cookie.fun/agent/justice" TargetMode="External"/><Relationship Id="rId1345" Type="http://schemas.openxmlformats.org/officeDocument/2006/relationships/hyperlink" Target="https://www.cookie.fun/agent/imwiz" TargetMode="External"/><Relationship Id="rId1552" Type="http://schemas.openxmlformats.org/officeDocument/2006/relationships/hyperlink" Target="https://www.cookie.fun/agent/doge" TargetMode="External"/><Relationship Id="rId2603" Type="http://schemas.openxmlformats.org/officeDocument/2006/relationships/hyperlink" Target="https://pbs.twimg.com/profile_images/1506936845413896193/Q408ci62_normal.jpg" TargetMode="External"/><Relationship Id="rId2950" Type="http://schemas.openxmlformats.org/officeDocument/2006/relationships/hyperlink" Target="https://x.com/ghost93_x/status/1878830484341522750" TargetMode="External"/><Relationship Id="rId1205" Type="http://schemas.openxmlformats.org/officeDocument/2006/relationships/hyperlink" Target="https://pbs.twimg.com/profile_images/1863666456287739905/34LB6p96_400x400.jpg" TargetMode="External"/><Relationship Id="rId2810" Type="http://schemas.openxmlformats.org/officeDocument/2006/relationships/hyperlink" Target="https://www.cookie.fun/agent/kolin" TargetMode="External"/><Relationship Id="rId51" Type="http://schemas.openxmlformats.org/officeDocument/2006/relationships/hyperlink" Target="https://pbs.twimg.com/profile_images/1861148796778094593/cWuHr9oy_400x400.jpg" TargetMode="External"/><Relationship Id="rId1412" Type="http://schemas.openxmlformats.org/officeDocument/2006/relationships/hyperlink" Target="https://pbs.twimg.com/profile_images/1858959471785218048/O2PD0p_X_400x400.jpg" TargetMode="External"/><Relationship Id="rId3377" Type="http://schemas.openxmlformats.org/officeDocument/2006/relationships/hyperlink" Target="https://x.com/ComancheTippie/status/1878518829115928786" TargetMode="External"/><Relationship Id="rId298" Type="http://schemas.openxmlformats.org/officeDocument/2006/relationships/hyperlink" Target="https://www.cookie.fun/agent/arbdoge-ai" TargetMode="External"/><Relationship Id="rId3584" Type="http://schemas.openxmlformats.org/officeDocument/2006/relationships/hyperlink" Target="https://pbs.twimg.com/profile_images/1867479860974686208/pkGWO_D3_400x400.jpg" TargetMode="External"/><Relationship Id="rId3791" Type="http://schemas.openxmlformats.org/officeDocument/2006/relationships/hyperlink" Target="https://pbs.twimg.com/profile_images/1873809002552848384/MVBKuc2r_400x400.jpg" TargetMode="External"/><Relationship Id="rId158" Type="http://schemas.openxmlformats.org/officeDocument/2006/relationships/hyperlink" Target="https://www.cookie.fun/chains/solana.svg" TargetMode="External"/><Relationship Id="rId2186" Type="http://schemas.openxmlformats.org/officeDocument/2006/relationships/hyperlink" Target="https://www.cookie.fun/agent/dostigator2016" TargetMode="External"/><Relationship Id="rId2393" Type="http://schemas.openxmlformats.org/officeDocument/2006/relationships/hyperlink" Target="https://www.cookie.fun/chains/bsc.svg" TargetMode="External"/><Relationship Id="rId3237" Type="http://schemas.openxmlformats.org/officeDocument/2006/relationships/hyperlink" Target="https://x.com/GemsScope/status/1877768793650270609" TargetMode="External"/><Relationship Id="rId3444" Type="http://schemas.openxmlformats.org/officeDocument/2006/relationships/hyperlink" Target="https://www.cookie.fun/chains/solana.svg" TargetMode="External"/><Relationship Id="rId3651" Type="http://schemas.openxmlformats.org/officeDocument/2006/relationships/hyperlink" Target="https://www.cookie.fun/chains/solana.svg" TargetMode="External"/><Relationship Id="rId365" Type="http://schemas.openxmlformats.org/officeDocument/2006/relationships/hyperlink" Target="https://pbs.twimg.com/profile_images/1877079503161188352/QTrF4fNJ_400x400.jpg" TargetMode="External"/><Relationship Id="rId572" Type="http://schemas.openxmlformats.org/officeDocument/2006/relationships/hyperlink" Target="https://www.cookie.fun/agent/ask-the-sandwich" TargetMode="External"/><Relationship Id="rId2046" Type="http://schemas.openxmlformats.org/officeDocument/2006/relationships/hyperlink" Target="https://www.cookie.fun/agent/tears-by-aiagentmeme" TargetMode="External"/><Relationship Id="rId2253" Type="http://schemas.openxmlformats.org/officeDocument/2006/relationships/hyperlink" Target="https://www.cookie.fun/agent/gxai" TargetMode="External"/><Relationship Id="rId2460" Type="http://schemas.openxmlformats.org/officeDocument/2006/relationships/hyperlink" Target="https://x.com/carlosroldanx/status/1877649810976637179" TargetMode="External"/><Relationship Id="rId3304" Type="http://schemas.openxmlformats.org/officeDocument/2006/relationships/hyperlink" Target="https://www.cookie.fun/chains/base.svg" TargetMode="External"/><Relationship Id="rId3511" Type="http://schemas.openxmlformats.org/officeDocument/2006/relationships/hyperlink" Target="https://www.cookie.fun/agent/octowallet" TargetMode="External"/><Relationship Id="rId225" Type="http://schemas.openxmlformats.org/officeDocument/2006/relationships/hyperlink" Target="https://pbs.twimg.com/profile_images/1855597881098432512/YyHtj3KL_400x400.jpg" TargetMode="External"/><Relationship Id="rId432" Type="http://schemas.openxmlformats.org/officeDocument/2006/relationships/hyperlink" Target="https://x.com/an1eth/status/1878154092918210637" TargetMode="External"/><Relationship Id="rId1062" Type="http://schemas.openxmlformats.org/officeDocument/2006/relationships/hyperlink" Target="https://www.cookie.fun/chains/solana.svg" TargetMode="External"/><Relationship Id="rId2113" Type="http://schemas.openxmlformats.org/officeDocument/2006/relationships/hyperlink" Target="https://pbs.twimg.com/profile_images/1871409876326330368/NXcejkto_400x400.jpg" TargetMode="External"/><Relationship Id="rId2320" Type="http://schemas.openxmlformats.org/officeDocument/2006/relationships/hyperlink" Target="https://pbs.twimg.com/profile_images/1875274595109888000/nwifDTRN_400x400.jpg" TargetMode="External"/><Relationship Id="rId4078" Type="http://schemas.openxmlformats.org/officeDocument/2006/relationships/hyperlink" Target="https://www.cookie.fun/agent/zods" TargetMode="External"/><Relationship Id="rId1879" Type="http://schemas.openxmlformats.org/officeDocument/2006/relationships/hyperlink" Target="https://www.cookie.fun/agent/agent-shoge" TargetMode="External"/><Relationship Id="rId3094" Type="http://schemas.openxmlformats.org/officeDocument/2006/relationships/hyperlink" Target="https://pbs.twimg.com/profile_images/1358044917319237635/Q220eMRH_normal.jpg" TargetMode="External"/><Relationship Id="rId4145" Type="http://schemas.openxmlformats.org/officeDocument/2006/relationships/hyperlink" Target="https://x.com/imperooterxbt/status/1877173815589093807" TargetMode="External"/><Relationship Id="rId1739" Type="http://schemas.openxmlformats.org/officeDocument/2006/relationships/hyperlink" Target="https://pbs.twimg.com/profile_images/1874549440599724032/sHpU68w1_400x400.jpg" TargetMode="External"/><Relationship Id="rId1946" Type="http://schemas.openxmlformats.org/officeDocument/2006/relationships/hyperlink" Target="https://pbs.twimg.com/profile_images/1876030654678183936/Lry23eoY_400x400.jpg" TargetMode="External"/><Relationship Id="rId4005" Type="http://schemas.openxmlformats.org/officeDocument/2006/relationships/hyperlink" Target="https://www.cookie.fun/agent/koto" TargetMode="External"/><Relationship Id="rId1806" Type="http://schemas.openxmlformats.org/officeDocument/2006/relationships/hyperlink" Target="https://www.cookie.fun/chains/base.svg" TargetMode="External"/><Relationship Id="rId3161" Type="http://schemas.openxmlformats.org/officeDocument/2006/relationships/hyperlink" Target="https://pbs.twimg.com/profile_images/1869314824213340160/OF1S2yom_normal.png" TargetMode="External"/><Relationship Id="rId3021" Type="http://schemas.openxmlformats.org/officeDocument/2006/relationships/hyperlink" Target="https://www.cookie.fun/agent/aion-5100" TargetMode="External"/><Relationship Id="rId3978" Type="http://schemas.openxmlformats.org/officeDocument/2006/relationships/hyperlink" Target="https://www.cookie.fun/chains/base.svg" TargetMode="External"/><Relationship Id="rId899" Type="http://schemas.openxmlformats.org/officeDocument/2006/relationships/hyperlink" Target="https://pbs.twimg.com/profile_images/1871056736309620736/bkoe1wjX_400x400.jpg" TargetMode="External"/><Relationship Id="rId2787" Type="http://schemas.openxmlformats.org/officeDocument/2006/relationships/hyperlink" Target="https://pbs.twimg.com/profile_images/1868129158162731008/DI7uKLct_400x400.jpg" TargetMode="External"/><Relationship Id="rId3838" Type="http://schemas.openxmlformats.org/officeDocument/2006/relationships/hyperlink" Target="https://pbs.twimg.com/profile_images/1859377322488369152/Oy1pTeXV_400x400.jpg" TargetMode="External"/><Relationship Id="rId759" Type="http://schemas.openxmlformats.org/officeDocument/2006/relationships/hyperlink" Target="https://www.cookie.fun/chains/solana.svg" TargetMode="External"/><Relationship Id="rId966" Type="http://schemas.openxmlformats.org/officeDocument/2006/relationships/hyperlink" Target="https://www.cookie.fun/chains/base.svg" TargetMode="External"/><Relationship Id="rId1389" Type="http://schemas.openxmlformats.org/officeDocument/2006/relationships/hyperlink" Target="https://www.cookie.fun/chains/solana.svg" TargetMode="External"/><Relationship Id="rId1596" Type="http://schemas.openxmlformats.org/officeDocument/2006/relationships/hyperlink" Target="https://www.cookie.fun/chains/solana.svg" TargetMode="External"/><Relationship Id="rId2647" Type="http://schemas.openxmlformats.org/officeDocument/2006/relationships/hyperlink" Target="https://pbs.twimg.com/profile_images/1564377312883134469/HdcOW2fk_normal.jpg" TargetMode="External"/><Relationship Id="rId2994" Type="http://schemas.openxmlformats.org/officeDocument/2006/relationships/hyperlink" Target="https://pbs.twimg.com/profile_images/1698707317980852225/c8cr3mF6_normal.jpg" TargetMode="External"/><Relationship Id="rId619" Type="http://schemas.openxmlformats.org/officeDocument/2006/relationships/hyperlink" Target="https://www.cookie.fun/agent/rubyx" TargetMode="External"/><Relationship Id="rId1249" Type="http://schemas.openxmlformats.org/officeDocument/2006/relationships/hyperlink" Target="https://www.cookie.fun/agent/waifu98" TargetMode="External"/><Relationship Id="rId2854" Type="http://schemas.openxmlformats.org/officeDocument/2006/relationships/hyperlink" Target="https://x.com/0xRyze/status/1878711859660116235" TargetMode="External"/><Relationship Id="rId3905" Type="http://schemas.openxmlformats.org/officeDocument/2006/relationships/hyperlink" Target="https://pbs.twimg.com/profile_images/1870246943148089345/EnhDWSl7_400x400.jpg" TargetMode="External"/><Relationship Id="rId95" Type="http://schemas.openxmlformats.org/officeDocument/2006/relationships/hyperlink" Target="https://pbs.twimg.com/profile_images/1829944754047455232/lyvxtEJ3_normal.jpg" TargetMode="External"/><Relationship Id="rId826" Type="http://schemas.openxmlformats.org/officeDocument/2006/relationships/hyperlink" Target="https://www.cookie.fun/agent/toly-ai" TargetMode="External"/><Relationship Id="rId1109" Type="http://schemas.openxmlformats.org/officeDocument/2006/relationships/hyperlink" Target="https://pbs.twimg.com/profile_images/1867312800819032067/ioPyzNAJ_400x400.jpg" TargetMode="External"/><Relationship Id="rId1456" Type="http://schemas.openxmlformats.org/officeDocument/2006/relationships/hyperlink" Target="https://www.cookie.fun/agent/federal" TargetMode="External"/><Relationship Id="rId1663" Type="http://schemas.openxmlformats.org/officeDocument/2006/relationships/hyperlink" Target="https://www.cookie.fun/agent/jinx" TargetMode="External"/><Relationship Id="rId1870" Type="http://schemas.openxmlformats.org/officeDocument/2006/relationships/hyperlink" Target="https://www.cookie.fun/agent/keyeyes" TargetMode="External"/><Relationship Id="rId2507" Type="http://schemas.openxmlformats.org/officeDocument/2006/relationships/hyperlink" Target="https://pbs.twimg.com/profile_images/1874983006630195200/zQ6Vsyhl_normal.jpg" TargetMode="External"/><Relationship Id="rId2714" Type="http://schemas.openxmlformats.org/officeDocument/2006/relationships/hyperlink" Target="https://x.com/0xkyle__/status/1877383763988013108" TargetMode="External"/><Relationship Id="rId2921" Type="http://schemas.openxmlformats.org/officeDocument/2006/relationships/hyperlink" Target="https://www.cookie.fun/chains/solana.svg" TargetMode="External"/><Relationship Id="rId1316" Type="http://schemas.openxmlformats.org/officeDocument/2006/relationships/hyperlink" Target="https://pbs.twimg.com/profile_images/1856458921042685956/en3c0TWd_400x400.jpg" TargetMode="External"/><Relationship Id="rId1523" Type="http://schemas.openxmlformats.org/officeDocument/2006/relationships/hyperlink" Target="https://pbs.twimg.com/profile_images/1858630379093012480/rqi18Dvq_400x400.jpg" TargetMode="External"/><Relationship Id="rId1730" Type="http://schemas.openxmlformats.org/officeDocument/2006/relationships/hyperlink" Target="https://pbs.twimg.com/profile_images/1859800170541744131/gLXXORaT_400x400.jpg" TargetMode="External"/><Relationship Id="rId22" Type="http://schemas.openxmlformats.org/officeDocument/2006/relationships/hyperlink" Target="https://www.cookie.fun/chains/solana.svg" TargetMode="External"/><Relationship Id="rId3488" Type="http://schemas.openxmlformats.org/officeDocument/2006/relationships/hyperlink" Target="https://x.com/jack__sanford/status/1878863221446398135" TargetMode="External"/><Relationship Id="rId3695" Type="http://schemas.openxmlformats.org/officeDocument/2006/relationships/hyperlink" Target="https://x.com/sarah_script/status/1878267071395463542" TargetMode="External"/><Relationship Id="rId2297" Type="http://schemas.openxmlformats.org/officeDocument/2006/relationships/hyperlink" Target="https://www.cookie.fun/chains/solana.svg" TargetMode="External"/><Relationship Id="rId3348" Type="http://schemas.openxmlformats.org/officeDocument/2006/relationships/hyperlink" Target="https://x.com/0xDith/status/1878494569362300990" TargetMode="External"/><Relationship Id="rId3555" Type="http://schemas.openxmlformats.org/officeDocument/2006/relationships/hyperlink" Target="https://www.cookie.fun/chains/solana.svg" TargetMode="External"/><Relationship Id="rId3762" Type="http://schemas.openxmlformats.org/officeDocument/2006/relationships/hyperlink" Target="https://www.cookie.fun/chains/base.svg" TargetMode="External"/><Relationship Id="rId269" Type="http://schemas.openxmlformats.org/officeDocument/2006/relationships/hyperlink" Target="https://pbs.twimg.com/profile_images/1848162499771666432/3ckp83_7_400x400.jpg" TargetMode="External"/><Relationship Id="rId476" Type="http://schemas.openxmlformats.org/officeDocument/2006/relationships/hyperlink" Target="https://www.cookie.fun/agent/lokieai" TargetMode="External"/><Relationship Id="rId683" Type="http://schemas.openxmlformats.org/officeDocument/2006/relationships/hyperlink" Target="https://pbs.twimg.com/profile_images/1868641520234184704/7YTPH8aP_400x400.png" TargetMode="External"/><Relationship Id="rId890" Type="http://schemas.openxmlformats.org/officeDocument/2006/relationships/hyperlink" Target="https://pbs.twimg.com/profile_images/1854933651290505216/1lmjRYZX_400x400.jpg" TargetMode="External"/><Relationship Id="rId2157" Type="http://schemas.openxmlformats.org/officeDocument/2006/relationships/hyperlink" Target="https://abs.twimg.com/sticky/default_profile_images/default_profile_400x400.png" TargetMode="External"/><Relationship Id="rId2364" Type="http://schemas.openxmlformats.org/officeDocument/2006/relationships/hyperlink" Target="https://x.com/gammichan/status/1877827465764057557" TargetMode="External"/><Relationship Id="rId2571" Type="http://schemas.openxmlformats.org/officeDocument/2006/relationships/hyperlink" Target="https://www.cookie.fun/agent/sekoia" TargetMode="External"/><Relationship Id="rId3208" Type="http://schemas.openxmlformats.org/officeDocument/2006/relationships/hyperlink" Target="https://pbs.twimg.com/profile_images/1735073358587330560/Bya8I34Y_normal.jpg" TargetMode="External"/><Relationship Id="rId3415" Type="http://schemas.openxmlformats.org/officeDocument/2006/relationships/hyperlink" Target="https://x.com/dapanji_eth/status/1878924132450267617" TargetMode="External"/><Relationship Id="rId129" Type="http://schemas.openxmlformats.org/officeDocument/2006/relationships/hyperlink" Target="https://www.cookie.fun/agent/wokie" TargetMode="External"/><Relationship Id="rId336" Type="http://schemas.openxmlformats.org/officeDocument/2006/relationships/hyperlink" Target="https://www.cookie.fun/chains/solana.svg" TargetMode="External"/><Relationship Id="rId543" Type="http://schemas.openxmlformats.org/officeDocument/2006/relationships/hyperlink" Target="https://pbs.twimg.com/profile_images/1862320254535294976/5xS9VTji_400x400.jpg" TargetMode="External"/><Relationship Id="rId1173" Type="http://schemas.openxmlformats.org/officeDocument/2006/relationships/hyperlink" Target="https://www.cookie.fun/chains/solana.svg" TargetMode="External"/><Relationship Id="rId1380" Type="http://schemas.openxmlformats.org/officeDocument/2006/relationships/hyperlink" Target="https://www.cookie.fun/chains/solana.svg" TargetMode="External"/><Relationship Id="rId2017" Type="http://schemas.openxmlformats.org/officeDocument/2006/relationships/hyperlink" Target="https://www.cookie.fun/agent/innovatrix" TargetMode="External"/><Relationship Id="rId2224" Type="http://schemas.openxmlformats.org/officeDocument/2006/relationships/hyperlink" Target="https://www.cookie.fun/agent/yuna-vc" TargetMode="External"/><Relationship Id="rId3622" Type="http://schemas.openxmlformats.org/officeDocument/2006/relationships/hyperlink" Target="https://pbs.twimg.com/profile_images/1691174347388399617/AnNwWdzS_normal.jpg" TargetMode="External"/><Relationship Id="rId403" Type="http://schemas.openxmlformats.org/officeDocument/2006/relationships/hyperlink" Target="https://www.cookie.fun/agent/reika" TargetMode="External"/><Relationship Id="rId750" Type="http://schemas.openxmlformats.org/officeDocument/2006/relationships/hyperlink" Target="https://www.cookie.fun/chains/solana.svg" TargetMode="External"/><Relationship Id="rId1033" Type="http://schemas.openxmlformats.org/officeDocument/2006/relationships/hyperlink" Target="https://www.cookie.fun/agent/orpe" TargetMode="External"/><Relationship Id="rId2431" Type="http://schemas.openxmlformats.org/officeDocument/2006/relationships/hyperlink" Target="https://pbs.twimg.com/profile_images/1721158078765424640/hFrzagyZ_normal.jpg" TargetMode="External"/><Relationship Id="rId610" Type="http://schemas.openxmlformats.org/officeDocument/2006/relationships/hyperlink" Target="https://www.cookie.fun/chains/solana.svg" TargetMode="External"/><Relationship Id="rId1240" Type="http://schemas.openxmlformats.org/officeDocument/2006/relationships/hyperlink" Target="https://www.cookie.fun/agent/taffy" TargetMode="External"/><Relationship Id="rId4049" Type="http://schemas.openxmlformats.org/officeDocument/2006/relationships/hyperlink" Target="https://pbs.twimg.com/profile_images/1861371896224456704/CIr-C38A_400x400.jpg" TargetMode="External"/><Relationship Id="rId1100" Type="http://schemas.openxmlformats.org/officeDocument/2006/relationships/hyperlink" Target="https://pbs.twimg.com/profile_images/1867238203763105792/JKxeT1bH_400x400.jpg" TargetMode="External"/><Relationship Id="rId1917" Type="http://schemas.openxmlformats.org/officeDocument/2006/relationships/hyperlink" Target="https://www.cookie.fun/chains/base.svg" TargetMode="External"/><Relationship Id="rId3065" Type="http://schemas.openxmlformats.org/officeDocument/2006/relationships/hyperlink" Target="https://pbs.twimg.com/profile_images/1289447695254396928/LPfvPY5W_normal.png" TargetMode="External"/><Relationship Id="rId3272" Type="http://schemas.openxmlformats.org/officeDocument/2006/relationships/hyperlink" Target="https://x.com/tuukzs/status/1878295102453424340" TargetMode="External"/><Relationship Id="rId4116" Type="http://schemas.openxmlformats.org/officeDocument/2006/relationships/hyperlink" Target="https://www.cookie.fun/chains/solana.svg" TargetMode="External"/><Relationship Id="rId193" Type="http://schemas.openxmlformats.org/officeDocument/2006/relationships/hyperlink" Target="https://pbs.twimg.com/profile_images/1874683874036396032/M24yZGp3_400x400.jpg" TargetMode="External"/><Relationship Id="rId2081" Type="http://schemas.openxmlformats.org/officeDocument/2006/relationships/hyperlink" Target="https://pbs.twimg.com/profile_images/1838617442475520004/xOgRLDMy_400x400.jpg" TargetMode="External"/><Relationship Id="rId3132" Type="http://schemas.openxmlformats.org/officeDocument/2006/relationships/hyperlink" Target="https://pbs.twimg.com/profile_images/1846269193370406912/06U5y96x_normal.jpg" TargetMode="External"/><Relationship Id="rId260" Type="http://schemas.openxmlformats.org/officeDocument/2006/relationships/hyperlink" Target="https://pbs.twimg.com/profile_images/1866000390002790400/Ut4xWJ_t_400x400.jpg" TargetMode="External"/><Relationship Id="rId120" Type="http://schemas.openxmlformats.org/officeDocument/2006/relationships/hyperlink" Target="https://pbs.twimg.com/profile_images/1730371835655573505/-Sz-IAJT_400x400.jpg" TargetMode="External"/><Relationship Id="rId2898" Type="http://schemas.openxmlformats.org/officeDocument/2006/relationships/hyperlink" Target="https://pbs.twimg.com/profile_images/1561354964534018049/T9lKN_2c_normal.jpg" TargetMode="External"/><Relationship Id="rId3949" Type="http://schemas.openxmlformats.org/officeDocument/2006/relationships/hyperlink" Target="https://x.com/catswilleatyou/status/1879289029902172643" TargetMode="External"/><Relationship Id="rId2758" Type="http://schemas.openxmlformats.org/officeDocument/2006/relationships/hyperlink" Target="https://x.com/crypthoem/status/1878102613625082012" TargetMode="External"/><Relationship Id="rId2965" Type="http://schemas.openxmlformats.org/officeDocument/2006/relationships/hyperlink" Target="https://pbs.twimg.com/profile_images/1847742219308191745/NK-YTI6s_400x400.jpg" TargetMode="External"/><Relationship Id="rId3809" Type="http://schemas.openxmlformats.org/officeDocument/2006/relationships/hyperlink" Target="https://pbs.twimg.com/profile_images/1653839871382020102/tZ86sj_a_normal.jpg" TargetMode="External"/><Relationship Id="rId937" Type="http://schemas.openxmlformats.org/officeDocument/2006/relationships/hyperlink" Target="https://www.cookie.fun/agent/lpc_ai_lumi" TargetMode="External"/><Relationship Id="rId1567" Type="http://schemas.openxmlformats.org/officeDocument/2006/relationships/hyperlink" Target="https://www.cookie.fun/agent/scorgi" TargetMode="External"/><Relationship Id="rId1774" Type="http://schemas.openxmlformats.org/officeDocument/2006/relationships/hyperlink" Target="https://www.cookie.fun/agent/dao-of-agents-doa" TargetMode="External"/><Relationship Id="rId1981" Type="http://schemas.openxmlformats.org/officeDocument/2006/relationships/hyperlink" Target="https://www.cookie.fun/agent/rekt" TargetMode="External"/><Relationship Id="rId2618" Type="http://schemas.openxmlformats.org/officeDocument/2006/relationships/hyperlink" Target="https://x.com/yellowpantherx/status/1878092528529895736" TargetMode="External"/><Relationship Id="rId2825" Type="http://schemas.openxmlformats.org/officeDocument/2006/relationships/hyperlink" Target="https://x.com/Ed_x0101/status/1878177929881895330" TargetMode="External"/><Relationship Id="rId66" Type="http://schemas.openxmlformats.org/officeDocument/2006/relationships/hyperlink" Target="https://www.cookie.fun/chains/base.svg" TargetMode="External"/><Relationship Id="rId1427" Type="http://schemas.openxmlformats.org/officeDocument/2006/relationships/hyperlink" Target="https://pbs.twimg.com/profile_images/1861538882828795904/zLFEQzG9_400x400.jpg" TargetMode="External"/><Relationship Id="rId1634" Type="http://schemas.openxmlformats.org/officeDocument/2006/relationships/hyperlink" Target="https://pbs.twimg.com/profile_images/1858282347516346368/qJUDmCNY_400x400.jpg" TargetMode="External"/><Relationship Id="rId1841" Type="http://schemas.openxmlformats.org/officeDocument/2006/relationships/hyperlink" Target="https://pbs.twimg.com/profile_images/1875198896395423744/gyMQuOww_400x400.jpg" TargetMode="External"/><Relationship Id="rId4040" Type="http://schemas.openxmlformats.org/officeDocument/2006/relationships/hyperlink" Target="https://www.cookie.fun/chains/base.svg" TargetMode="External"/><Relationship Id="rId3599" Type="http://schemas.openxmlformats.org/officeDocument/2006/relationships/hyperlink" Target="https://www.cookie.fun/agent/freya" TargetMode="External"/><Relationship Id="rId1701" Type="http://schemas.openxmlformats.org/officeDocument/2006/relationships/hyperlink" Target="https://www.cookie.fun/chains/solana.svg" TargetMode="External"/><Relationship Id="rId3459" Type="http://schemas.openxmlformats.org/officeDocument/2006/relationships/hyperlink" Target="https://x.com/abgweb3/status/1878058519464964471" TargetMode="External"/><Relationship Id="rId3666" Type="http://schemas.openxmlformats.org/officeDocument/2006/relationships/hyperlink" Target="https://www.cookie.fun/agent/goatse" TargetMode="External"/><Relationship Id="rId587" Type="http://schemas.openxmlformats.org/officeDocument/2006/relationships/hyperlink" Target="https://www.cookie.fun/agent/nailini" TargetMode="External"/><Relationship Id="rId2268" Type="http://schemas.openxmlformats.org/officeDocument/2006/relationships/hyperlink" Target="https://x.com/NftRiles/status/1877658280803062060" TargetMode="External"/><Relationship Id="rId3319" Type="http://schemas.openxmlformats.org/officeDocument/2006/relationships/hyperlink" Target="https://pbs.twimg.com/profile_images/1342162655478493185/WdI1sonp_normal.jpg" TargetMode="External"/><Relationship Id="rId3873" Type="http://schemas.openxmlformats.org/officeDocument/2006/relationships/hyperlink" Target="https://www.cookie.fun/agent/ravenai" TargetMode="External"/><Relationship Id="rId447" Type="http://schemas.openxmlformats.org/officeDocument/2006/relationships/hyperlink" Target="https://pbs.twimg.com/profile_images/1860877377087168512/EU4YaUeg_400x400.jpg" TargetMode="External"/><Relationship Id="rId794" Type="http://schemas.openxmlformats.org/officeDocument/2006/relationships/hyperlink" Target="https://pbs.twimg.com/profile_images/1858386576340099072/33qZGeLC_400x400.jpg" TargetMode="External"/><Relationship Id="rId1077" Type="http://schemas.openxmlformats.org/officeDocument/2006/relationships/hyperlink" Target="https://www.cookie.fun/chains/solana.svg" TargetMode="External"/><Relationship Id="rId2128" Type="http://schemas.openxmlformats.org/officeDocument/2006/relationships/hyperlink" Target="https://pbs.twimg.com/profile_images/1770016060470947840/Xrn0Id68_400x400.jpg" TargetMode="External"/><Relationship Id="rId2475" Type="http://schemas.openxmlformats.org/officeDocument/2006/relationships/hyperlink" Target="https://www.cookie.fun/agent/god" TargetMode="External"/><Relationship Id="rId2682" Type="http://schemas.openxmlformats.org/officeDocument/2006/relationships/hyperlink" Target="https://x.com/DoggfatherCrew/status/1878100353507348886" TargetMode="External"/><Relationship Id="rId3526" Type="http://schemas.openxmlformats.org/officeDocument/2006/relationships/hyperlink" Target="https://pbs.twimg.com/profile_images/1859413180201451520/P33uaiWi_400x400.jpg" TargetMode="External"/><Relationship Id="rId3733" Type="http://schemas.openxmlformats.org/officeDocument/2006/relationships/hyperlink" Target="https://pbs.twimg.com/profile_images/1857262271614849024/fjW66uO1_400x400.jpg" TargetMode="External"/><Relationship Id="rId3940" Type="http://schemas.openxmlformats.org/officeDocument/2006/relationships/hyperlink" Target="https://pbs.twimg.com/profile_images/1866490073270620160/mC9RQDyc_400x400.jpg" TargetMode="External"/><Relationship Id="rId654" Type="http://schemas.openxmlformats.org/officeDocument/2006/relationships/hyperlink" Target="https://www.cookie.fun/chains/base.svg" TargetMode="External"/><Relationship Id="rId861" Type="http://schemas.openxmlformats.org/officeDocument/2006/relationships/hyperlink" Target="https://www.cookie.fun/chains/base.svg" TargetMode="External"/><Relationship Id="rId1284" Type="http://schemas.openxmlformats.org/officeDocument/2006/relationships/hyperlink" Target="https://www.cookie.fun/chains/solana.svg" TargetMode="External"/><Relationship Id="rId1491" Type="http://schemas.openxmlformats.org/officeDocument/2006/relationships/hyperlink" Target="https://www.cookie.fun/chains/solana.svg" TargetMode="External"/><Relationship Id="rId2335" Type="http://schemas.openxmlformats.org/officeDocument/2006/relationships/hyperlink" Target="https://pbs.twimg.com/profile_images/1551586710873550848/8_M8f6ds_normal.jpg" TargetMode="External"/><Relationship Id="rId2542" Type="http://schemas.openxmlformats.org/officeDocument/2006/relationships/hyperlink" Target="https://x.com/DeeZe/status/1879298965675585884" TargetMode="External"/><Relationship Id="rId3800" Type="http://schemas.openxmlformats.org/officeDocument/2006/relationships/hyperlink" Target="https://www.cookie.fun/agent/trend-agent" TargetMode="External"/><Relationship Id="rId307" Type="http://schemas.openxmlformats.org/officeDocument/2006/relationships/hyperlink" Target="https://www.cookie.fun/agent/kitty-ai" TargetMode="External"/><Relationship Id="rId514" Type="http://schemas.openxmlformats.org/officeDocument/2006/relationships/hyperlink" Target="https://www.cookie.fun/chains/solana.svg" TargetMode="External"/><Relationship Id="rId721" Type="http://schemas.openxmlformats.org/officeDocument/2006/relationships/hyperlink" Target="https://www.cookie.fun/agent/havoc" TargetMode="External"/><Relationship Id="rId1144" Type="http://schemas.openxmlformats.org/officeDocument/2006/relationships/hyperlink" Target="https://www.cookie.fun/agent/agoraai" TargetMode="External"/><Relationship Id="rId1351" Type="http://schemas.openxmlformats.org/officeDocument/2006/relationships/hyperlink" Target="https://www.cookie.fun/agent/kurt" TargetMode="External"/><Relationship Id="rId2402" Type="http://schemas.openxmlformats.org/officeDocument/2006/relationships/hyperlink" Target="https://x.com/BNBCHAIN/status/1877698168353104019" TargetMode="External"/><Relationship Id="rId1004" Type="http://schemas.openxmlformats.org/officeDocument/2006/relationships/hyperlink" Target="https://pbs.twimg.com/profile_images/1873806962321682432/x9YGGUiQ_400x400.jpg" TargetMode="External"/><Relationship Id="rId1211" Type="http://schemas.openxmlformats.org/officeDocument/2006/relationships/hyperlink" Target="https://pbs.twimg.com/profile_images/1859992270851698688/_hf49P7S_400x400.jpg" TargetMode="External"/><Relationship Id="rId3176" Type="http://schemas.openxmlformats.org/officeDocument/2006/relationships/hyperlink" Target="https://x.com/JoshMcGruff/status/1877554590234689585" TargetMode="External"/><Relationship Id="rId3383" Type="http://schemas.openxmlformats.org/officeDocument/2006/relationships/hyperlink" Target="https://x.com/yoitsOG/status/1877404439734009955" TargetMode="External"/><Relationship Id="rId3590" Type="http://schemas.openxmlformats.org/officeDocument/2006/relationships/hyperlink" Target="https://pbs.twimg.com/profile_images/1878097608998060032/q9GFbsHI_400x400.jpg" TargetMode="External"/><Relationship Id="rId2192" Type="http://schemas.openxmlformats.org/officeDocument/2006/relationships/hyperlink" Target="https://www.cookie.fun/agent/pagga-nft-agent" TargetMode="External"/><Relationship Id="rId3036" Type="http://schemas.openxmlformats.org/officeDocument/2006/relationships/hyperlink" Target="https://www.cookie.fun/agent/peanut-the-squirrel" TargetMode="External"/><Relationship Id="rId3243" Type="http://schemas.openxmlformats.org/officeDocument/2006/relationships/hyperlink" Target="https://www.cookie.fun/chains/solana.svg" TargetMode="External"/><Relationship Id="rId164" Type="http://schemas.openxmlformats.org/officeDocument/2006/relationships/hyperlink" Target="https://www.cookie.fun/chains/solana.svg" TargetMode="External"/><Relationship Id="rId371" Type="http://schemas.openxmlformats.org/officeDocument/2006/relationships/hyperlink" Target="https://pbs.twimg.com/profile_images/1854180622052544512/ZV1-eiaM_400x400.jpg" TargetMode="External"/><Relationship Id="rId2052" Type="http://schemas.openxmlformats.org/officeDocument/2006/relationships/hyperlink" Target="https://pbs.twimg.com/profile_images/1870666967759433728/SQuCMnL4_400x400.jpg" TargetMode="External"/><Relationship Id="rId3450" Type="http://schemas.openxmlformats.org/officeDocument/2006/relationships/hyperlink" Target="https://pbs.twimg.com/profile_images/1493663247509209089/owi6u6KC_normal.jpg" TargetMode="External"/><Relationship Id="rId3103" Type="http://schemas.openxmlformats.org/officeDocument/2006/relationships/hyperlink" Target="https://pbs.twimg.com/profile_images/1778366683888914433/GBWz-Jp__normal.jpg" TargetMode="External"/><Relationship Id="rId3310" Type="http://schemas.openxmlformats.org/officeDocument/2006/relationships/hyperlink" Target="https://pbs.twimg.com/profile_images/1875747557445361665/3IWSaZY-_normal.jpg" TargetMode="External"/><Relationship Id="rId231" Type="http://schemas.openxmlformats.org/officeDocument/2006/relationships/hyperlink" Target="https://pbs.twimg.com/profile_images/1701505436396953600/sZp6Vv_T_normal.jpg" TargetMode="External"/><Relationship Id="rId2869" Type="http://schemas.openxmlformats.org/officeDocument/2006/relationships/hyperlink" Target="https://www.cookie.fun/agent/simmi" TargetMode="External"/><Relationship Id="rId1678" Type="http://schemas.openxmlformats.org/officeDocument/2006/relationships/hyperlink" Target="https://www.cookie.fun/agent/kika" TargetMode="External"/><Relationship Id="rId1885" Type="http://schemas.openxmlformats.org/officeDocument/2006/relationships/hyperlink" Target="https://www.cookie.fun/agent/synapsebid" TargetMode="External"/><Relationship Id="rId2729" Type="http://schemas.openxmlformats.org/officeDocument/2006/relationships/hyperlink" Target="https://www.cookie.fun/chains/solana.svg" TargetMode="External"/><Relationship Id="rId2936" Type="http://schemas.openxmlformats.org/officeDocument/2006/relationships/hyperlink" Target="https://x.com/mungimungimungi/status/1877426444755771527" TargetMode="External"/><Relationship Id="rId4084" Type="http://schemas.openxmlformats.org/officeDocument/2006/relationships/hyperlink" Target="https://pbs.twimg.com/profile_images/1680576812202729473/eek6v2Ld_400x400.jpg" TargetMode="External"/><Relationship Id="rId908" Type="http://schemas.openxmlformats.org/officeDocument/2006/relationships/hyperlink" Target="https://pbs.twimg.com/profile_images/1877249915187032064/IkiA9tXF_400x400.jpg" TargetMode="External"/><Relationship Id="rId1538" Type="http://schemas.openxmlformats.org/officeDocument/2006/relationships/hyperlink" Target="https://pbs.twimg.com/profile_images/1858175866515152897/yz8WnDIn_400x400.jpg" TargetMode="External"/><Relationship Id="rId4151" Type="http://schemas.openxmlformats.org/officeDocument/2006/relationships/hyperlink" Target="https://pbs.twimg.com/profile_images/1876328550187347968/dXRqbM9f_normal.jpg" TargetMode="External"/><Relationship Id="rId1745" Type="http://schemas.openxmlformats.org/officeDocument/2006/relationships/hyperlink" Target="https://pbs.twimg.com/profile_images/1874533560993890304/KipKk22w_400x400.jpg" TargetMode="External"/><Relationship Id="rId1952" Type="http://schemas.openxmlformats.org/officeDocument/2006/relationships/hyperlink" Target="https://pbs.twimg.com/profile_images/1876440946054676481/l1dz57yF_400x400.jpg" TargetMode="External"/><Relationship Id="rId4011" Type="http://schemas.openxmlformats.org/officeDocument/2006/relationships/hyperlink" Target="https://pbs.twimg.com/profile_images/1859352523867410432/perLBEMi_400x400.jpg" TargetMode="External"/><Relationship Id="rId37" Type="http://schemas.openxmlformats.org/officeDocument/2006/relationships/hyperlink" Target="https://www.cookie.fun/chains/ethereum.svg" TargetMode="External"/><Relationship Id="rId1605" Type="http://schemas.openxmlformats.org/officeDocument/2006/relationships/hyperlink" Target="https://www.cookie.fun/chains/solana.svg" TargetMode="External"/><Relationship Id="rId1812" Type="http://schemas.openxmlformats.org/officeDocument/2006/relationships/hyperlink" Target="https://www.cookie.fun/chains/base.svg" TargetMode="External"/><Relationship Id="rId3777" Type="http://schemas.openxmlformats.org/officeDocument/2006/relationships/hyperlink" Target="https://pbs.twimg.com/profile_images/1858206308857765888/N8o2v73R_normal.jpg" TargetMode="External"/><Relationship Id="rId3984" Type="http://schemas.openxmlformats.org/officeDocument/2006/relationships/hyperlink" Target="https://pbs.twimg.com/profile_images/1774673450746974208/Ap0BSFAc_400x400.jpg" TargetMode="External"/><Relationship Id="rId698" Type="http://schemas.openxmlformats.org/officeDocument/2006/relationships/hyperlink" Target="https://pbs.twimg.com/profile_images/1866768841558122496/HUuLqIzD_400x400.jpg" TargetMode="External"/><Relationship Id="rId2379" Type="http://schemas.openxmlformats.org/officeDocument/2006/relationships/hyperlink" Target="https://www.cookie.fun/agent/goatseus-maximus" TargetMode="External"/><Relationship Id="rId2586" Type="http://schemas.openxmlformats.org/officeDocument/2006/relationships/hyperlink" Target="https://x.com/0xDamien/status/1878834533598110197" TargetMode="External"/><Relationship Id="rId2793" Type="http://schemas.openxmlformats.org/officeDocument/2006/relationships/hyperlink" Target="https://x.com/coinesper/status/1878387564475748706" TargetMode="External"/><Relationship Id="rId3637" Type="http://schemas.openxmlformats.org/officeDocument/2006/relationships/hyperlink" Target="https://www.cookie.fun/agent/top-hat-cat" TargetMode="External"/><Relationship Id="rId3844" Type="http://schemas.openxmlformats.org/officeDocument/2006/relationships/hyperlink" Target="https://pbs.twimg.com/profile_images/1869882085843808256/YX7XpTx7_400x400.jpg" TargetMode="External"/><Relationship Id="rId558" Type="http://schemas.openxmlformats.org/officeDocument/2006/relationships/hyperlink" Target="https://pbs.twimg.com/profile_images/1813629535839219712/0s_VmWut_400x400.jpg" TargetMode="External"/><Relationship Id="rId765" Type="http://schemas.openxmlformats.org/officeDocument/2006/relationships/hyperlink" Target="https://www.cookie.fun/chains/solana.svg" TargetMode="External"/><Relationship Id="rId972" Type="http://schemas.openxmlformats.org/officeDocument/2006/relationships/hyperlink" Target="https://www.cookie.fun/chains/base.svg" TargetMode="External"/><Relationship Id="rId1188" Type="http://schemas.openxmlformats.org/officeDocument/2006/relationships/hyperlink" Target="https://www.cookie.fun/chains/solana.svg" TargetMode="External"/><Relationship Id="rId1395" Type="http://schemas.openxmlformats.org/officeDocument/2006/relationships/hyperlink" Target="https://www.cookie.fun/chains/solana.svg" TargetMode="External"/><Relationship Id="rId2239" Type="http://schemas.openxmlformats.org/officeDocument/2006/relationships/hyperlink" Target="https://pbs.twimg.com/profile_images/1878938265790664704/LzDhSZUL_400x400.jpg" TargetMode="External"/><Relationship Id="rId2446" Type="http://schemas.openxmlformats.org/officeDocument/2006/relationships/hyperlink" Target="https://x.com/LunarCrush/status/1878979848716103870" TargetMode="External"/><Relationship Id="rId2653" Type="http://schemas.openxmlformats.org/officeDocument/2006/relationships/hyperlink" Target="https://pbs.twimg.com/profile_images/1783884127831535616/CFogUoHh_normal.jpg" TargetMode="External"/><Relationship Id="rId2860" Type="http://schemas.openxmlformats.org/officeDocument/2006/relationships/hyperlink" Target="https://x.com/TeTheGamer/status/1878159763604680721" TargetMode="External"/><Relationship Id="rId3704" Type="http://schemas.openxmlformats.org/officeDocument/2006/relationships/hyperlink" Target="https://www.cookie.fun/chains/solana.svg" TargetMode="External"/><Relationship Id="rId418" Type="http://schemas.openxmlformats.org/officeDocument/2006/relationships/hyperlink" Target="https://www.cookie.fun/agent/hades-ai" TargetMode="External"/><Relationship Id="rId625" Type="http://schemas.openxmlformats.org/officeDocument/2006/relationships/hyperlink" Target="https://www.cookie.fun/agent/air3" TargetMode="External"/><Relationship Id="rId832" Type="http://schemas.openxmlformats.org/officeDocument/2006/relationships/hyperlink" Target="https://www.cookie.fun/agent/moai" TargetMode="External"/><Relationship Id="rId1048" Type="http://schemas.openxmlformats.org/officeDocument/2006/relationships/hyperlink" Target="https://www.cookie.fun/agent/pengi" TargetMode="External"/><Relationship Id="rId1255" Type="http://schemas.openxmlformats.org/officeDocument/2006/relationships/hyperlink" Target="https://www.cookie.fun/agent/st1k" TargetMode="External"/><Relationship Id="rId1462" Type="http://schemas.openxmlformats.org/officeDocument/2006/relationships/hyperlink" Target="https://www.cookie.fun/agent/marisol" TargetMode="External"/><Relationship Id="rId2306" Type="http://schemas.openxmlformats.org/officeDocument/2006/relationships/hyperlink" Target="https://x.com/solana/status/1879068814715105299" TargetMode="External"/><Relationship Id="rId2513" Type="http://schemas.openxmlformats.org/officeDocument/2006/relationships/hyperlink" Target="https://www.cookie.fun/chains/solana.svg" TargetMode="External"/><Relationship Id="rId3911" Type="http://schemas.openxmlformats.org/officeDocument/2006/relationships/hyperlink" Target="https://www.cookie.fun/chains/base.svg" TargetMode="External"/><Relationship Id="rId1115" Type="http://schemas.openxmlformats.org/officeDocument/2006/relationships/hyperlink" Target="https://pbs.twimg.com/profile_images/1865051497777520640/r4FBTtZ2_400x400.jpg" TargetMode="External"/><Relationship Id="rId1322" Type="http://schemas.openxmlformats.org/officeDocument/2006/relationships/hyperlink" Target="https://pbs.twimg.com/profile_images/1863504190154096640/Pxavlaz0_400x400.jpg" TargetMode="External"/><Relationship Id="rId2720" Type="http://schemas.openxmlformats.org/officeDocument/2006/relationships/hyperlink" Target="https://x.com/CryptoNoach/status/1877380122715763108" TargetMode="External"/><Relationship Id="rId3287" Type="http://schemas.openxmlformats.org/officeDocument/2006/relationships/hyperlink" Target="https://pbs.twimg.com/profile_images/1874579965330460672/4n6M9QB1_400x400.jpg" TargetMode="External"/><Relationship Id="rId2096" Type="http://schemas.openxmlformats.org/officeDocument/2006/relationships/hyperlink" Target="https://pbs.twimg.com/profile_images/1870154323365076992/beDo8aFd_400x400.jpg" TargetMode="External"/><Relationship Id="rId3494" Type="http://schemas.openxmlformats.org/officeDocument/2006/relationships/hyperlink" Target="https://pbs.twimg.com/profile_images/1844942082672107522/j9vD-xRP_400x400.jpg" TargetMode="External"/><Relationship Id="rId3147" Type="http://schemas.openxmlformats.org/officeDocument/2006/relationships/hyperlink" Target="https://pbs.twimg.com/profile_images/1854908646905257985/VWHB7Lyu_400x400.jpg" TargetMode="External"/><Relationship Id="rId3354" Type="http://schemas.openxmlformats.org/officeDocument/2006/relationships/hyperlink" Target="https://x.com/cryptotrader85/status/1878879200637231374" TargetMode="External"/><Relationship Id="rId3561" Type="http://schemas.openxmlformats.org/officeDocument/2006/relationships/hyperlink" Target="https://pbs.twimg.com/profile_images/1724431176574656512/QiOerwrT_400x400.jpg" TargetMode="External"/><Relationship Id="rId275" Type="http://schemas.openxmlformats.org/officeDocument/2006/relationships/hyperlink" Target="https://pbs.twimg.com/profile_images/1848255957434077184/HDGJOM3c_400x400.jpg" TargetMode="External"/><Relationship Id="rId482" Type="http://schemas.openxmlformats.org/officeDocument/2006/relationships/hyperlink" Target="https://www.cookie.fun/agent/sbabe" TargetMode="External"/><Relationship Id="rId2163" Type="http://schemas.openxmlformats.org/officeDocument/2006/relationships/hyperlink" Target="https://pbs.twimg.com/profile_images/1851360134280122369/ZZ9Too2d_400x400.jpg" TargetMode="External"/><Relationship Id="rId2370" Type="http://schemas.openxmlformats.org/officeDocument/2006/relationships/hyperlink" Target="https://x.com/eth_apple/status/1878035765642612751" TargetMode="External"/><Relationship Id="rId3007" Type="http://schemas.openxmlformats.org/officeDocument/2006/relationships/hyperlink" Target="https://x.com/dsmartsol/status/1879299310640095415" TargetMode="External"/><Relationship Id="rId3214" Type="http://schemas.openxmlformats.org/officeDocument/2006/relationships/hyperlink" Target="https://pbs.twimg.com/profile_images/1784948860973981696/g4KjSRCu_normal.jpg" TargetMode="External"/><Relationship Id="rId3421" Type="http://schemas.openxmlformats.org/officeDocument/2006/relationships/hyperlink" Target="https://www.cookie.fun/chains/solana.svg" TargetMode="External"/><Relationship Id="rId135" Type="http://schemas.openxmlformats.org/officeDocument/2006/relationships/hyperlink" Target="https://www.cookie.fun/agent/blobana" TargetMode="External"/><Relationship Id="rId342" Type="http://schemas.openxmlformats.org/officeDocument/2006/relationships/hyperlink" Target="https://www.cookie.fun/chains/solana.svg" TargetMode="External"/><Relationship Id="rId2023" Type="http://schemas.openxmlformats.org/officeDocument/2006/relationships/hyperlink" Target="https://www.cookie.fun/agent/goosepumpsai" TargetMode="External"/><Relationship Id="rId2230" Type="http://schemas.openxmlformats.org/officeDocument/2006/relationships/hyperlink" Target="https://www.cookie.fun/agent/supagrants" TargetMode="External"/><Relationship Id="rId202" Type="http://schemas.openxmlformats.org/officeDocument/2006/relationships/hyperlink" Target="https://pbs.twimg.com/profile_images/1874530701103513601/-FrQwHBX_400x400.png" TargetMode="External"/><Relationship Id="rId1789" Type="http://schemas.openxmlformats.org/officeDocument/2006/relationships/hyperlink" Target="https://www.cookie.fun/agent/nomad-ai" TargetMode="External"/><Relationship Id="rId1996" Type="http://schemas.openxmlformats.org/officeDocument/2006/relationships/hyperlink" Target="https://www.cookie.fun/agent/trixiverse" TargetMode="External"/><Relationship Id="rId4055" Type="http://schemas.openxmlformats.org/officeDocument/2006/relationships/hyperlink" Target="https://www.cookie.fun/agent/roastmaster9000" TargetMode="External"/><Relationship Id="rId1649" Type="http://schemas.openxmlformats.org/officeDocument/2006/relationships/hyperlink" Target="https://pbs.twimg.com/profile_images/1858178076586262529/66VpRcvD_400x400.png" TargetMode="External"/><Relationship Id="rId1856" Type="http://schemas.openxmlformats.org/officeDocument/2006/relationships/hyperlink" Target="https://pbs.twimg.com/profile_images/1878268674097778688/ZNWqct6z_400x400.jpg" TargetMode="External"/><Relationship Id="rId2907" Type="http://schemas.openxmlformats.org/officeDocument/2006/relationships/hyperlink" Target="https://x.com/cryptodeadline/status/1878007910766198908" TargetMode="External"/><Relationship Id="rId3071" Type="http://schemas.openxmlformats.org/officeDocument/2006/relationships/hyperlink" Target="https://x.com/0xcryptowizard/status/1877237999467114679" TargetMode="External"/><Relationship Id="rId1509" Type="http://schemas.openxmlformats.org/officeDocument/2006/relationships/hyperlink" Target="https://www.cookie.fun/chains/solana.svg" TargetMode="External"/><Relationship Id="rId1716" Type="http://schemas.openxmlformats.org/officeDocument/2006/relationships/hyperlink" Target="https://www.cookie.fun/chains/base.svg" TargetMode="External"/><Relationship Id="rId1923" Type="http://schemas.openxmlformats.org/officeDocument/2006/relationships/hyperlink" Target="https://www.cookie.fun/chains/base.svg" TargetMode="External"/><Relationship Id="rId4122" Type="http://schemas.openxmlformats.org/officeDocument/2006/relationships/hyperlink" Target="https://x.com/CryptoCurb/status/1879045545781874925" TargetMode="External"/><Relationship Id="rId3888" Type="http://schemas.openxmlformats.org/officeDocument/2006/relationships/hyperlink" Target="https://x.com/LarpVonTrier/status/1877535267155833086" TargetMode="External"/><Relationship Id="rId2697" Type="http://schemas.openxmlformats.org/officeDocument/2006/relationships/hyperlink" Target="https://pbs.twimg.com/profile_images/1355123076183322625/3tpOFCLO_normal.jpg" TargetMode="External"/><Relationship Id="rId3748" Type="http://schemas.openxmlformats.org/officeDocument/2006/relationships/hyperlink" Target="https://pbs.twimg.com/profile_images/1655948550373806088/Nxg3q6Fn_normal.jpg" TargetMode="External"/><Relationship Id="rId669" Type="http://schemas.openxmlformats.org/officeDocument/2006/relationships/hyperlink" Target="https://www.cookie.fun/chains/solana.svg" TargetMode="External"/><Relationship Id="rId876" Type="http://schemas.openxmlformats.org/officeDocument/2006/relationships/hyperlink" Target="https://www.cookie.fun/chains/base.svg" TargetMode="External"/><Relationship Id="rId1299" Type="http://schemas.openxmlformats.org/officeDocument/2006/relationships/hyperlink" Target="https://www.cookie.fun/chains/solana.svg" TargetMode="External"/><Relationship Id="rId2557" Type="http://schemas.openxmlformats.org/officeDocument/2006/relationships/hyperlink" Target="https://pbs.twimg.com/profile_images/1554027145420500992/0oOUOv6L_normal.jpg" TargetMode="External"/><Relationship Id="rId3608" Type="http://schemas.openxmlformats.org/officeDocument/2006/relationships/hyperlink" Target="https://x.com/eat_insanity/status/1879217521792033051" TargetMode="External"/><Relationship Id="rId3955" Type="http://schemas.openxmlformats.org/officeDocument/2006/relationships/hyperlink" Target="https://pbs.twimg.com/profile_images/1810920136523567104/vXqxWDjn_400x400.jpg" TargetMode="External"/><Relationship Id="rId529" Type="http://schemas.openxmlformats.org/officeDocument/2006/relationships/hyperlink" Target="https://www.cookie.fun/chains/base.svg" TargetMode="External"/><Relationship Id="rId736" Type="http://schemas.openxmlformats.org/officeDocument/2006/relationships/hyperlink" Target="https://www.cookie.fun/agent/pawz" TargetMode="External"/><Relationship Id="rId1159" Type="http://schemas.openxmlformats.org/officeDocument/2006/relationships/hyperlink" Target="https://www.cookie.fun/agent/knaight" TargetMode="External"/><Relationship Id="rId1366" Type="http://schemas.openxmlformats.org/officeDocument/2006/relationships/hyperlink" Target="https://www.cookie.fun/agent/brag" TargetMode="External"/><Relationship Id="rId2417" Type="http://schemas.openxmlformats.org/officeDocument/2006/relationships/hyperlink" Target="https://www.cookie.fun/chains/base.svg" TargetMode="External"/><Relationship Id="rId2764" Type="http://schemas.openxmlformats.org/officeDocument/2006/relationships/hyperlink" Target="https://pbs.twimg.com/profile_images/1865234522695946240/2HlQnE0W_400x400.jpg" TargetMode="External"/><Relationship Id="rId2971" Type="http://schemas.openxmlformats.org/officeDocument/2006/relationships/hyperlink" Target="https://x.com/MEXC_Official/status/1877019168609869967" TargetMode="External"/><Relationship Id="rId3815" Type="http://schemas.openxmlformats.org/officeDocument/2006/relationships/hyperlink" Target="https://pbs.twimg.com/profile_images/1872316244939997185/CACydRNk_400x400.jpg" TargetMode="External"/><Relationship Id="rId943" Type="http://schemas.openxmlformats.org/officeDocument/2006/relationships/hyperlink" Target="https://www.cookie.fun/agent/ron-zillowkowski" TargetMode="External"/><Relationship Id="rId1019" Type="http://schemas.openxmlformats.org/officeDocument/2006/relationships/hyperlink" Target="https://pbs.twimg.com/profile_images/1873033412493316096/7vwu0ksg_400x400.jpg" TargetMode="External"/><Relationship Id="rId1573" Type="http://schemas.openxmlformats.org/officeDocument/2006/relationships/hyperlink" Target="https://www.cookie.fun/agent/czai" TargetMode="External"/><Relationship Id="rId1780" Type="http://schemas.openxmlformats.org/officeDocument/2006/relationships/hyperlink" Target="https://www.cookie.fun/agent/oracle" TargetMode="External"/><Relationship Id="rId2624" Type="http://schemas.openxmlformats.org/officeDocument/2006/relationships/hyperlink" Target="https://x.com/zhuanfgghjnb/status/1879117945911296348" TargetMode="External"/><Relationship Id="rId2831" Type="http://schemas.openxmlformats.org/officeDocument/2006/relationships/hyperlink" Target="https://x.com/matrixthesun/status/1877642357769977955" TargetMode="External"/><Relationship Id="rId72" Type="http://schemas.openxmlformats.org/officeDocument/2006/relationships/hyperlink" Target="https://www.cookie.fun/chains/solana.svg" TargetMode="External"/><Relationship Id="rId803" Type="http://schemas.openxmlformats.org/officeDocument/2006/relationships/hyperlink" Target="https://pbs.twimg.com/profile_images/1853538607811694592/OTWGYQtp_400x400.jpg" TargetMode="External"/><Relationship Id="rId1226" Type="http://schemas.openxmlformats.org/officeDocument/2006/relationships/hyperlink" Target="https://pbs.twimg.com/profile_images/1863189444611690497/ZlPlSeYt_400x400.jpg" TargetMode="External"/><Relationship Id="rId1433" Type="http://schemas.openxmlformats.org/officeDocument/2006/relationships/hyperlink" Target="https://pbs.twimg.com/profile_images/1858913579396718593/HPm_0gX7_400x400.jpg" TargetMode="External"/><Relationship Id="rId1640" Type="http://schemas.openxmlformats.org/officeDocument/2006/relationships/hyperlink" Target="https://pbs.twimg.com/profile_images/1858241647881998336/4vUOLBai_400x400.jpg" TargetMode="External"/><Relationship Id="rId1500" Type="http://schemas.openxmlformats.org/officeDocument/2006/relationships/hyperlink" Target="https://www.cookie.fun/chains/solana.svg" TargetMode="External"/><Relationship Id="rId3398" Type="http://schemas.openxmlformats.org/officeDocument/2006/relationships/hyperlink" Target="https://pbs.twimg.com/profile_images/1752826759504965632/_BJV6z9l_normal.jpg" TargetMode="External"/><Relationship Id="rId3258" Type="http://schemas.openxmlformats.org/officeDocument/2006/relationships/hyperlink" Target="https://pbs.twimg.com/profile_images/1358044917319237635/Q220eMRH_normal.jpg" TargetMode="External"/><Relationship Id="rId3465" Type="http://schemas.openxmlformats.org/officeDocument/2006/relationships/hyperlink" Target="https://pbs.twimg.com/profile_images/1352548197835681793/P8tRO3U2_normal.jpg" TargetMode="External"/><Relationship Id="rId3672" Type="http://schemas.openxmlformats.org/officeDocument/2006/relationships/hyperlink" Target="https://pbs.twimg.com/profile_images/1876491110555488256/uwXwjqCF_normal.jpg" TargetMode="External"/><Relationship Id="rId179" Type="http://schemas.openxmlformats.org/officeDocument/2006/relationships/hyperlink" Target="https://www.cookie.fun/chains/base.svg" TargetMode="External"/><Relationship Id="rId386" Type="http://schemas.openxmlformats.org/officeDocument/2006/relationships/hyperlink" Target="https://pbs.twimg.com/profile_images/1868696799432597505/A3ol6tez_400x400.jpg" TargetMode="External"/><Relationship Id="rId593" Type="http://schemas.openxmlformats.org/officeDocument/2006/relationships/hyperlink" Target="https://www.cookie.fun/agent/aidoge" TargetMode="External"/><Relationship Id="rId2067" Type="http://schemas.openxmlformats.org/officeDocument/2006/relationships/hyperlink" Target="https://www.cookie.fun/agent/vangai" TargetMode="External"/><Relationship Id="rId2274" Type="http://schemas.openxmlformats.org/officeDocument/2006/relationships/hyperlink" Target="https://x.com/blknoiz06/status/1878905880823116068" TargetMode="External"/><Relationship Id="rId2481" Type="http://schemas.openxmlformats.org/officeDocument/2006/relationships/hyperlink" Target="https://pbs.twimg.com/profile_images/1663128307393519621/leQ2uGee_normal.jpg" TargetMode="External"/><Relationship Id="rId3118" Type="http://schemas.openxmlformats.org/officeDocument/2006/relationships/hyperlink" Target="https://pbs.twimg.com/profile_images/1708889475445555200/wysRKWcO_normal.jpg" TargetMode="External"/><Relationship Id="rId3325" Type="http://schemas.openxmlformats.org/officeDocument/2006/relationships/hyperlink" Target="https://x.com/Irenezhao_/status/1877362575123558617" TargetMode="External"/><Relationship Id="rId3532" Type="http://schemas.openxmlformats.org/officeDocument/2006/relationships/hyperlink" Target="https://pbs.twimg.com/profile_images/1874654975772745728/SBsfeK63_normal.jpg" TargetMode="External"/><Relationship Id="rId246" Type="http://schemas.openxmlformats.org/officeDocument/2006/relationships/hyperlink" Target="https://pbs.twimg.com/profile_images/1848751885542445056/8e06cJqz_400x400.jpg" TargetMode="External"/><Relationship Id="rId453" Type="http://schemas.openxmlformats.org/officeDocument/2006/relationships/hyperlink" Target="https://pbs.twimg.com/profile_images/1869355851561013248/SqYDNAvk_400x400.jpg" TargetMode="External"/><Relationship Id="rId660" Type="http://schemas.openxmlformats.org/officeDocument/2006/relationships/hyperlink" Target="https://www.cookie.fun/chains/solana.svg" TargetMode="External"/><Relationship Id="rId1083" Type="http://schemas.openxmlformats.org/officeDocument/2006/relationships/hyperlink" Target="https://www.cookie.fun/chains/solana.svg" TargetMode="External"/><Relationship Id="rId1290" Type="http://schemas.openxmlformats.org/officeDocument/2006/relationships/hyperlink" Target="https://www.cookie.fun/chains/solana.svg" TargetMode="External"/><Relationship Id="rId2134" Type="http://schemas.openxmlformats.org/officeDocument/2006/relationships/hyperlink" Target="https://www.cookie.fun/agent/airchitect-agentic-launchpad-agent" TargetMode="External"/><Relationship Id="rId2341" Type="http://schemas.openxmlformats.org/officeDocument/2006/relationships/hyperlink" Target="https://pbs.twimg.com/profile_images/1478130385116672008/kpiOx18X_normal.jpg" TargetMode="External"/><Relationship Id="rId106" Type="http://schemas.openxmlformats.org/officeDocument/2006/relationships/hyperlink" Target="https://www.cookie.fun/chains/solana.svg" TargetMode="External"/><Relationship Id="rId313" Type="http://schemas.openxmlformats.org/officeDocument/2006/relationships/hyperlink" Target="https://www.cookie.fun/agent/fluffington" TargetMode="External"/><Relationship Id="rId1150" Type="http://schemas.openxmlformats.org/officeDocument/2006/relationships/hyperlink" Target="https://www.cookie.fun/agent/aaaaa" TargetMode="External"/><Relationship Id="rId4099" Type="http://schemas.openxmlformats.org/officeDocument/2006/relationships/hyperlink" Target="https://x.com/jaapyft/status/1878487981071495170" TargetMode="External"/><Relationship Id="rId520" Type="http://schemas.openxmlformats.org/officeDocument/2006/relationships/hyperlink" Target="https://www.cookie.fun/chains/base.svg" TargetMode="External"/><Relationship Id="rId2201" Type="http://schemas.openxmlformats.org/officeDocument/2006/relationships/hyperlink" Target="https://abs.twimg.com/sticky/default_profile_images/default_profile_400x400.png" TargetMode="External"/><Relationship Id="rId1010" Type="http://schemas.openxmlformats.org/officeDocument/2006/relationships/hyperlink" Target="https://pbs.twimg.com/profile_images/1873208923529900032/2-B9G7cx_400x400.jpg" TargetMode="External"/><Relationship Id="rId1967" Type="http://schemas.openxmlformats.org/officeDocument/2006/relationships/hyperlink" Target="https://pbs.twimg.com/profile_images/1876381732796088320/71METxIw_400x400.jpg" TargetMode="External"/><Relationship Id="rId4166" Type="http://schemas.openxmlformats.org/officeDocument/2006/relationships/hyperlink" Target="https://pbs.twimg.com/profile_images/1855033534303391744/cc7M4VvN_400x400.jpg" TargetMode="External"/><Relationship Id="rId4026" Type="http://schemas.openxmlformats.org/officeDocument/2006/relationships/hyperlink" Target="https://www.cookie.fun/agent/aaahhmm" TargetMode="External"/><Relationship Id="rId3042" Type="http://schemas.openxmlformats.org/officeDocument/2006/relationships/hyperlink" Target="https://pbs.twimg.com/profile_images/1422538477900423170/tRsq0F8Y_normal.png" TargetMode="External"/><Relationship Id="rId3859" Type="http://schemas.openxmlformats.org/officeDocument/2006/relationships/hyperlink" Target="https://www.cookie.fun/agent/mfercoin" TargetMode="External"/><Relationship Id="rId2875" Type="http://schemas.openxmlformats.org/officeDocument/2006/relationships/hyperlink" Target="https://pbs.twimg.com/profile_images/1761532928452894720/N6A-Up8e_normal.jpg" TargetMode="External"/><Relationship Id="rId3926" Type="http://schemas.openxmlformats.org/officeDocument/2006/relationships/hyperlink" Target="https://pbs.twimg.com/profile_images/1714413716135878656/D-TugPKq_normal.jpg" TargetMode="External"/><Relationship Id="rId847" Type="http://schemas.openxmlformats.org/officeDocument/2006/relationships/hyperlink" Target="https://www.cookie.fun/agent/charlie" TargetMode="External"/><Relationship Id="rId1477" Type="http://schemas.openxmlformats.org/officeDocument/2006/relationships/hyperlink" Target="https://www.cookie.fun/agent/zerebra" TargetMode="External"/><Relationship Id="rId1891" Type="http://schemas.openxmlformats.org/officeDocument/2006/relationships/hyperlink" Target="https://www.cookie.fun/agent/insightful" TargetMode="External"/><Relationship Id="rId2528" Type="http://schemas.openxmlformats.org/officeDocument/2006/relationships/hyperlink" Target="https://x.com/Cryptanzee/status/1877434862786711661" TargetMode="External"/><Relationship Id="rId2942" Type="http://schemas.openxmlformats.org/officeDocument/2006/relationships/hyperlink" Target="https://x.com/ASAPether/status/1878528531782922472" TargetMode="External"/><Relationship Id="rId914" Type="http://schemas.openxmlformats.org/officeDocument/2006/relationships/hyperlink" Target="https://pbs.twimg.com/profile_images/1872346862046285824/0gZGze5l_400x400.jpg" TargetMode="External"/><Relationship Id="rId1544" Type="http://schemas.openxmlformats.org/officeDocument/2006/relationships/hyperlink" Target="https://pbs.twimg.com/profile_images/1858556451792318464/gFYbU8F3_400x400.jpg" TargetMode="External"/><Relationship Id="rId1611" Type="http://schemas.openxmlformats.org/officeDocument/2006/relationships/hyperlink" Target="https://www.cookie.fun/chains/solana.svg" TargetMode="External"/><Relationship Id="rId3369" Type="http://schemas.openxmlformats.org/officeDocument/2006/relationships/hyperlink" Target="https://pbs.twimg.com/profile_images/1865905550887948288/h4UixQic_400x400.jpg" TargetMode="External"/><Relationship Id="rId2385" Type="http://schemas.openxmlformats.org/officeDocument/2006/relationships/hyperlink" Target="https://pbs.twimg.com/profile_images/1766155710432526336/cXUlVP1F_normal.jpg" TargetMode="External"/><Relationship Id="rId3783" Type="http://schemas.openxmlformats.org/officeDocument/2006/relationships/hyperlink" Target="https://pbs.twimg.com/profile_images/1870228460016209920/_bCiBtJz_normal.jpg" TargetMode="External"/><Relationship Id="rId357" Type="http://schemas.openxmlformats.org/officeDocument/2006/relationships/hyperlink" Target="https://www.cookie.fun/chains/base.svg" TargetMode="External"/><Relationship Id="rId2038" Type="http://schemas.openxmlformats.org/officeDocument/2006/relationships/hyperlink" Target="https://www.cookie.fun/agent/memecoin-rating-690-index" TargetMode="External"/><Relationship Id="rId3436" Type="http://schemas.openxmlformats.org/officeDocument/2006/relationships/hyperlink" Target="https://x.com/Noahhweb3/status/1877765189111513594" TargetMode="External"/><Relationship Id="rId3850" Type="http://schemas.openxmlformats.org/officeDocument/2006/relationships/hyperlink" Target="https://x.com/MarcoPoloMaps/status/1879149215319994792" TargetMode="External"/><Relationship Id="rId771" Type="http://schemas.openxmlformats.org/officeDocument/2006/relationships/hyperlink" Target="https://www.cookie.fun/chains/solana.svg" TargetMode="External"/><Relationship Id="rId2452" Type="http://schemas.openxmlformats.org/officeDocument/2006/relationships/hyperlink" Target="https://pbs.twimg.com/profile_images/1863883494084276224/MhLpfb2V_400x400.jpg" TargetMode="External"/><Relationship Id="rId3503" Type="http://schemas.openxmlformats.org/officeDocument/2006/relationships/hyperlink" Target="https://x.com/zacxbt/status/1878295351548948567" TargetMode="External"/><Relationship Id="rId424" Type="http://schemas.openxmlformats.org/officeDocument/2006/relationships/hyperlink" Target="https://www.cookie.fun/agent/onlycalls" TargetMode="External"/><Relationship Id="rId1054" Type="http://schemas.openxmlformats.org/officeDocument/2006/relationships/hyperlink" Target="https://www.cookie.fun/agent/syn" TargetMode="External"/><Relationship Id="rId2105" Type="http://schemas.openxmlformats.org/officeDocument/2006/relationships/hyperlink" Target="https://www.cookie.fun/agent/sendx" TargetMode="External"/><Relationship Id="rId1121" Type="http://schemas.openxmlformats.org/officeDocument/2006/relationships/hyperlink" Target="https://pbs.twimg.com/profile_images/1866115972131926016/7Spme7Qw_400x400.jpg" TargetMode="External"/><Relationship Id="rId3293" Type="http://schemas.openxmlformats.org/officeDocument/2006/relationships/hyperlink" Target="https://x.com/TheBoggartt/status/1877826311097397546" TargetMode="External"/><Relationship Id="rId1938" Type="http://schemas.openxmlformats.org/officeDocument/2006/relationships/hyperlink" Target="https://pbs.twimg.com/profile_images/1873514071279947776/YaWvv3pF_normal.png" TargetMode="External"/><Relationship Id="rId3360" Type="http://schemas.openxmlformats.org/officeDocument/2006/relationships/hyperlink" Target="https://x.com/yb_effect/status/1878160122578600014" TargetMode="External"/><Relationship Id="rId281" Type="http://schemas.openxmlformats.org/officeDocument/2006/relationships/hyperlink" Target="https://pbs.twimg.com/profile_images/1866870831709818881/S6mFb10G_400x400.jpg" TargetMode="External"/><Relationship Id="rId3013" Type="http://schemas.openxmlformats.org/officeDocument/2006/relationships/hyperlink" Target="https://pbs.twimg.com/profile_images/1864465766034145280/l0xrEl5-_400x400.jpg" TargetMode="External"/><Relationship Id="rId2779" Type="http://schemas.openxmlformats.org/officeDocument/2006/relationships/hyperlink" Target="https://x.com/huuep/status/1877401835545456764" TargetMode="External"/><Relationship Id="rId1795" Type="http://schemas.openxmlformats.org/officeDocument/2006/relationships/hyperlink" Target="https://www.cookie.fun/agent/arct" TargetMode="External"/><Relationship Id="rId2846" Type="http://schemas.openxmlformats.org/officeDocument/2006/relationships/hyperlink" Target="https://pbs.twimg.com/profile_images/1858565382929608706/x-dCc4p__400x400.jpg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x.com/AlexMasmej/status/1877467464797134999" TargetMode="External"/><Relationship Id="rId1827" Type="http://schemas.openxmlformats.org/officeDocument/2006/relationships/hyperlink" Target="https://www.cookie.fun/chains/solana.svg" TargetMode="External"/><Relationship Id="rId21" Type="http://schemas.openxmlformats.org/officeDocument/2006/relationships/hyperlink" Target="https://pbs.twimg.com/profile_images/1831904183001247744/ALdr5oD1_normal.jpg" TargetMode="External"/><Relationship Id="rId170" Type="http://schemas.openxmlformats.org/officeDocument/2006/relationships/hyperlink" Target="https://pbs.twimg.com/profile_images/1862528157754302468/t9usnUXx_400x400.jpg" TargetMode="External"/><Relationship Id="rId268" Type="http://schemas.openxmlformats.org/officeDocument/2006/relationships/hyperlink" Target="https://x.com/EB7/status/1878489157628010773" TargetMode="External"/><Relationship Id="rId475" Type="http://schemas.openxmlformats.org/officeDocument/2006/relationships/hyperlink" Target="https://pbs.twimg.com/profile_images/1806436217950441472/UQXxhjcU_normal.jpg" TargetMode="External"/><Relationship Id="rId682" Type="http://schemas.openxmlformats.org/officeDocument/2006/relationships/hyperlink" Target="https://x.com/JasonNFT/status/1877252581031862687" TargetMode="External"/><Relationship Id="rId128" Type="http://schemas.openxmlformats.org/officeDocument/2006/relationships/hyperlink" Target="https://x.com/LevisNFT/status/1878477533852619229" TargetMode="External"/><Relationship Id="rId335" Type="http://schemas.openxmlformats.org/officeDocument/2006/relationships/hyperlink" Target="https://pbs.twimg.com/profile_images/1871330840774426625/pjvENjuB_normal.jpg" TargetMode="External"/><Relationship Id="rId542" Type="http://schemas.openxmlformats.org/officeDocument/2006/relationships/hyperlink" Target="https://www.cookie.fun/chains/ethereum.svg" TargetMode="External"/><Relationship Id="rId987" Type="http://schemas.openxmlformats.org/officeDocument/2006/relationships/hyperlink" Target="https://pbs.twimg.com/profile_images/1478130385116672008/kpiOx18X_normal.jpg" TargetMode="External"/><Relationship Id="rId1172" Type="http://schemas.openxmlformats.org/officeDocument/2006/relationships/hyperlink" Target="https://x.com/yoshi_jdcomm/status/1879286828072927301" TargetMode="External"/><Relationship Id="rId402" Type="http://schemas.openxmlformats.org/officeDocument/2006/relationships/hyperlink" Target="https://x.com/gem_insider/status/1878932048355946662" TargetMode="External"/><Relationship Id="rId847" Type="http://schemas.openxmlformats.org/officeDocument/2006/relationships/hyperlink" Target="https://pbs.twimg.com/profile_images/1778366683888914433/GBWz-Jp__normal.jpg" TargetMode="External"/><Relationship Id="rId1032" Type="http://schemas.openxmlformats.org/officeDocument/2006/relationships/hyperlink" Target="https://pbs.twimg.com/profile_images/1775649841562980353/2E0MAPqa_normal.jpg" TargetMode="External"/><Relationship Id="rId1477" Type="http://schemas.openxmlformats.org/officeDocument/2006/relationships/hyperlink" Target="https://x.com/wallstreetbets/status/1878862575959777355" TargetMode="External"/><Relationship Id="rId1684" Type="http://schemas.openxmlformats.org/officeDocument/2006/relationships/hyperlink" Target="https://www.cookie.fun/agent/capricorn" TargetMode="External"/><Relationship Id="rId1891" Type="http://schemas.openxmlformats.org/officeDocument/2006/relationships/hyperlink" Target="https://www.cookie.fun/chains/solana.svg" TargetMode="External"/><Relationship Id="rId707" Type="http://schemas.openxmlformats.org/officeDocument/2006/relationships/hyperlink" Target="https://pbs.twimg.com/profile_images/1847742219308191745/NK-YTI6s_400x400.jpg" TargetMode="External"/><Relationship Id="rId914" Type="http://schemas.openxmlformats.org/officeDocument/2006/relationships/hyperlink" Target="https://x.com/gammichan/status/1878931440790052908" TargetMode="External"/><Relationship Id="rId1337" Type="http://schemas.openxmlformats.org/officeDocument/2006/relationships/hyperlink" Target="https://x.com/dabit3/status/1878622116381171741" TargetMode="External"/><Relationship Id="rId1544" Type="http://schemas.openxmlformats.org/officeDocument/2006/relationships/hyperlink" Target="https://www.cookie.fun/chains/solana.svg" TargetMode="External"/><Relationship Id="rId1751" Type="http://schemas.openxmlformats.org/officeDocument/2006/relationships/hyperlink" Target="https://pbs.twimg.com/profile_images/1774498259257511936/pxGsqnO-_normal.jpg" TargetMode="External"/><Relationship Id="rId43" Type="http://schemas.openxmlformats.org/officeDocument/2006/relationships/hyperlink" Target="https://pbs.twimg.com/profile_images/1794709660844359680/zbYJdfZs_normal.jpg" TargetMode="External"/><Relationship Id="rId1404" Type="http://schemas.openxmlformats.org/officeDocument/2006/relationships/hyperlink" Target="https://pbs.twimg.com/profile_images/1713979783921713152/ls7wS7vf_400x400.jpg" TargetMode="External"/><Relationship Id="rId1611" Type="http://schemas.openxmlformats.org/officeDocument/2006/relationships/hyperlink" Target="https://pbs.twimg.com/profile_images/1876322799603630080/X-xz2y2T_normal.jpg" TargetMode="External"/><Relationship Id="rId1849" Type="http://schemas.openxmlformats.org/officeDocument/2006/relationships/hyperlink" Target="https://x.com/BiteyeCN/status/1877249880021942569" TargetMode="External"/><Relationship Id="rId192" Type="http://schemas.openxmlformats.org/officeDocument/2006/relationships/hyperlink" Target="https://x.com/CryptoAnglio/status/1877082200031547572" TargetMode="External"/><Relationship Id="rId1709" Type="http://schemas.openxmlformats.org/officeDocument/2006/relationships/hyperlink" Target="https://pbs.twimg.com/profile_images/1866014447401062400/E7kMrkNY_400x400.jpg" TargetMode="External"/><Relationship Id="rId1916" Type="http://schemas.openxmlformats.org/officeDocument/2006/relationships/hyperlink" Target="https://www.cookie.fun/agent/anti-goatse" TargetMode="External"/><Relationship Id="rId497" Type="http://schemas.openxmlformats.org/officeDocument/2006/relationships/hyperlink" Target="https://pbs.twimg.com/profile_images/1840810814007361536/oD64ED8g_normal.jpg" TargetMode="External"/><Relationship Id="rId357" Type="http://schemas.openxmlformats.org/officeDocument/2006/relationships/hyperlink" Target="https://pbs.twimg.com/profile_images/1839737518058790912/z6Kr5LQb_normal.jpg" TargetMode="External"/><Relationship Id="rId1194" Type="http://schemas.openxmlformats.org/officeDocument/2006/relationships/hyperlink" Target="https://pbs.twimg.com/profile_images/1707558009776242688/Mu8g3JM2_normal.jpg" TargetMode="External"/><Relationship Id="rId217" Type="http://schemas.openxmlformats.org/officeDocument/2006/relationships/hyperlink" Target="https://www.cookie.fun/agent/god" TargetMode="External"/><Relationship Id="rId564" Type="http://schemas.openxmlformats.org/officeDocument/2006/relationships/hyperlink" Target="https://www.cookie.fun/agent/hiero" TargetMode="External"/><Relationship Id="rId771" Type="http://schemas.openxmlformats.org/officeDocument/2006/relationships/hyperlink" Target="https://x.com/ponzisaur/status/1878438102177329315" TargetMode="External"/><Relationship Id="rId869" Type="http://schemas.openxmlformats.org/officeDocument/2006/relationships/hyperlink" Target="https://x.com/Chilearmy123/status/1877868073224409255" TargetMode="External"/><Relationship Id="rId1499" Type="http://schemas.openxmlformats.org/officeDocument/2006/relationships/hyperlink" Target="https://www.cookie.fun/chains/solana.svg" TargetMode="External"/><Relationship Id="rId424" Type="http://schemas.openxmlformats.org/officeDocument/2006/relationships/hyperlink" Target="https://x.com/DoggfatherCrew/status/1878100353507348886" TargetMode="External"/><Relationship Id="rId631" Type="http://schemas.openxmlformats.org/officeDocument/2006/relationships/hyperlink" Target="https://pbs.twimg.com/profile_images/1637218141255131139/IY4gsV5h_normal.jpg" TargetMode="External"/><Relationship Id="rId729" Type="http://schemas.openxmlformats.org/officeDocument/2006/relationships/hyperlink" Target="https://x.com/mrpunkdoteth/status/1878518891942731846" TargetMode="External"/><Relationship Id="rId1054" Type="http://schemas.openxmlformats.org/officeDocument/2006/relationships/hyperlink" Target="https://pbs.twimg.com/profile_images/1870076582963945472/LN_Val_Z_400x400.jpg" TargetMode="External"/><Relationship Id="rId1261" Type="http://schemas.openxmlformats.org/officeDocument/2006/relationships/hyperlink" Target="https://x.com/reubs_btc/status/1877789136523854323" TargetMode="External"/><Relationship Id="rId1359" Type="http://schemas.openxmlformats.org/officeDocument/2006/relationships/hyperlink" Target="https://www.cookie.fun/chains/solana.svg" TargetMode="External"/><Relationship Id="rId936" Type="http://schemas.openxmlformats.org/officeDocument/2006/relationships/hyperlink" Target="https://www.cookie.fun/chains/solana.svg" TargetMode="External"/><Relationship Id="rId1121" Type="http://schemas.openxmlformats.org/officeDocument/2006/relationships/hyperlink" Target="https://x.com/Shade_Protocol/status/1877728037598621900" TargetMode="External"/><Relationship Id="rId1219" Type="http://schemas.openxmlformats.org/officeDocument/2006/relationships/hyperlink" Target="https://pbs.twimg.com/profile_images/1773418874014437378/N-AojrRc_normal.jpg" TargetMode="External"/><Relationship Id="rId1566" Type="http://schemas.openxmlformats.org/officeDocument/2006/relationships/hyperlink" Target="https://www.cookie.fun/chains/solana.svg" TargetMode="External"/><Relationship Id="rId1773" Type="http://schemas.openxmlformats.org/officeDocument/2006/relationships/hyperlink" Target="https://www.cookie.fun/chains/solana.svg" TargetMode="External"/><Relationship Id="rId65" Type="http://schemas.openxmlformats.org/officeDocument/2006/relationships/hyperlink" Target="https://pbs.twimg.com/profile_images/1859616195797823488/qiLRzcjU_normal.jpg" TargetMode="External"/><Relationship Id="rId1426" Type="http://schemas.openxmlformats.org/officeDocument/2006/relationships/hyperlink" Target="https://pbs.twimg.com/profile_images/1809107232103280641/2nAc8pxc_400x400.jpg" TargetMode="External"/><Relationship Id="rId1633" Type="http://schemas.openxmlformats.org/officeDocument/2006/relationships/hyperlink" Target="https://pbs.twimg.com/profile_images/1874415599704510464/C51203O6_normal.jpg" TargetMode="External"/><Relationship Id="rId1840" Type="http://schemas.openxmlformats.org/officeDocument/2006/relationships/hyperlink" Target="https://www.cookie.fun/chains/base.svg" TargetMode="External"/><Relationship Id="rId1700" Type="http://schemas.openxmlformats.org/officeDocument/2006/relationships/hyperlink" Target="https://pbs.twimg.com/profile_images/1785526747884314624/d6v3VcN7_normal.jpg" TargetMode="External"/><Relationship Id="rId281" Type="http://schemas.openxmlformats.org/officeDocument/2006/relationships/hyperlink" Target="https://pbs.twimg.com/profile_images/1554248854794534913/JXGn6d0L_normal.jpg" TargetMode="External"/><Relationship Id="rId141" Type="http://schemas.openxmlformats.org/officeDocument/2006/relationships/hyperlink" Target="https://pbs.twimg.com/profile_images/1681725760472530964/g389A7bW_normal.jpg" TargetMode="External"/><Relationship Id="rId379" Type="http://schemas.openxmlformats.org/officeDocument/2006/relationships/hyperlink" Target="https://pbs.twimg.com/profile_images/1427434033290661891/hLTTZ5lt_normal.jpg" TargetMode="External"/><Relationship Id="rId586" Type="http://schemas.openxmlformats.org/officeDocument/2006/relationships/hyperlink" Target="https://x.com/NFTSandy_/status/1879170679741837537" TargetMode="External"/><Relationship Id="rId793" Type="http://schemas.openxmlformats.org/officeDocument/2006/relationships/hyperlink" Target="https://x.com/game_for_one/status/1877776057010385274" TargetMode="External"/><Relationship Id="rId7" Type="http://schemas.openxmlformats.org/officeDocument/2006/relationships/hyperlink" Target="https://pbs.twimg.com/profile_images/1748085010844844032/lao0fmfa_normal.jpg" TargetMode="External"/><Relationship Id="rId239" Type="http://schemas.openxmlformats.org/officeDocument/2006/relationships/hyperlink" Target="https://pbs.twimg.com/profile_images/1422538477900423170/tRsq0F8Y_normal.png" TargetMode="External"/><Relationship Id="rId446" Type="http://schemas.openxmlformats.org/officeDocument/2006/relationships/hyperlink" Target="https://pbs.twimg.com/profile_images/1872551275436638208/4E3x6m7n_400x400.png" TargetMode="External"/><Relationship Id="rId653" Type="http://schemas.openxmlformats.org/officeDocument/2006/relationships/hyperlink" Target="https://x.com/WiseCrypto_/status/1877221400638783827" TargetMode="External"/><Relationship Id="rId1076" Type="http://schemas.openxmlformats.org/officeDocument/2006/relationships/hyperlink" Target="https://www.cookie.fun/agent/memes-ai" TargetMode="External"/><Relationship Id="rId1283" Type="http://schemas.openxmlformats.org/officeDocument/2006/relationships/hyperlink" Target="https://www.cookie.fun/chains/base.svg" TargetMode="External"/><Relationship Id="rId1490" Type="http://schemas.openxmlformats.org/officeDocument/2006/relationships/hyperlink" Target="https://pbs.twimg.com/profile_images/1655948550373806088/Nxg3q6Fn_normal.jpg" TargetMode="External"/><Relationship Id="rId306" Type="http://schemas.openxmlformats.org/officeDocument/2006/relationships/hyperlink" Target="https://x.com/TheEliteCrypto/status/1877615762224926984" TargetMode="External"/><Relationship Id="rId860" Type="http://schemas.openxmlformats.org/officeDocument/2006/relationships/hyperlink" Target="https://pbs.twimg.com/profile_images/1708889475445555200/wysRKWcO_normal.jpg" TargetMode="External"/><Relationship Id="rId958" Type="http://schemas.openxmlformats.org/officeDocument/2006/relationships/hyperlink" Target="https://www.cookie.fun/agent/moss" TargetMode="External"/><Relationship Id="rId1143" Type="http://schemas.openxmlformats.org/officeDocument/2006/relationships/hyperlink" Target="https://www.cookie.fun/agent/dream" TargetMode="External"/><Relationship Id="rId1588" Type="http://schemas.openxmlformats.org/officeDocument/2006/relationships/hyperlink" Target="https://pbs.twimg.com/profile_images/1875472471677108224/Fp5kS1f4_normal.jpg" TargetMode="External"/><Relationship Id="rId1795" Type="http://schemas.openxmlformats.org/officeDocument/2006/relationships/hyperlink" Target="https://x.com/Cointelegraph/status/1877459212084584535" TargetMode="External"/><Relationship Id="rId87" Type="http://schemas.openxmlformats.org/officeDocument/2006/relationships/hyperlink" Target="https://www.cookie.fun/chains/base.svg" TargetMode="External"/><Relationship Id="rId513" Type="http://schemas.openxmlformats.org/officeDocument/2006/relationships/hyperlink" Target="https://pbs.twimg.com/profile_images/1831292852024045568/yH2FvLwm_normal.jpg" TargetMode="External"/><Relationship Id="rId720" Type="http://schemas.openxmlformats.org/officeDocument/2006/relationships/hyperlink" Target="https://www.cookie.fun/chains/solana.svg" TargetMode="External"/><Relationship Id="rId818" Type="http://schemas.openxmlformats.org/officeDocument/2006/relationships/hyperlink" Target="https://pbs.twimg.com/profile_images/1865248625678520325/K8QQsqDl_normal.jpg" TargetMode="External"/><Relationship Id="rId1350" Type="http://schemas.openxmlformats.org/officeDocument/2006/relationships/hyperlink" Target="https://x.com/eat_insanity/status/1879217521792033051" TargetMode="External"/><Relationship Id="rId1448" Type="http://schemas.openxmlformats.org/officeDocument/2006/relationships/hyperlink" Target="https://pbs.twimg.com/profile_images/1869513448960163841/PldCEKC8_400x400.jpg" TargetMode="External"/><Relationship Id="rId1655" Type="http://schemas.openxmlformats.org/officeDocument/2006/relationships/hyperlink" Target="https://pbs.twimg.com/profile_images/1805895265746051072/vSr7Tsbo_normal.jpg" TargetMode="External"/><Relationship Id="rId1003" Type="http://schemas.openxmlformats.org/officeDocument/2006/relationships/hyperlink" Target="https://x.com/Tyler_Did_It/status/1877840791298568645" TargetMode="External"/><Relationship Id="rId1210" Type="http://schemas.openxmlformats.org/officeDocument/2006/relationships/hyperlink" Target="https://x.com/dippy_eth/status/1879453478449250452" TargetMode="External"/><Relationship Id="rId1308" Type="http://schemas.openxmlformats.org/officeDocument/2006/relationships/hyperlink" Target="https://www.cookie.fun/agent/gemach" TargetMode="External"/><Relationship Id="rId1862" Type="http://schemas.openxmlformats.org/officeDocument/2006/relationships/hyperlink" Target="https://pbs.twimg.com/profile_images/1869208085124030464/zszgJyVc_400x400.jpg" TargetMode="External"/><Relationship Id="rId1515" Type="http://schemas.openxmlformats.org/officeDocument/2006/relationships/hyperlink" Target="https://www.cookie.fun/agent/nikita" TargetMode="External"/><Relationship Id="rId1722" Type="http://schemas.openxmlformats.org/officeDocument/2006/relationships/hyperlink" Target="https://pbs.twimg.com/profile_images/1803985178815270915/TwNPHK8u_normal.jpg" TargetMode="External"/><Relationship Id="rId14" Type="http://schemas.openxmlformats.org/officeDocument/2006/relationships/hyperlink" Target="https://pbs.twimg.com/profile_images/1848028530099052545/urFxrFx__400x400.jpg" TargetMode="External"/><Relationship Id="rId163" Type="http://schemas.openxmlformats.org/officeDocument/2006/relationships/hyperlink" Target="https://pbs.twimg.com/profile_images/1738860733771780096/eYaFzxgO_normal.png" TargetMode="External"/><Relationship Id="rId370" Type="http://schemas.openxmlformats.org/officeDocument/2006/relationships/hyperlink" Target="https://x.com/0xDamien/status/1878259964826841524" TargetMode="External"/><Relationship Id="rId230" Type="http://schemas.openxmlformats.org/officeDocument/2006/relationships/hyperlink" Target="https://pbs.twimg.com/profile_images/1864283290347425795/FMZ3opQa_400x400.jpg" TargetMode="External"/><Relationship Id="rId468" Type="http://schemas.openxmlformats.org/officeDocument/2006/relationships/hyperlink" Target="https://x.com/CryptoGrills/status/1879309314411954227" TargetMode="External"/><Relationship Id="rId675" Type="http://schemas.openxmlformats.org/officeDocument/2006/relationships/hyperlink" Target="https://www.cookie.fun/chains/solana.svg" TargetMode="External"/><Relationship Id="rId882" Type="http://schemas.openxmlformats.org/officeDocument/2006/relationships/hyperlink" Target="https://pbs.twimg.com/profile_images/1877376167507890176/ctIXJTwa_normal.jpg" TargetMode="External"/><Relationship Id="rId1098" Type="http://schemas.openxmlformats.org/officeDocument/2006/relationships/hyperlink" Target="https://x.com/hunterorrell/status/1877578324509139183" TargetMode="External"/><Relationship Id="rId328" Type="http://schemas.openxmlformats.org/officeDocument/2006/relationships/hyperlink" Target="https://x.com/0xDamien/status/1878834533598110197" TargetMode="External"/><Relationship Id="rId535" Type="http://schemas.openxmlformats.org/officeDocument/2006/relationships/hyperlink" Target="https://x.com/coinesper/status/1878387564475748706" TargetMode="External"/><Relationship Id="rId742" Type="http://schemas.openxmlformats.org/officeDocument/2006/relationships/hyperlink" Target="https://www.cookie.fun/agent/rex" TargetMode="External"/><Relationship Id="rId1165" Type="http://schemas.openxmlformats.org/officeDocument/2006/relationships/hyperlink" Target="https://pbs.twimg.com/profile_images/1839124375670501376/HaMB901j_normal.jpg" TargetMode="External"/><Relationship Id="rId1372" Type="http://schemas.openxmlformats.org/officeDocument/2006/relationships/hyperlink" Target="https://www.cookie.fun/agent/kitten-haimer" TargetMode="External"/><Relationship Id="rId602" Type="http://schemas.openxmlformats.org/officeDocument/2006/relationships/hyperlink" Target="https://x.com/TeTheGamer/status/1878159763604680721" TargetMode="External"/><Relationship Id="rId1025" Type="http://schemas.openxmlformats.org/officeDocument/2006/relationships/hyperlink" Target="https://www.cookie.fun/agent/polytrader" TargetMode="External"/><Relationship Id="rId1232" Type="http://schemas.openxmlformats.org/officeDocument/2006/relationships/hyperlink" Target="https://www.cookie.fun/agent/byte" TargetMode="External"/><Relationship Id="rId1677" Type="http://schemas.openxmlformats.org/officeDocument/2006/relationships/hyperlink" Target="https://pbs.twimg.com/profile_images/1851899017690587136/bRhRc56w_normal.jpg" TargetMode="External"/><Relationship Id="rId1884" Type="http://schemas.openxmlformats.org/officeDocument/2006/relationships/hyperlink" Target="https://www.cookie.fun/agent/shaw-a" TargetMode="External"/><Relationship Id="rId907" Type="http://schemas.openxmlformats.org/officeDocument/2006/relationships/hyperlink" Target="https://pbs.twimg.com/profile_images/1812479890282749952/_iGDrK6u_normal.jpg" TargetMode="External"/><Relationship Id="rId1537" Type="http://schemas.openxmlformats.org/officeDocument/2006/relationships/hyperlink" Target="https://www.cookie.fun/agent/music" TargetMode="External"/><Relationship Id="rId1744" Type="http://schemas.openxmlformats.org/officeDocument/2006/relationships/hyperlink" Target="https://www.cookie.fun/chains/base.svg" TargetMode="External"/><Relationship Id="rId36" Type="http://schemas.openxmlformats.org/officeDocument/2006/relationships/hyperlink" Target="https://x.com/shitc0in/status/1877059278969721240" TargetMode="External"/><Relationship Id="rId1604" Type="http://schemas.openxmlformats.org/officeDocument/2006/relationships/hyperlink" Target="https://x.com/0xLawl/status/1878872318774222897" TargetMode="External"/><Relationship Id="rId185" Type="http://schemas.openxmlformats.org/officeDocument/2006/relationships/hyperlink" Target="https://pbs.twimg.com/profile_images/1352548197835681793/P8tRO3U2_normal.jpg" TargetMode="External"/><Relationship Id="rId1811" Type="http://schemas.openxmlformats.org/officeDocument/2006/relationships/hyperlink" Target="https://x.com/marvellousdefi_/status/1877711676537012617" TargetMode="External"/><Relationship Id="rId1909" Type="http://schemas.openxmlformats.org/officeDocument/2006/relationships/hyperlink" Target="https://www.cookie.fun/chains/solana.svg" TargetMode="External"/><Relationship Id="rId392" Type="http://schemas.openxmlformats.org/officeDocument/2006/relationships/hyperlink" Target="https://x.com/veratheape/status/1877874699033805308" TargetMode="External"/><Relationship Id="rId697" Type="http://schemas.openxmlformats.org/officeDocument/2006/relationships/hyperlink" Target="https://www.cookie.fun/agent/turbo" TargetMode="External"/><Relationship Id="rId252" Type="http://schemas.openxmlformats.org/officeDocument/2006/relationships/hyperlink" Target="https://x.com/RealKatoOG/status/1878087985800872285" TargetMode="External"/><Relationship Id="rId1187" Type="http://schemas.openxmlformats.org/officeDocument/2006/relationships/hyperlink" Target="https://x.com/iCrazyTeddy/status/1877438550280458508" TargetMode="External"/><Relationship Id="rId112" Type="http://schemas.openxmlformats.org/officeDocument/2006/relationships/hyperlink" Target="https://x.com/eth_apple/status/1878035765642612751" TargetMode="External"/><Relationship Id="rId557" Type="http://schemas.openxmlformats.org/officeDocument/2006/relationships/hyperlink" Target="https://x.com/cryptomanran/status/1877947285591490583" TargetMode="External"/><Relationship Id="rId764" Type="http://schemas.openxmlformats.org/officeDocument/2006/relationships/hyperlink" Target="https://pbs.twimg.com/profile_images/1862104446634688512/l8DUQ6ns_400x400.jpg" TargetMode="External"/><Relationship Id="rId971" Type="http://schemas.openxmlformats.org/officeDocument/2006/relationships/hyperlink" Target="https://x.com/Cardb00rd/status/1878559702176477481" TargetMode="External"/><Relationship Id="rId1394" Type="http://schemas.openxmlformats.org/officeDocument/2006/relationships/hyperlink" Target="https://x.com/0xBebis_/status/1879255781729763742" TargetMode="External"/><Relationship Id="rId1699" Type="http://schemas.openxmlformats.org/officeDocument/2006/relationships/hyperlink" Target="https://x.com/phunk2243/status/1879324639933153730" TargetMode="External"/><Relationship Id="rId417" Type="http://schemas.openxmlformats.org/officeDocument/2006/relationships/hyperlink" Target="https://pbs.twimg.com/profile_images/1843332857097256960/GrKcXY8G_normal.jpg" TargetMode="External"/><Relationship Id="rId624" Type="http://schemas.openxmlformats.org/officeDocument/2006/relationships/hyperlink" Target="https://pbs.twimg.com/profile_images/1864588990453829637/neLlNQRN_400x400.jpg" TargetMode="External"/><Relationship Id="rId831" Type="http://schemas.openxmlformats.org/officeDocument/2006/relationships/hyperlink" Target="https://pbs.twimg.com/profile_images/1868641179811614720/IOI-gw50_400x400.jpg" TargetMode="External"/><Relationship Id="rId1047" Type="http://schemas.openxmlformats.org/officeDocument/2006/relationships/hyperlink" Target="https://x.com/0xBebis_/status/1879255781729763742" TargetMode="External"/><Relationship Id="rId1254" Type="http://schemas.openxmlformats.org/officeDocument/2006/relationships/hyperlink" Target="https://pbs.twimg.com/profile_images/1835317719626887168/5N8W8Q-a_400x400.jpg" TargetMode="External"/><Relationship Id="rId1461" Type="http://schemas.openxmlformats.org/officeDocument/2006/relationships/hyperlink" Target="https://pbs.twimg.com/profile_images/1846810255038070784/zJZK1ugd_normal.jpg" TargetMode="External"/><Relationship Id="rId929" Type="http://schemas.openxmlformats.org/officeDocument/2006/relationships/hyperlink" Target="https://x.com/todayindefi/status/1879068433188638945" TargetMode="External"/><Relationship Id="rId1114" Type="http://schemas.openxmlformats.org/officeDocument/2006/relationships/hyperlink" Target="https://pbs.twimg.com/profile_images/1607967887305887745/pN-Bl6pc_normal.jpg" TargetMode="External"/><Relationship Id="rId1321" Type="http://schemas.openxmlformats.org/officeDocument/2006/relationships/hyperlink" Target="https://pbs.twimg.com/profile_images/1831358680777781249/aUptST4q_400x400.jpg" TargetMode="External"/><Relationship Id="rId1559" Type="http://schemas.openxmlformats.org/officeDocument/2006/relationships/hyperlink" Target="https://www.cookie.fun/agent/hop" TargetMode="External"/><Relationship Id="rId1766" Type="http://schemas.openxmlformats.org/officeDocument/2006/relationships/hyperlink" Target="https://pbs.twimg.com/profile_images/1850958511137562625/oJQBBFeA_400x400.jpg" TargetMode="External"/><Relationship Id="rId58" Type="http://schemas.openxmlformats.org/officeDocument/2006/relationships/hyperlink" Target="https://x.com/yoheinakajima/status/1877892357292732471" TargetMode="External"/><Relationship Id="rId1419" Type="http://schemas.openxmlformats.org/officeDocument/2006/relationships/hyperlink" Target="https://x.com/0xGunter/status/1878763763672944642" TargetMode="External"/><Relationship Id="rId1626" Type="http://schemas.openxmlformats.org/officeDocument/2006/relationships/hyperlink" Target="https://x.com/camolNFT/status/1878494177236840547" TargetMode="External"/><Relationship Id="rId1833" Type="http://schemas.openxmlformats.org/officeDocument/2006/relationships/hyperlink" Target="https://www.cookie.fun/agent/d00d" TargetMode="External"/><Relationship Id="rId1900" Type="http://schemas.openxmlformats.org/officeDocument/2006/relationships/hyperlink" Target="https://pbs.twimg.com/profile_images/1867240948092006401/uPhTgudc_400x400.jpg" TargetMode="External"/><Relationship Id="rId274" Type="http://schemas.openxmlformats.org/officeDocument/2006/relationships/hyperlink" Target="https://x.com/ugliestduck/status/1877796175656742966" TargetMode="External"/><Relationship Id="rId481" Type="http://schemas.openxmlformats.org/officeDocument/2006/relationships/hyperlink" Target="https://www.cookie.fun/agent/eliza-wakes-up" TargetMode="External"/><Relationship Id="rId134" Type="http://schemas.openxmlformats.org/officeDocument/2006/relationships/hyperlink" Target="https://pbs.twimg.com/profile_images/1876739391827156992/nPxhO4VR_400x400.jpg" TargetMode="External"/><Relationship Id="rId579" Type="http://schemas.openxmlformats.org/officeDocument/2006/relationships/hyperlink" Target="https://pbs.twimg.com/profile_images/1852435658008121344/eKv2ujUv_normal.jpg" TargetMode="External"/><Relationship Id="rId786" Type="http://schemas.openxmlformats.org/officeDocument/2006/relationships/hyperlink" Target="https://pbs.twimg.com/profile_images/1422538477900423170/tRsq0F8Y_normal.png" TargetMode="External"/><Relationship Id="rId993" Type="http://schemas.openxmlformats.org/officeDocument/2006/relationships/hyperlink" Target="https://pbs.twimg.com/profile_images/1855193730426290176/UyV2mnPm_normal.jpg" TargetMode="External"/><Relationship Id="rId341" Type="http://schemas.openxmlformats.org/officeDocument/2006/relationships/hyperlink" Target="https://pbs.twimg.com/profile_images/1644357178319405059/J5e4cyyV_normal.png" TargetMode="External"/><Relationship Id="rId439" Type="http://schemas.openxmlformats.org/officeDocument/2006/relationships/hyperlink" Target="https://pbs.twimg.com/profile_images/1355123076183322625/3tpOFCLO_normal.jpg" TargetMode="External"/><Relationship Id="rId646" Type="http://schemas.openxmlformats.org/officeDocument/2006/relationships/hyperlink" Target="https://www.cookie.fun/agent/aixcb" TargetMode="External"/><Relationship Id="rId1069" Type="http://schemas.openxmlformats.org/officeDocument/2006/relationships/hyperlink" Target="https://x.com/Irenezhao_/status/1877739701068783944" TargetMode="External"/><Relationship Id="rId1276" Type="http://schemas.openxmlformats.org/officeDocument/2006/relationships/hyperlink" Target="https://pbs.twimg.com/profile_images/1578435750160470020/7YO6MA5u_normal.jpg" TargetMode="External"/><Relationship Id="rId1483" Type="http://schemas.openxmlformats.org/officeDocument/2006/relationships/hyperlink" Target="https://x.com/jerallaire/status/1877372800383570147" TargetMode="External"/><Relationship Id="rId201" Type="http://schemas.openxmlformats.org/officeDocument/2006/relationships/hyperlink" Target="https://pbs.twimg.com/profile_images/1416875951082942468/cWN9kZMp_normal.jpg" TargetMode="External"/><Relationship Id="rId506" Type="http://schemas.openxmlformats.org/officeDocument/2006/relationships/hyperlink" Target="https://pbs.twimg.com/profile_images/1865234522695946240/2HlQnE0W_400x400.jpg" TargetMode="External"/><Relationship Id="rId853" Type="http://schemas.openxmlformats.org/officeDocument/2006/relationships/hyperlink" Target="https://pbs.twimg.com/profile_images/1866788413241954306/ZD4kTsGT_400x400.jpg" TargetMode="External"/><Relationship Id="rId1136" Type="http://schemas.openxmlformats.org/officeDocument/2006/relationships/hyperlink" Target="https://www.cookie.fun/chains/solana.svg" TargetMode="External"/><Relationship Id="rId1690" Type="http://schemas.openxmlformats.org/officeDocument/2006/relationships/hyperlink" Target="https://pbs.twimg.com/profile_images/1607439693964267520/4u_BxpEm_normal.jpg" TargetMode="External"/><Relationship Id="rId1788" Type="http://schemas.openxmlformats.org/officeDocument/2006/relationships/hyperlink" Target="https://pbs.twimg.com/profile_images/1721223882185609216/L-GbNfgb_400x400.jpg" TargetMode="External"/><Relationship Id="rId713" Type="http://schemas.openxmlformats.org/officeDocument/2006/relationships/hyperlink" Target="https://x.com/MEXC_Official/status/1877019168609869967" TargetMode="External"/><Relationship Id="rId920" Type="http://schemas.openxmlformats.org/officeDocument/2006/relationships/hyperlink" Target="https://x.com/JoshMcGruff/status/1879335313497264579" TargetMode="External"/><Relationship Id="rId1343" Type="http://schemas.openxmlformats.org/officeDocument/2006/relationships/hyperlink" Target="https://www.cookie.fun/chains/base.svg" TargetMode="External"/><Relationship Id="rId1550" Type="http://schemas.openxmlformats.org/officeDocument/2006/relationships/hyperlink" Target="https://x.com/HogwartsCrypto/status/1877693617088938307" TargetMode="External"/><Relationship Id="rId1648" Type="http://schemas.openxmlformats.org/officeDocument/2006/relationships/hyperlink" Target="https://www.cookie.fun/chains/base.svg" TargetMode="External"/><Relationship Id="rId1203" Type="http://schemas.openxmlformats.org/officeDocument/2006/relationships/hyperlink" Target="https://www.cookie.fun/agent/project-nostradamus" TargetMode="External"/><Relationship Id="rId1410" Type="http://schemas.openxmlformats.org/officeDocument/2006/relationships/hyperlink" Target="https://www.cookie.fun/chains/solana.svg" TargetMode="External"/><Relationship Id="rId1508" Type="http://schemas.openxmlformats.org/officeDocument/2006/relationships/hyperlink" Target="https://www.cookie.fun/agent/misato" TargetMode="External"/><Relationship Id="rId1855" Type="http://schemas.openxmlformats.org/officeDocument/2006/relationships/hyperlink" Target="https://pbs.twimg.com/profile_images/1860006888391208960/lKWOEJfV_normal.jpg" TargetMode="External"/><Relationship Id="rId1715" Type="http://schemas.openxmlformats.org/officeDocument/2006/relationships/hyperlink" Target="https://www.cookie.fun/agent/tsuba" TargetMode="External"/><Relationship Id="rId296" Type="http://schemas.openxmlformats.org/officeDocument/2006/relationships/hyperlink" Target="https://x.com/dcfgod/status/1877785705386062116" TargetMode="External"/><Relationship Id="rId156" Type="http://schemas.openxmlformats.org/officeDocument/2006/relationships/hyperlink" Target="https://x.com/cyrilXBT/status/1877528284684333264" TargetMode="External"/><Relationship Id="rId363" Type="http://schemas.openxmlformats.org/officeDocument/2006/relationships/hyperlink" Target="https://www.cookie.fun/chains/solana.svg" TargetMode="External"/><Relationship Id="rId570" Type="http://schemas.openxmlformats.org/officeDocument/2006/relationships/hyperlink" Target="https://pbs.twimg.com/profile_images/1768029358315171840/ZbsKj_pI_normal.jpg" TargetMode="External"/><Relationship Id="rId223" Type="http://schemas.openxmlformats.org/officeDocument/2006/relationships/hyperlink" Target="https://pbs.twimg.com/profile_images/1663128307393519621/leQ2uGee_normal.jpg" TargetMode="External"/><Relationship Id="rId430" Type="http://schemas.openxmlformats.org/officeDocument/2006/relationships/hyperlink" Target="https://x.com/jakegallen_/status/1878968958310908144" TargetMode="External"/><Relationship Id="rId668" Type="http://schemas.openxmlformats.org/officeDocument/2006/relationships/hyperlink" Target="https://x.com/Alyweb3/status/1878879668427960679" TargetMode="External"/><Relationship Id="rId875" Type="http://schemas.openxmlformats.org/officeDocument/2006/relationships/hyperlink" Target="https://x.com/RealJonahBlake/status/1879308897816805860" TargetMode="External"/><Relationship Id="rId1060" Type="http://schemas.openxmlformats.org/officeDocument/2006/relationships/hyperlink" Target="https://x.com/Tim_4444/status/1877266427196932315" TargetMode="External"/><Relationship Id="rId1298" Type="http://schemas.openxmlformats.org/officeDocument/2006/relationships/hyperlink" Target="https://x.com/cryptomanran/status/1877632384159395935" TargetMode="External"/><Relationship Id="rId528" Type="http://schemas.openxmlformats.org/officeDocument/2006/relationships/hyperlink" Target="https://www.cookie.fun/agent/agency" TargetMode="External"/><Relationship Id="rId735" Type="http://schemas.openxmlformats.org/officeDocument/2006/relationships/hyperlink" Target="https://x.com/liaoblove520/status/1879444313425506631" TargetMode="External"/><Relationship Id="rId942" Type="http://schemas.openxmlformats.org/officeDocument/2006/relationships/hyperlink" Target="https://pbs.twimg.com/profile_images/1601794686397534208/b9X0uVka_normal.png" TargetMode="External"/><Relationship Id="rId1158" Type="http://schemas.openxmlformats.org/officeDocument/2006/relationships/hyperlink" Target="https://pbs.twimg.com/profile_images/1874156302332837889/Q6P0KTv3_normal.jpg" TargetMode="External"/><Relationship Id="rId1365" Type="http://schemas.openxmlformats.org/officeDocument/2006/relationships/hyperlink" Target="https://x.com/AviFelman/status/1879212043259224575" TargetMode="External"/><Relationship Id="rId1572" Type="http://schemas.openxmlformats.org/officeDocument/2006/relationships/hyperlink" Target="https://www.cookie.fun/agent/pulse-bot" TargetMode="External"/><Relationship Id="rId1018" Type="http://schemas.openxmlformats.org/officeDocument/2006/relationships/hyperlink" Target="https://www.cookie.fun/chains/base.svg" TargetMode="External"/><Relationship Id="rId1225" Type="http://schemas.openxmlformats.org/officeDocument/2006/relationships/hyperlink" Target="https://www.cookie.fun/agent/certaik" TargetMode="External"/><Relationship Id="rId1432" Type="http://schemas.openxmlformats.org/officeDocument/2006/relationships/hyperlink" Target="https://www.cookie.fun/agent/sarah" TargetMode="External"/><Relationship Id="rId1877" Type="http://schemas.openxmlformats.org/officeDocument/2006/relationships/hyperlink" Target="https://www.cookie.fun/chains/base.svg" TargetMode="External"/><Relationship Id="rId71" Type="http://schemas.openxmlformats.org/officeDocument/2006/relationships/hyperlink" Target="https://pbs.twimg.com/profile_images/1859616195797823488/qiLRzcjU_normal.jpg" TargetMode="External"/><Relationship Id="rId802" Type="http://schemas.openxmlformats.org/officeDocument/2006/relationships/hyperlink" Target="https://pbs.twimg.com/profile_images/1862088643541663744/6GZ61zsJ_400x400.jpg" TargetMode="External"/><Relationship Id="rId1737" Type="http://schemas.openxmlformats.org/officeDocument/2006/relationships/hyperlink" Target="https://www.cookie.fun/agent/claude" TargetMode="External"/><Relationship Id="rId29" Type="http://schemas.openxmlformats.org/officeDocument/2006/relationships/hyperlink" Target="https://pbs.twimg.com/profile_images/1846579538802982912/9qCfx_WU_normal.jpg" TargetMode="External"/><Relationship Id="rId178" Type="http://schemas.openxmlformats.org/officeDocument/2006/relationships/hyperlink" Target="https://x.com/Degen__Ape__/status/1877643177542201665" TargetMode="External"/><Relationship Id="rId1804" Type="http://schemas.openxmlformats.org/officeDocument/2006/relationships/hyperlink" Target="https://www.cookie.fun/agent/hyperstition" TargetMode="External"/><Relationship Id="rId385" Type="http://schemas.openxmlformats.org/officeDocument/2006/relationships/hyperlink" Target="https://www.cookie.fun/agent/vera" TargetMode="External"/><Relationship Id="rId592" Type="http://schemas.openxmlformats.org/officeDocument/2006/relationships/hyperlink" Target="https://x.com/charles48011843/status/1877237509899563382" TargetMode="External"/><Relationship Id="rId245" Type="http://schemas.openxmlformats.org/officeDocument/2006/relationships/hyperlink" Target="https://pbs.twimg.com/profile_images/1874983006630195200/zQ6Vsyhl_normal.jpg" TargetMode="External"/><Relationship Id="rId452" Type="http://schemas.openxmlformats.org/officeDocument/2006/relationships/hyperlink" Target="https://x.com/0xSleuth_/status/1878824986296852746" TargetMode="External"/><Relationship Id="rId897" Type="http://schemas.openxmlformats.org/officeDocument/2006/relationships/hyperlink" Target="https://x.com/boobs_scary/status/1878346630149124234" TargetMode="External"/><Relationship Id="rId1082" Type="http://schemas.openxmlformats.org/officeDocument/2006/relationships/hyperlink" Target="https://pbs.twimg.com/profile_images/1833982252272795649/YdQvXW46_normal.jpg" TargetMode="External"/><Relationship Id="rId105" Type="http://schemas.openxmlformats.org/officeDocument/2006/relationships/hyperlink" Target="https://pbs.twimg.com/profile_images/1604796574415978496/SIffz3a6_normal.jpg" TargetMode="External"/><Relationship Id="rId312" Type="http://schemas.openxmlformats.org/officeDocument/2006/relationships/hyperlink" Target="https://x.com/TheEliteCrypto/status/1878064495790063807" TargetMode="External"/><Relationship Id="rId757" Type="http://schemas.openxmlformats.org/officeDocument/2006/relationships/hyperlink" Target="https://x.com/rasmr_eth/status/1878972294292210114" TargetMode="External"/><Relationship Id="rId964" Type="http://schemas.openxmlformats.org/officeDocument/2006/relationships/hyperlink" Target="https://pbs.twimg.com/profile_images/1779633957165756418/WUIJVOqw_normal.jpg" TargetMode="External"/><Relationship Id="rId1387" Type="http://schemas.openxmlformats.org/officeDocument/2006/relationships/hyperlink" Target="https://pbs.twimg.com/profile_images/1751098466623946752/Yt6-h4rB_normal.jpg" TargetMode="External"/><Relationship Id="rId1594" Type="http://schemas.openxmlformats.org/officeDocument/2006/relationships/hyperlink" Target="https://x.com/Smokeyjoethepi1/status/1879232274862125250" TargetMode="External"/><Relationship Id="rId93" Type="http://schemas.openxmlformats.org/officeDocument/2006/relationships/hyperlink" Target="https://pbs.twimg.com/profile_images/1877051698528522241/VeDRwz4j_normal.jpg" TargetMode="External"/><Relationship Id="rId617" Type="http://schemas.openxmlformats.org/officeDocument/2006/relationships/hyperlink" Target="https://pbs.twimg.com/profile_images/1761532928452894720/N6A-Up8e_normal.jpg" TargetMode="External"/><Relationship Id="rId824" Type="http://schemas.openxmlformats.org/officeDocument/2006/relationships/hyperlink" Target="https://x.com/fkpxls/status/1879311743824077259" TargetMode="External"/><Relationship Id="rId1247" Type="http://schemas.openxmlformats.org/officeDocument/2006/relationships/hyperlink" Target="https://x.com/Tyler_Did_It/status/1877799867684102224" TargetMode="External"/><Relationship Id="rId1454" Type="http://schemas.openxmlformats.org/officeDocument/2006/relationships/hyperlink" Target="https://www.cookie.fun/agent/fine-wtf" TargetMode="External"/><Relationship Id="rId1661" Type="http://schemas.openxmlformats.org/officeDocument/2006/relationships/hyperlink" Target="https://www.cookie.fun/chains/base.svg" TargetMode="External"/><Relationship Id="rId1899" Type="http://schemas.openxmlformats.org/officeDocument/2006/relationships/hyperlink" Target="https://www.cookie.fun/agent/degenc" TargetMode="External"/><Relationship Id="rId1107" Type="http://schemas.openxmlformats.org/officeDocument/2006/relationships/hyperlink" Target="https://pbs.twimg.com/profile_images/1368455660237697029/291TmVWy_normal.jpg" TargetMode="External"/><Relationship Id="rId1314" Type="http://schemas.openxmlformats.org/officeDocument/2006/relationships/hyperlink" Target="https://pbs.twimg.com/profile_images/1874483608099971072/41AndH6s_400x400.jpg" TargetMode="External"/><Relationship Id="rId1521" Type="http://schemas.openxmlformats.org/officeDocument/2006/relationships/hyperlink" Target="https://pbs.twimg.com/profile_images/1808731402445201409/kVORVEQ4_normal.jpg" TargetMode="External"/><Relationship Id="rId1759" Type="http://schemas.openxmlformats.org/officeDocument/2006/relationships/hyperlink" Target="https://www.cookie.fun/chains/base.svg" TargetMode="External"/><Relationship Id="rId1619" Type="http://schemas.openxmlformats.org/officeDocument/2006/relationships/hyperlink" Target="https://pbs.twimg.com/profile_images/1876631199529267200/IG_L7xhT_normal.jpg" TargetMode="External"/><Relationship Id="rId1826" Type="http://schemas.openxmlformats.org/officeDocument/2006/relationships/hyperlink" Target="https://pbs.twimg.com/profile_images/1680576812202729473/eek6v2Ld_400x400.jpg" TargetMode="External"/><Relationship Id="rId20" Type="http://schemas.openxmlformats.org/officeDocument/2006/relationships/hyperlink" Target="https://x.com/rasmr_eth/status/1877453259331268647" TargetMode="External"/><Relationship Id="rId267" Type="http://schemas.openxmlformats.org/officeDocument/2006/relationships/hyperlink" Target="https://www.cookie.fun/chains/solana.svg" TargetMode="External"/><Relationship Id="rId474" Type="http://schemas.openxmlformats.org/officeDocument/2006/relationships/hyperlink" Target="https://x.com/legendarygainz_/status/1877588866170818873" TargetMode="External"/><Relationship Id="rId127" Type="http://schemas.openxmlformats.org/officeDocument/2006/relationships/hyperlink" Target="https://pbs.twimg.com/profile_images/1766155710432526336/cXUlVP1F_normal.jpg" TargetMode="External"/><Relationship Id="rId681" Type="http://schemas.openxmlformats.org/officeDocument/2006/relationships/hyperlink" Target="https://pbs.twimg.com/profile_images/1784674902290862080/P55wozkH_normal.jpg" TargetMode="External"/><Relationship Id="rId779" Type="http://schemas.openxmlformats.org/officeDocument/2006/relationships/hyperlink" Target="https://pbs.twimg.com/profile_images/1852816604612222976/g0lJgEnp_400x400.jpg" TargetMode="External"/><Relationship Id="rId986" Type="http://schemas.openxmlformats.org/officeDocument/2006/relationships/hyperlink" Target="https://x.com/gammichan/status/1879027711450214615" TargetMode="External"/><Relationship Id="rId334" Type="http://schemas.openxmlformats.org/officeDocument/2006/relationships/hyperlink" Target="https://x.com/Cryppocrates/status/1877697487026229698" TargetMode="External"/><Relationship Id="rId541" Type="http://schemas.openxmlformats.org/officeDocument/2006/relationships/hyperlink" Target="https://pbs.twimg.com/profile_images/1444976013205704704/rczJjKX0_400x400.jpg" TargetMode="External"/><Relationship Id="rId639" Type="http://schemas.openxmlformats.org/officeDocument/2006/relationships/hyperlink" Target="https://x.com/Tyler_Did_It/status/1877342520948015516" TargetMode="External"/><Relationship Id="rId1171" Type="http://schemas.openxmlformats.org/officeDocument/2006/relationships/hyperlink" Target="https://pbs.twimg.com/profile_images/1869085516538286080/l3flH4yb_normal.jpg" TargetMode="External"/><Relationship Id="rId1269" Type="http://schemas.openxmlformats.org/officeDocument/2006/relationships/hyperlink" Target="https://www.cookie.fun/chains/solana.svg" TargetMode="External"/><Relationship Id="rId1476" Type="http://schemas.openxmlformats.org/officeDocument/2006/relationships/hyperlink" Target="https://www.cookie.fun/chains/solana.svg" TargetMode="External"/><Relationship Id="rId401" Type="http://schemas.openxmlformats.org/officeDocument/2006/relationships/hyperlink" Target="https://pbs.twimg.com/profile_images/1820857147430772736/_FKO54r0_normal.jpg" TargetMode="External"/><Relationship Id="rId846" Type="http://schemas.openxmlformats.org/officeDocument/2006/relationships/hyperlink" Target="https://x.com/NftPerks/status/1878758096127889887" TargetMode="External"/><Relationship Id="rId1031" Type="http://schemas.openxmlformats.org/officeDocument/2006/relationships/hyperlink" Target="https://x.com/TheBoggartt/status/1877104353594552794" TargetMode="External"/><Relationship Id="rId1129" Type="http://schemas.openxmlformats.org/officeDocument/2006/relationships/hyperlink" Target="https://x.com/yoitsOG/status/1879298454939447505" TargetMode="External"/><Relationship Id="rId1683" Type="http://schemas.openxmlformats.org/officeDocument/2006/relationships/hyperlink" Target="https://www.cookie.fun/chains/solana.svg" TargetMode="External"/><Relationship Id="rId1890" Type="http://schemas.openxmlformats.org/officeDocument/2006/relationships/hyperlink" Target="https://pbs.twimg.com/profile_images/1849429093751627776/6DUXEURV_400x400.jpg" TargetMode="External"/><Relationship Id="rId706" Type="http://schemas.openxmlformats.org/officeDocument/2006/relationships/hyperlink" Target="https://www.cookie.fun/agent/shoggoth" TargetMode="External"/><Relationship Id="rId913" Type="http://schemas.openxmlformats.org/officeDocument/2006/relationships/hyperlink" Target="https://www.cookie.fun/chains/solana.svg" TargetMode="External"/><Relationship Id="rId1336" Type="http://schemas.openxmlformats.org/officeDocument/2006/relationships/hyperlink" Target="https://www.cookie.fun/chains/solana.svg" TargetMode="External"/><Relationship Id="rId1543" Type="http://schemas.openxmlformats.org/officeDocument/2006/relationships/hyperlink" Target="https://pbs.twimg.com/profile_images/1878415813503528960/PlqL28iE_400x400.jpg" TargetMode="External"/><Relationship Id="rId1750" Type="http://schemas.openxmlformats.org/officeDocument/2006/relationships/hyperlink" Target="https://x.com/HarveyVogelmann/status/1877132996873990316" TargetMode="External"/><Relationship Id="rId42" Type="http://schemas.openxmlformats.org/officeDocument/2006/relationships/hyperlink" Target="https://x.com/S4mmyEth/status/1878996667359264804" TargetMode="External"/><Relationship Id="rId1403" Type="http://schemas.openxmlformats.org/officeDocument/2006/relationships/hyperlink" Target="https://www.cookie.fun/agent/spectra" TargetMode="External"/><Relationship Id="rId1610" Type="http://schemas.openxmlformats.org/officeDocument/2006/relationships/hyperlink" Target="https://x.com/sartocrates/status/1879224994376646885" TargetMode="External"/><Relationship Id="rId1848" Type="http://schemas.openxmlformats.org/officeDocument/2006/relationships/hyperlink" Target="https://www.cookie.fun/chains/solana.svg" TargetMode="External"/><Relationship Id="rId191" Type="http://schemas.openxmlformats.org/officeDocument/2006/relationships/hyperlink" Target="https://pbs.twimg.com/profile_images/1313330188084817920/pRkfjx2j_normal.jpg" TargetMode="External"/><Relationship Id="rId1708" Type="http://schemas.openxmlformats.org/officeDocument/2006/relationships/hyperlink" Target="https://www.cookie.fun/agent/dora-ai" TargetMode="External"/><Relationship Id="rId1915" Type="http://schemas.openxmlformats.org/officeDocument/2006/relationships/hyperlink" Target="https://www.cookie.fun/chains/solana.svg" TargetMode="External"/><Relationship Id="rId289" Type="http://schemas.openxmlformats.org/officeDocument/2006/relationships/hyperlink" Target="https://www.cookie.fun/agent/bully" TargetMode="External"/><Relationship Id="rId496" Type="http://schemas.openxmlformats.org/officeDocument/2006/relationships/hyperlink" Target="https://x.com/egyptk6/status/1877364157747704141" TargetMode="External"/><Relationship Id="rId149" Type="http://schemas.openxmlformats.org/officeDocument/2006/relationships/hyperlink" Target="https://pbs.twimg.com/profile_images/1843110137256452096/08qnoVrZ_normal.jpg" TargetMode="External"/><Relationship Id="rId356" Type="http://schemas.openxmlformats.org/officeDocument/2006/relationships/hyperlink" Target="https://x.com/yellowpantherx/status/1877792383779131452" TargetMode="External"/><Relationship Id="rId563" Type="http://schemas.openxmlformats.org/officeDocument/2006/relationships/hyperlink" Target="https://x.com/cryptomanran/status/1877707118553268721" TargetMode="External"/><Relationship Id="rId770" Type="http://schemas.openxmlformats.org/officeDocument/2006/relationships/hyperlink" Target="https://pbs.twimg.com/profile_images/1874824502007185408/PjRSNG9Y_normal.jpg" TargetMode="External"/><Relationship Id="rId1193" Type="http://schemas.openxmlformats.org/officeDocument/2006/relationships/hyperlink" Target="https://x.com/surfcoderepeat/status/1878141464447742419" TargetMode="External"/><Relationship Id="rId216" Type="http://schemas.openxmlformats.org/officeDocument/2006/relationships/hyperlink" Target="https://x.com/jollygreenmoney/status/1877183094081675347" TargetMode="External"/><Relationship Id="rId423" Type="http://schemas.openxmlformats.org/officeDocument/2006/relationships/hyperlink" Target="https://www.cookie.fun/chains/solana.svg" TargetMode="External"/><Relationship Id="rId868" Type="http://schemas.openxmlformats.org/officeDocument/2006/relationships/hyperlink" Target="https://pbs.twimg.com/profile_images/1846269193370406912/06U5y96x_normal.jpg" TargetMode="External"/><Relationship Id="rId1053" Type="http://schemas.openxmlformats.org/officeDocument/2006/relationships/hyperlink" Target="https://www.cookie.fun/agent/ait" TargetMode="External"/><Relationship Id="rId1260" Type="http://schemas.openxmlformats.org/officeDocument/2006/relationships/hyperlink" Target="https://www.cookie.fun/chains/base.svg" TargetMode="External"/><Relationship Id="rId1498" Type="http://schemas.openxmlformats.org/officeDocument/2006/relationships/hyperlink" Target="https://pbs.twimg.com/profile_images/1863784273104207872/5qbxVWCX_400x400.jpg" TargetMode="External"/><Relationship Id="rId630" Type="http://schemas.openxmlformats.org/officeDocument/2006/relationships/hyperlink" Target="https://x.com/JoshMcGruff/status/1877554590234689585" TargetMode="External"/><Relationship Id="rId728" Type="http://schemas.openxmlformats.org/officeDocument/2006/relationships/hyperlink" Target="https://pbs.twimg.com/profile_images/1829954676172754944/AY0XOTPa_normal.jpg" TargetMode="External"/><Relationship Id="rId935" Type="http://schemas.openxmlformats.org/officeDocument/2006/relationships/hyperlink" Target="https://pbs.twimg.com/profile_images/1867760164222164994/iSohIGSx_400x400.jpg" TargetMode="External"/><Relationship Id="rId1358" Type="http://schemas.openxmlformats.org/officeDocument/2006/relationships/hyperlink" Target="https://pbs.twimg.com/profile_images/1848823420336934913/oI0-xNGe_400x400.jpg" TargetMode="External"/><Relationship Id="rId1565" Type="http://schemas.openxmlformats.org/officeDocument/2006/relationships/hyperlink" Target="https://pbs.twimg.com/profile_images/1857788769467842560/yWEOMlTs_400x400.jpg" TargetMode="External"/><Relationship Id="rId1772" Type="http://schemas.openxmlformats.org/officeDocument/2006/relationships/hyperlink" Target="https://pbs.twimg.com/profile_images/1871338028641234945/Y_RE41IX_400x400.jpg" TargetMode="External"/><Relationship Id="rId64" Type="http://schemas.openxmlformats.org/officeDocument/2006/relationships/hyperlink" Target="https://x.com/osf_rekt/status/1878516979868332327" TargetMode="External"/><Relationship Id="rId1120" Type="http://schemas.openxmlformats.org/officeDocument/2006/relationships/hyperlink" Target="https://pbs.twimg.com/profile_images/1756834155231682560/UeM0PbMO_normal.jpg" TargetMode="External"/><Relationship Id="rId1218" Type="http://schemas.openxmlformats.org/officeDocument/2006/relationships/hyperlink" Target="https://x.com/BoredElonMusk/status/1878620365402030448" TargetMode="External"/><Relationship Id="rId1425" Type="http://schemas.openxmlformats.org/officeDocument/2006/relationships/hyperlink" Target="https://www.cookie.fun/agent/kira" TargetMode="External"/><Relationship Id="rId1632" Type="http://schemas.openxmlformats.org/officeDocument/2006/relationships/hyperlink" Target="https://x.com/LBank_Exchange/status/1879464712502747318" TargetMode="External"/><Relationship Id="rId280" Type="http://schemas.openxmlformats.org/officeDocument/2006/relationships/hyperlink" Target="https://x.com/Slokh/status/1877829321139564695" TargetMode="External"/><Relationship Id="rId140" Type="http://schemas.openxmlformats.org/officeDocument/2006/relationships/hyperlink" Target="https://x.com/DeFiTracer/status/1879190467839197675" TargetMode="External"/><Relationship Id="rId378" Type="http://schemas.openxmlformats.org/officeDocument/2006/relationships/hyperlink" Target="https://x.com/Rothmus/status/1879384000877457595" TargetMode="External"/><Relationship Id="rId585" Type="http://schemas.openxmlformats.org/officeDocument/2006/relationships/hyperlink" Target="https://pbs.twimg.com/profile_images/1752542271365431296/pFGfGnRC_normal.jpg" TargetMode="External"/><Relationship Id="rId792" Type="http://schemas.openxmlformats.org/officeDocument/2006/relationships/hyperlink" Target="https://www.cookie.fun/chains/solana.svg" TargetMode="External"/><Relationship Id="rId6" Type="http://schemas.openxmlformats.org/officeDocument/2006/relationships/hyperlink" Target="https://x.com/JoeyMooose/status/1877883122190012904" TargetMode="External"/><Relationship Id="rId238" Type="http://schemas.openxmlformats.org/officeDocument/2006/relationships/hyperlink" Target="https://x.com/CoinbaseAssets/status/1879309995268858298" TargetMode="External"/><Relationship Id="rId445" Type="http://schemas.openxmlformats.org/officeDocument/2006/relationships/hyperlink" Target="https://www.cookie.fun/agent/rei" TargetMode="External"/><Relationship Id="rId652" Type="http://schemas.openxmlformats.org/officeDocument/2006/relationships/hyperlink" Target="https://pbs.twimg.com/profile_images/1875116624673464321/j5Tvajd8_normal.jpg" TargetMode="External"/><Relationship Id="rId1075" Type="http://schemas.openxmlformats.org/officeDocument/2006/relationships/hyperlink" Target="https://x.com/Irenezhao_/status/1877672916759801971" TargetMode="External"/><Relationship Id="rId1282" Type="http://schemas.openxmlformats.org/officeDocument/2006/relationships/hyperlink" Target="https://pbs.twimg.com/profile_images/1869172659415552001/dSJ8MyCJ_400x400.jpg" TargetMode="External"/><Relationship Id="rId305" Type="http://schemas.openxmlformats.org/officeDocument/2006/relationships/hyperlink" Target="https://pbs.twimg.com/profile_images/1464770850293534720/AdOJJAHw_normal.jpg" TargetMode="External"/><Relationship Id="rId512" Type="http://schemas.openxmlformats.org/officeDocument/2006/relationships/hyperlink" Target="https://x.com/KING__KEMBA/status/1878257007985148003" TargetMode="External"/><Relationship Id="rId957" Type="http://schemas.openxmlformats.org/officeDocument/2006/relationships/hyperlink" Target="https://x.com/thepropgallery/status/1877091052865089726" TargetMode="External"/><Relationship Id="rId1142" Type="http://schemas.openxmlformats.org/officeDocument/2006/relationships/hyperlink" Target="https://pbs.twimg.com/profile_images/1752826759504965632/_BJV6z9l_normal.jpg" TargetMode="External"/><Relationship Id="rId1587" Type="http://schemas.openxmlformats.org/officeDocument/2006/relationships/hyperlink" Target="https://x.com/erequendiweb3/status/1878522670125380014" TargetMode="External"/><Relationship Id="rId1794" Type="http://schemas.openxmlformats.org/officeDocument/2006/relationships/hyperlink" Target="https://pbs.twimg.com/profile_images/1812154656342065152/8EI4kI0A_400x400.jpg" TargetMode="External"/><Relationship Id="rId86" Type="http://schemas.openxmlformats.org/officeDocument/2006/relationships/hyperlink" Target="https://pbs.twimg.com/profile_images/1858425877094170624/0Rt_PsU6_400x400.jpg" TargetMode="External"/><Relationship Id="rId817" Type="http://schemas.openxmlformats.org/officeDocument/2006/relationships/hyperlink" Target="https://x.com/0xcryptowizard/status/1877200255004942640" TargetMode="External"/><Relationship Id="rId1002" Type="http://schemas.openxmlformats.org/officeDocument/2006/relationships/hyperlink" Target="https://pbs.twimg.com/profile_images/1749941408197451776/gk9Gro7o_normal.jpg" TargetMode="External"/><Relationship Id="rId1447" Type="http://schemas.openxmlformats.org/officeDocument/2006/relationships/hyperlink" Target="https://www.cookie.fun/agent/lenda" TargetMode="External"/><Relationship Id="rId1654" Type="http://schemas.openxmlformats.org/officeDocument/2006/relationships/hyperlink" Target="https://x.com/everythingempt0/status/1878356696193810742" TargetMode="External"/><Relationship Id="rId1861" Type="http://schemas.openxmlformats.org/officeDocument/2006/relationships/hyperlink" Target="https://www.cookie.fun/agent/etholana" TargetMode="External"/><Relationship Id="rId1307" Type="http://schemas.openxmlformats.org/officeDocument/2006/relationships/hyperlink" Target="https://pbs.twimg.com/profile_images/1874769738162712576/U9nykgto_normal.jpg" TargetMode="External"/><Relationship Id="rId1514" Type="http://schemas.openxmlformats.org/officeDocument/2006/relationships/hyperlink" Target="https://pbs.twimg.com/profile_images/1869696037709041664/KV7BpbYk_normal.jpg" TargetMode="External"/><Relationship Id="rId1721" Type="http://schemas.openxmlformats.org/officeDocument/2006/relationships/hyperlink" Target="https://x.com/AprilCumberland/status/1877289634839117923" TargetMode="External"/><Relationship Id="rId13" Type="http://schemas.openxmlformats.org/officeDocument/2006/relationships/hyperlink" Target="https://www.cookie.fun/agent/fartcoin" TargetMode="External"/><Relationship Id="rId1819" Type="http://schemas.openxmlformats.org/officeDocument/2006/relationships/hyperlink" Target="https://pbs.twimg.com/profile_images/1554027145420500992/0oOUOv6L_normal.jpg" TargetMode="External"/><Relationship Id="rId162" Type="http://schemas.openxmlformats.org/officeDocument/2006/relationships/hyperlink" Target="https://x.com/jkrdoc/status/1877816642119315650" TargetMode="External"/><Relationship Id="rId467" Type="http://schemas.openxmlformats.org/officeDocument/2006/relationships/hyperlink" Target="https://pbs.twimg.com/profile_images/1711456639990050816/XeYR609M_normal.jpg" TargetMode="External"/><Relationship Id="rId1097" Type="http://schemas.openxmlformats.org/officeDocument/2006/relationships/hyperlink" Target="https://pbs.twimg.com/profile_images/1847563671310127106/SAQZSToZ_normal.jpg" TargetMode="External"/><Relationship Id="rId674" Type="http://schemas.openxmlformats.org/officeDocument/2006/relationships/hyperlink" Target="https://pbs.twimg.com/profile_images/1863644428541497344/7heoPSyN_400x400.jpg" TargetMode="External"/><Relationship Id="rId881" Type="http://schemas.openxmlformats.org/officeDocument/2006/relationships/hyperlink" Target="https://x.com/ChartFuMonkey/status/1879118642337751339" TargetMode="External"/><Relationship Id="rId979" Type="http://schemas.openxmlformats.org/officeDocument/2006/relationships/hyperlink" Target="https://x.com/GemsScope/status/1877768793650270609" TargetMode="External"/><Relationship Id="rId327" Type="http://schemas.openxmlformats.org/officeDocument/2006/relationships/hyperlink" Target="https://www.cookie.fun/chains/solana.svg" TargetMode="External"/><Relationship Id="rId534" Type="http://schemas.openxmlformats.org/officeDocument/2006/relationships/hyperlink" Target="https://pbs.twimg.com/profile_images/1619729617098506243/FZLFQ6He_normal.jpg" TargetMode="External"/><Relationship Id="rId741" Type="http://schemas.openxmlformats.org/officeDocument/2006/relationships/hyperlink" Target="https://x.com/minstrell_/status/1877018570657255424" TargetMode="External"/><Relationship Id="rId839" Type="http://schemas.openxmlformats.org/officeDocument/2006/relationships/hyperlink" Target="https://x.com/ghost93_x/status/1878471029258911833" TargetMode="External"/><Relationship Id="rId1164" Type="http://schemas.openxmlformats.org/officeDocument/2006/relationships/hyperlink" Target="https://x.com/onchainarmy/status/1878151443426734491" TargetMode="External"/><Relationship Id="rId1371" Type="http://schemas.openxmlformats.org/officeDocument/2006/relationships/hyperlink" Target="https://x.com/jvb_xyz/status/1878809907258163706" TargetMode="External"/><Relationship Id="rId1469" Type="http://schemas.openxmlformats.org/officeDocument/2006/relationships/hyperlink" Target="https://x.com/DAnconia_Crypto/status/1877019982069981228" TargetMode="External"/><Relationship Id="rId601" Type="http://schemas.openxmlformats.org/officeDocument/2006/relationships/hyperlink" Target="https://www.cookie.fun/chains/solana.svg" TargetMode="External"/><Relationship Id="rId1024" Type="http://schemas.openxmlformats.org/officeDocument/2006/relationships/hyperlink" Target="https://pbs.twimg.com/profile_images/1856479912011440128/WhuuUxEc_normal.jpg" TargetMode="External"/><Relationship Id="rId1231" Type="http://schemas.openxmlformats.org/officeDocument/2006/relationships/hyperlink" Target="https://pbs.twimg.com/profile_images/1500686052612182017/c3HpUqOT_normal.jpg" TargetMode="External"/><Relationship Id="rId1676" Type="http://schemas.openxmlformats.org/officeDocument/2006/relationships/hyperlink" Target="https://x.com/keigowda/status/1878720743183458497" TargetMode="External"/><Relationship Id="rId1883" Type="http://schemas.openxmlformats.org/officeDocument/2006/relationships/hyperlink" Target="https://www.cookie.fun/chains/base.svg" TargetMode="External"/><Relationship Id="rId906" Type="http://schemas.openxmlformats.org/officeDocument/2006/relationships/hyperlink" Target="https://x.com/AbrarTheCrypto_/status/1878019236519698477" TargetMode="External"/><Relationship Id="rId1329" Type="http://schemas.openxmlformats.org/officeDocument/2006/relationships/hyperlink" Target="https://pbs.twimg.com/profile_images/1864760161178652673/TxP791K7_400x400.jpg" TargetMode="External"/><Relationship Id="rId1536" Type="http://schemas.openxmlformats.org/officeDocument/2006/relationships/hyperlink" Target="https://pbs.twimg.com/profile_images/1876986110871531520/Az99HVRp_normal.jpg" TargetMode="External"/><Relationship Id="rId1743" Type="http://schemas.openxmlformats.org/officeDocument/2006/relationships/hyperlink" Target="https://pbs.twimg.com/profile_images/1875271016336752640/Q0r4ZU0A_400x400.jpg" TargetMode="External"/><Relationship Id="rId35" Type="http://schemas.openxmlformats.org/officeDocument/2006/relationships/hyperlink" Target="https://pbs.twimg.com/profile_images/1742415759064862720/hhhPE87f_normal.jpg" TargetMode="External"/><Relationship Id="rId1603" Type="http://schemas.openxmlformats.org/officeDocument/2006/relationships/hyperlink" Target="https://www.cookie.fun/chains/base.svg" TargetMode="External"/><Relationship Id="rId1810" Type="http://schemas.openxmlformats.org/officeDocument/2006/relationships/hyperlink" Target="https://pbs.twimg.com/profile_images/1867896799769341952/Y4DNDAXP_400x400.jpg" TargetMode="External"/><Relationship Id="rId184" Type="http://schemas.openxmlformats.org/officeDocument/2006/relationships/hyperlink" Target="https://x.com/gem_insider/status/1877027185103356105" TargetMode="External"/><Relationship Id="rId391" Type="http://schemas.openxmlformats.org/officeDocument/2006/relationships/hyperlink" Target="https://pbs.twimg.com/profile_images/1826272616354660352/GTUwX_rD_normal.jpg" TargetMode="External"/><Relationship Id="rId1908" Type="http://schemas.openxmlformats.org/officeDocument/2006/relationships/hyperlink" Target="https://pbs.twimg.com/profile_images/1855033534303391744/cc7M4VvN_400x400.jpg" TargetMode="External"/><Relationship Id="rId251" Type="http://schemas.openxmlformats.org/officeDocument/2006/relationships/hyperlink" Target="https://pbs.twimg.com/profile_images/1874983006630195200/zQ6Vsyhl_normal.jpg" TargetMode="External"/><Relationship Id="rId489" Type="http://schemas.openxmlformats.org/officeDocument/2006/relationships/hyperlink" Target="https://pbs.twimg.com/profile_images/1871330840774426625/pjvENjuB_normal.jpg" TargetMode="External"/><Relationship Id="rId696" Type="http://schemas.openxmlformats.org/officeDocument/2006/relationships/hyperlink" Target="https://x.com/kurorosage/status/1879253461747040412" TargetMode="External"/><Relationship Id="rId349" Type="http://schemas.openxmlformats.org/officeDocument/2006/relationships/hyperlink" Target="https://www.cookie.fun/agent/agent-yp" TargetMode="External"/><Relationship Id="rId556" Type="http://schemas.openxmlformats.org/officeDocument/2006/relationships/hyperlink" Target="https://pbs.twimg.com/profile_images/1834157145299763200/Fh1b6K9r_normal.jpg" TargetMode="External"/><Relationship Id="rId763" Type="http://schemas.openxmlformats.org/officeDocument/2006/relationships/hyperlink" Target="https://www.cookie.fun/agent/aion-5100" TargetMode="External"/><Relationship Id="rId1186" Type="http://schemas.openxmlformats.org/officeDocument/2006/relationships/hyperlink" Target="https://www.cookie.fun/chains/solana.svg" TargetMode="External"/><Relationship Id="rId1393" Type="http://schemas.openxmlformats.org/officeDocument/2006/relationships/hyperlink" Target="https://www.cookie.fun/chains/solana.svg" TargetMode="External"/><Relationship Id="rId111" Type="http://schemas.openxmlformats.org/officeDocument/2006/relationships/hyperlink" Target="https://www.cookie.fun/chains/solana.svg" TargetMode="External"/><Relationship Id="rId209" Type="http://schemas.openxmlformats.org/officeDocument/2006/relationships/hyperlink" Target="https://pbs.twimg.com/profile_images/1644208356523909122/M6D7PfWS_normal.jpg" TargetMode="External"/><Relationship Id="rId416" Type="http://schemas.openxmlformats.org/officeDocument/2006/relationships/hyperlink" Target="https://x.com/shahh/status/1878187881862209921" TargetMode="External"/><Relationship Id="rId970" Type="http://schemas.openxmlformats.org/officeDocument/2006/relationships/hyperlink" Target="https://pbs.twimg.com/profile_images/1779633957165756418/WUIJVOqw_normal.jpg" TargetMode="External"/><Relationship Id="rId1046" Type="http://schemas.openxmlformats.org/officeDocument/2006/relationships/hyperlink" Target="https://www.cookie.fun/chains/base.svg" TargetMode="External"/><Relationship Id="rId1253" Type="http://schemas.openxmlformats.org/officeDocument/2006/relationships/hyperlink" Target="https://www.cookie.fun/agent/octowallet" TargetMode="External"/><Relationship Id="rId1698" Type="http://schemas.openxmlformats.org/officeDocument/2006/relationships/hyperlink" Target="https://www.cookie.fun/chains/solana.svg" TargetMode="External"/><Relationship Id="rId623" Type="http://schemas.openxmlformats.org/officeDocument/2006/relationships/hyperlink" Target="https://www.cookie.fun/agent/ai-shell-nova" TargetMode="External"/><Relationship Id="rId830" Type="http://schemas.openxmlformats.org/officeDocument/2006/relationships/hyperlink" Target="https://www.cookie.fun/agent/limbo" TargetMode="External"/><Relationship Id="rId928" Type="http://schemas.openxmlformats.org/officeDocument/2006/relationships/hyperlink" Target="https://pbs.twimg.com/profile_images/1612298772343816192/5o1KRFB8_normal.jpg" TargetMode="External"/><Relationship Id="rId1460" Type="http://schemas.openxmlformats.org/officeDocument/2006/relationships/hyperlink" Target="https://x.com/AmeerWeb3/status/1877829559002734954" TargetMode="External"/><Relationship Id="rId1558" Type="http://schemas.openxmlformats.org/officeDocument/2006/relationships/hyperlink" Target="https://www.cookie.fun/chains/base.svg" TargetMode="External"/><Relationship Id="rId1765" Type="http://schemas.openxmlformats.org/officeDocument/2006/relationships/hyperlink" Target="https://www.cookie.fun/agent/arok-vc" TargetMode="External"/><Relationship Id="rId57" Type="http://schemas.openxmlformats.org/officeDocument/2006/relationships/hyperlink" Target="https://pbs.twimg.com/profile_images/1821240923331948548/if6d_PRO_normal.jpg" TargetMode="External"/><Relationship Id="rId1113" Type="http://schemas.openxmlformats.org/officeDocument/2006/relationships/hyperlink" Target="https://x.com/AutismCapital/status/1879382506522415283" TargetMode="External"/><Relationship Id="rId1320" Type="http://schemas.openxmlformats.org/officeDocument/2006/relationships/hyperlink" Target="https://www.cookie.fun/agent/forest" TargetMode="External"/><Relationship Id="rId1418" Type="http://schemas.openxmlformats.org/officeDocument/2006/relationships/hyperlink" Target="https://pbs.twimg.com/profile_images/1857549433409339392/9OSv_Jnu_normal.jpg" TargetMode="External"/><Relationship Id="rId1625" Type="http://schemas.openxmlformats.org/officeDocument/2006/relationships/hyperlink" Target="https://pbs.twimg.com/profile_images/1823694633588719616/HrwBd8MQ_normal.jpg" TargetMode="External"/><Relationship Id="rId1832" Type="http://schemas.openxmlformats.org/officeDocument/2006/relationships/hyperlink" Target="https://www.cookie.fun/chains/base.svg" TargetMode="External"/><Relationship Id="rId273" Type="http://schemas.openxmlformats.org/officeDocument/2006/relationships/hyperlink" Target="https://pbs.twimg.com/profile_images/1833249183706583042/KmF6NY6__normal.jpg" TargetMode="External"/><Relationship Id="rId480" Type="http://schemas.openxmlformats.org/officeDocument/2006/relationships/hyperlink" Target="https://x.com/avocado_toast2/status/1877822598806921285" TargetMode="External"/><Relationship Id="rId133" Type="http://schemas.openxmlformats.org/officeDocument/2006/relationships/hyperlink" Target="https://www.cookie.fun/agent/chaingpt" TargetMode="External"/><Relationship Id="rId340" Type="http://schemas.openxmlformats.org/officeDocument/2006/relationships/hyperlink" Target="https://x.com/nobrainflip/status/1878174381932695717" TargetMode="External"/><Relationship Id="rId578" Type="http://schemas.openxmlformats.org/officeDocument/2006/relationships/hyperlink" Target="https://x.com/solanasteve_/status/1877486335239373003" TargetMode="External"/><Relationship Id="rId785" Type="http://schemas.openxmlformats.org/officeDocument/2006/relationships/hyperlink" Target="https://x.com/CoinbaseAssets/status/1878873511369847218" TargetMode="External"/><Relationship Id="rId992" Type="http://schemas.openxmlformats.org/officeDocument/2006/relationships/hyperlink" Target="https://x.com/basilda_a/status/1877768898214601102" TargetMode="External"/><Relationship Id="rId200" Type="http://schemas.openxmlformats.org/officeDocument/2006/relationships/hyperlink" Target="https://x.com/VaderResearch/status/1877343400757965264" TargetMode="External"/><Relationship Id="rId438" Type="http://schemas.openxmlformats.org/officeDocument/2006/relationships/hyperlink" Target="https://x.com/traderrocko/status/1877098332209709314" TargetMode="External"/><Relationship Id="rId645" Type="http://schemas.openxmlformats.org/officeDocument/2006/relationships/hyperlink" Target="https://x.com/sleepy0x13/status/1877296765092901063" TargetMode="External"/><Relationship Id="rId852" Type="http://schemas.openxmlformats.org/officeDocument/2006/relationships/hyperlink" Target="https://www.cookie.fun/agent/mizuki" TargetMode="External"/><Relationship Id="rId1068" Type="http://schemas.openxmlformats.org/officeDocument/2006/relationships/hyperlink" Target="https://pbs.twimg.com/profile_images/1423875044598456321/SVjwd6Bb_normal.jpg" TargetMode="External"/><Relationship Id="rId1275" Type="http://schemas.openxmlformats.org/officeDocument/2006/relationships/hyperlink" Target="https://x.com/demonegoo/status/1877420569412428136" TargetMode="External"/><Relationship Id="rId1482" Type="http://schemas.openxmlformats.org/officeDocument/2006/relationships/hyperlink" Target="https://pbs.twimg.com/profile_images/1762203537981788160/EELgUbyY_normal.jpg" TargetMode="External"/><Relationship Id="rId505" Type="http://schemas.openxmlformats.org/officeDocument/2006/relationships/hyperlink" Target="https://www.cookie.fun/agent/kwant" TargetMode="External"/><Relationship Id="rId712" Type="http://schemas.openxmlformats.org/officeDocument/2006/relationships/hyperlink" Target="https://pbs.twimg.com/profile_images/1786874758421983232/L06COzZ-_normal.jpg" TargetMode="External"/><Relationship Id="rId1135" Type="http://schemas.openxmlformats.org/officeDocument/2006/relationships/hyperlink" Target="https://pbs.twimg.com/profile_images/1866663871379017728/z_VXv6Vu_400x400.jpg" TargetMode="External"/><Relationship Id="rId1342" Type="http://schemas.openxmlformats.org/officeDocument/2006/relationships/hyperlink" Target="https://pbs.twimg.com/profile_images/1859124422776680450/8sI7cwpm_400x400.jpg" TargetMode="External"/><Relationship Id="rId1787" Type="http://schemas.openxmlformats.org/officeDocument/2006/relationships/hyperlink" Target="https://www.cookie.fun/agent/bad" TargetMode="External"/><Relationship Id="rId79" Type="http://schemas.openxmlformats.org/officeDocument/2006/relationships/hyperlink" Target="https://pbs.twimg.com/profile_images/1551586710873550848/8_M8f6ds_normal.jpg" TargetMode="External"/><Relationship Id="rId1202" Type="http://schemas.openxmlformats.org/officeDocument/2006/relationships/hyperlink" Target="https://pbs.twimg.com/profile_images/1801175932314480641/8EhejS8-_normal.jpg" TargetMode="External"/><Relationship Id="rId1647" Type="http://schemas.openxmlformats.org/officeDocument/2006/relationships/hyperlink" Target="https://pbs.twimg.com/profile_images/1870246943148089345/EnhDWSl7_400x400.jpg" TargetMode="External"/><Relationship Id="rId1854" Type="http://schemas.openxmlformats.org/officeDocument/2006/relationships/hyperlink" Target="https://x.com/GodsUnchained/status/1877525811290415196" TargetMode="External"/><Relationship Id="rId1507" Type="http://schemas.openxmlformats.org/officeDocument/2006/relationships/hyperlink" Target="https://www.cookie.fun/chains/solana.svg" TargetMode="External"/><Relationship Id="rId1714" Type="http://schemas.openxmlformats.org/officeDocument/2006/relationships/hyperlink" Target="https://pbs.twimg.com/profile_images/1596397627645444097/DBO9K1Xg_normal.jpg" TargetMode="External"/><Relationship Id="rId295" Type="http://schemas.openxmlformats.org/officeDocument/2006/relationships/hyperlink" Target="https://pbs.twimg.com/profile_images/1876328550187347968/dXRqbM9f_normal.jpg" TargetMode="External"/><Relationship Id="rId155" Type="http://schemas.openxmlformats.org/officeDocument/2006/relationships/hyperlink" Target="https://pbs.twimg.com/profile_images/1843332857097256960/GrKcXY8G_normal.jpg" TargetMode="External"/><Relationship Id="rId362" Type="http://schemas.openxmlformats.org/officeDocument/2006/relationships/hyperlink" Target="https://pbs.twimg.com/profile_images/1849437252453040128/VaWuupdu_400x400.jpg" TargetMode="External"/><Relationship Id="rId1297" Type="http://schemas.openxmlformats.org/officeDocument/2006/relationships/hyperlink" Target="https://www.cookie.fun/chains/solana.svg" TargetMode="External"/><Relationship Id="rId222" Type="http://schemas.openxmlformats.org/officeDocument/2006/relationships/hyperlink" Target="https://x.com/apixtwts/status/1878857486708642148" TargetMode="External"/><Relationship Id="rId667" Type="http://schemas.openxmlformats.org/officeDocument/2006/relationships/hyperlink" Target="https://pbs.twimg.com/profile_images/1732097798424662016/XksPWfST_normal.jpg" TargetMode="External"/><Relationship Id="rId874" Type="http://schemas.openxmlformats.org/officeDocument/2006/relationships/hyperlink" Target="https://pbs.twimg.com/profile_images/1846269193370406912/06U5y96x_normal.jpg" TargetMode="External"/><Relationship Id="rId527" Type="http://schemas.openxmlformats.org/officeDocument/2006/relationships/hyperlink" Target="https://x.com/AOTMgallery/status/1878832492804800607" TargetMode="External"/><Relationship Id="rId734" Type="http://schemas.openxmlformats.org/officeDocument/2006/relationships/hyperlink" Target="https://pbs.twimg.com/profile_images/1873654337639247872/kMfJdZWl_normal.jpg" TargetMode="External"/><Relationship Id="rId941" Type="http://schemas.openxmlformats.org/officeDocument/2006/relationships/hyperlink" Target="https://x.com/scizors_eth/status/1877241164400632201" TargetMode="External"/><Relationship Id="rId1157" Type="http://schemas.openxmlformats.org/officeDocument/2006/relationships/hyperlink" Target="https://x.com/dapanji_eth/status/1878924132450267617" TargetMode="External"/><Relationship Id="rId1364" Type="http://schemas.openxmlformats.org/officeDocument/2006/relationships/hyperlink" Target="https://pbs.twimg.com/profile_images/1691174347388399617/AnNwWdzS_normal.jpg" TargetMode="External"/><Relationship Id="rId1571" Type="http://schemas.openxmlformats.org/officeDocument/2006/relationships/hyperlink" Target="https://pbs.twimg.com/profile_images/1785909064188530688/6pVGdxWW_normal.jpg" TargetMode="External"/><Relationship Id="rId70" Type="http://schemas.openxmlformats.org/officeDocument/2006/relationships/hyperlink" Target="https://x.com/osf_rekt/status/1878763886901637232" TargetMode="External"/><Relationship Id="rId801" Type="http://schemas.openxmlformats.org/officeDocument/2006/relationships/hyperlink" Target="https://www.cookie.fun/agent/otto" TargetMode="External"/><Relationship Id="rId1017" Type="http://schemas.openxmlformats.org/officeDocument/2006/relationships/hyperlink" Target="https://pbs.twimg.com/profile_images/1875848848914198528/dTDQkdua_400x400.jpg" TargetMode="External"/><Relationship Id="rId1224" Type="http://schemas.openxmlformats.org/officeDocument/2006/relationships/hyperlink" Target="https://pbs.twimg.com/profile_images/1745561226371846144/v2DO9VLS_normal.jpg" TargetMode="External"/><Relationship Id="rId1431" Type="http://schemas.openxmlformats.org/officeDocument/2006/relationships/hyperlink" Target="https://pbs.twimg.com/profile_images/1738726339056656384/gxNUdFvb_normal.jpg" TargetMode="External"/><Relationship Id="rId1669" Type="http://schemas.openxmlformats.org/officeDocument/2006/relationships/hyperlink" Target="https://x.com/Block100x/status/1878991874985484713" TargetMode="External"/><Relationship Id="rId1876" Type="http://schemas.openxmlformats.org/officeDocument/2006/relationships/hyperlink" Target="https://pbs.twimg.com/profile_images/1866373340866265088/109yjOJE_400x400.jpg" TargetMode="External"/><Relationship Id="rId1529" Type="http://schemas.openxmlformats.org/officeDocument/2006/relationships/hyperlink" Target="https://www.cookie.fun/chains/solana.svg" TargetMode="External"/><Relationship Id="rId1736" Type="http://schemas.openxmlformats.org/officeDocument/2006/relationships/hyperlink" Target="https://pbs.twimg.com/profile_images/1840527197846544384/5jIIuNGx_normal.jpg" TargetMode="External"/><Relationship Id="rId28" Type="http://schemas.openxmlformats.org/officeDocument/2006/relationships/hyperlink" Target="https://x.com/Defi0xJeff/status/1878777766474399886" TargetMode="External"/><Relationship Id="rId1803" Type="http://schemas.openxmlformats.org/officeDocument/2006/relationships/hyperlink" Target="https://pbs.twimg.com/profile_images/1870832561464950784/UIkwiMLI_400x400.jpg" TargetMode="External"/><Relationship Id="rId177" Type="http://schemas.openxmlformats.org/officeDocument/2006/relationships/hyperlink" Target="https://pbs.twimg.com/profile_images/1721158078765424640/hFrzagyZ_normal.jpg" TargetMode="External"/><Relationship Id="rId384" Type="http://schemas.openxmlformats.org/officeDocument/2006/relationships/hyperlink" Target="https://x.com/traderrocko/status/1877712558238437838" TargetMode="External"/><Relationship Id="rId591" Type="http://schemas.openxmlformats.org/officeDocument/2006/relationships/hyperlink" Target="https://pbs.twimg.com/profile_images/1788180813420335104/45kP5pCI_normal.jpg" TargetMode="External"/><Relationship Id="rId244" Type="http://schemas.openxmlformats.org/officeDocument/2006/relationships/hyperlink" Target="https://x.com/RealKatoOG/status/1877365830507225231" TargetMode="External"/><Relationship Id="rId689" Type="http://schemas.openxmlformats.org/officeDocument/2006/relationships/hyperlink" Target="https://pbs.twimg.com/profile_images/1752826759504965632/_BJV6z9l_normal.jpg" TargetMode="External"/><Relationship Id="rId896" Type="http://schemas.openxmlformats.org/officeDocument/2006/relationships/hyperlink" Target="https://pbs.twimg.com/profile_images/1815592146910466048/qQzzHE0R_normal.jpg" TargetMode="External"/><Relationship Id="rId1081" Type="http://schemas.openxmlformats.org/officeDocument/2006/relationships/hyperlink" Target="https://x.com/DamiDefi/status/1878425706423808310" TargetMode="External"/><Relationship Id="rId451" Type="http://schemas.openxmlformats.org/officeDocument/2006/relationships/hyperlink" Target="https://pbs.twimg.com/profile_images/1745635933859237888/GaxhvQWS_normal.jpg" TargetMode="External"/><Relationship Id="rId549" Type="http://schemas.openxmlformats.org/officeDocument/2006/relationships/hyperlink" Target="https://x.com/randomcdog/status/1877267787791417806" TargetMode="External"/><Relationship Id="rId756" Type="http://schemas.openxmlformats.org/officeDocument/2006/relationships/hyperlink" Target="https://www.cookie.fun/chains/solana.svg" TargetMode="External"/><Relationship Id="rId1179" Type="http://schemas.openxmlformats.org/officeDocument/2006/relationships/hyperlink" Target="https://pbs.twimg.com/profile_images/1818670359903617024/LO_CXF5C_normal.jpg" TargetMode="External"/><Relationship Id="rId1386" Type="http://schemas.openxmlformats.org/officeDocument/2006/relationships/hyperlink" Target="https://x.com/official_verge_/status/1878905328118665538" TargetMode="External"/><Relationship Id="rId1593" Type="http://schemas.openxmlformats.org/officeDocument/2006/relationships/hyperlink" Target="https://pbs.twimg.com/profile_images/1624131627054923776/LBkY1wv9_normal.jpg" TargetMode="External"/><Relationship Id="rId104" Type="http://schemas.openxmlformats.org/officeDocument/2006/relationships/hyperlink" Target="https://x.com/coingecko/status/1879026993754407041" TargetMode="External"/><Relationship Id="rId311" Type="http://schemas.openxmlformats.org/officeDocument/2006/relationships/hyperlink" Target="https://pbs.twimg.com/profile_images/1860310507384696832/WL2oKqW0_normal.jpg" TargetMode="External"/><Relationship Id="rId409" Type="http://schemas.openxmlformats.org/officeDocument/2006/relationships/hyperlink" Target="https://www.cookie.fun/agent/tetsuo" TargetMode="External"/><Relationship Id="rId963" Type="http://schemas.openxmlformats.org/officeDocument/2006/relationships/hyperlink" Target="https://x.com/TheCryptoKazi/status/1877045781368111292" TargetMode="External"/><Relationship Id="rId1039" Type="http://schemas.openxmlformats.org/officeDocument/2006/relationships/hyperlink" Target="https://www.cookie.fun/agent/degen-spartan-ai" TargetMode="External"/><Relationship Id="rId1246" Type="http://schemas.openxmlformats.org/officeDocument/2006/relationships/hyperlink" Target="https://pbs.twimg.com/profile_images/1760942755545800704/wFBpdSgp_normal.jpg" TargetMode="External"/><Relationship Id="rId1898" Type="http://schemas.openxmlformats.org/officeDocument/2006/relationships/hyperlink" Target="https://pbs.twimg.com/profile_images/1855193730426290176/UyV2mnPm_normal.jpg" TargetMode="External"/><Relationship Id="rId92" Type="http://schemas.openxmlformats.org/officeDocument/2006/relationships/hyperlink" Target="https://x.com/tervoooo/status/1878104372791460042" TargetMode="External"/><Relationship Id="rId616" Type="http://schemas.openxmlformats.org/officeDocument/2006/relationships/hyperlink" Target="https://x.com/CryptoKaduna/status/1878529087578222703" TargetMode="External"/><Relationship Id="rId823" Type="http://schemas.openxmlformats.org/officeDocument/2006/relationships/hyperlink" Target="https://pbs.twimg.com/profile_images/1779182656770781184/qF8wJPrf_400x400.jpg" TargetMode="External"/><Relationship Id="rId1453" Type="http://schemas.openxmlformats.org/officeDocument/2006/relationships/hyperlink" Target="https://pbs.twimg.com/profile_images/1838913974504771584/Wzg_Ec0R_normal.jpg" TargetMode="External"/><Relationship Id="rId1660" Type="http://schemas.openxmlformats.org/officeDocument/2006/relationships/hyperlink" Target="https://pbs.twimg.com/profile_images/1863736573914681344/e3FnArrc_400x400.jpg" TargetMode="External"/><Relationship Id="rId1758" Type="http://schemas.openxmlformats.org/officeDocument/2006/relationships/hyperlink" Target="https://pbs.twimg.com/profile_images/1876371070489387008/YgIVG_BS_400x400.jpg" TargetMode="External"/><Relationship Id="rId1106" Type="http://schemas.openxmlformats.org/officeDocument/2006/relationships/hyperlink" Target="https://x.com/FarmerBrownDeFi/status/1879245637079961696" TargetMode="External"/><Relationship Id="rId1313" Type="http://schemas.openxmlformats.org/officeDocument/2006/relationships/hyperlink" Target="https://www.cookie.fun/agent/plant" TargetMode="External"/><Relationship Id="rId1520" Type="http://schemas.openxmlformats.org/officeDocument/2006/relationships/hyperlink" Target="https://x.com/pentcle/status/1877451788229529625" TargetMode="External"/><Relationship Id="rId1618" Type="http://schemas.openxmlformats.org/officeDocument/2006/relationships/hyperlink" Target="https://x.com/CapoXXIII/status/1879069713462137204" TargetMode="External"/><Relationship Id="rId1825" Type="http://schemas.openxmlformats.org/officeDocument/2006/relationships/hyperlink" Target="https://www.cookie.fun/agent/kiri" TargetMode="External"/><Relationship Id="rId199" Type="http://schemas.openxmlformats.org/officeDocument/2006/relationships/hyperlink" Target="https://pbs.twimg.com/profile_images/1416875951082942468/cWN9kZMp_normal.jpg" TargetMode="External"/><Relationship Id="rId266" Type="http://schemas.openxmlformats.org/officeDocument/2006/relationships/hyperlink" Target="https://pbs.twimg.com/profile_images/1870102143828426753/qjPH3KhL_400x400.jpg" TargetMode="External"/><Relationship Id="rId473" Type="http://schemas.openxmlformats.org/officeDocument/2006/relationships/hyperlink" Target="https://pbs.twimg.com/profile_images/1609778151369883648/dgvqvUMB_normal.jpg" TargetMode="External"/><Relationship Id="rId680" Type="http://schemas.openxmlformats.org/officeDocument/2006/relationships/hyperlink" Target="https://x.com/nicedayJules/status/1877390684178755965" TargetMode="External"/><Relationship Id="rId126" Type="http://schemas.openxmlformats.org/officeDocument/2006/relationships/hyperlink" Target="https://x.com/notthreadguy/status/1879038636769083557" TargetMode="External"/><Relationship Id="rId333" Type="http://schemas.openxmlformats.org/officeDocument/2006/relationships/hyperlink" Target="https://pbs.twimg.com/profile_images/1871330840774426625/pjvENjuB_normal.jpg" TargetMode="External"/><Relationship Id="rId540" Type="http://schemas.openxmlformats.org/officeDocument/2006/relationships/hyperlink" Target="https://www.cookie.fun/agent/otto-the-intern-of-botto" TargetMode="External"/><Relationship Id="rId778" Type="http://schemas.openxmlformats.org/officeDocument/2006/relationships/hyperlink" Target="https://www.cookie.fun/agent/peanut-the-squirrel" TargetMode="External"/><Relationship Id="rId985" Type="http://schemas.openxmlformats.org/officeDocument/2006/relationships/hyperlink" Target="https://www.cookie.fun/chains/solana.svg" TargetMode="External"/><Relationship Id="rId1170" Type="http://schemas.openxmlformats.org/officeDocument/2006/relationships/hyperlink" Target="https://x.com/yoshi_jdcomm/status/1879301424909308399" TargetMode="External"/><Relationship Id="rId638" Type="http://schemas.openxmlformats.org/officeDocument/2006/relationships/hyperlink" Target="https://pbs.twimg.com/profile_images/1593307551457738752/xT7UmPH0_normal.jpg" TargetMode="External"/><Relationship Id="rId845" Type="http://schemas.openxmlformats.org/officeDocument/2006/relationships/hyperlink" Target="https://pbs.twimg.com/profile_images/1778366683888914433/GBWz-Jp__normal.jpg" TargetMode="External"/><Relationship Id="rId1030" Type="http://schemas.openxmlformats.org/officeDocument/2006/relationships/hyperlink" Target="https://www.cookie.fun/chains/solana.svg" TargetMode="External"/><Relationship Id="rId1268" Type="http://schemas.openxmlformats.org/officeDocument/2006/relationships/hyperlink" Target="https://pbs.twimg.com/profile_images/1859413180201451520/P33uaiWi_400x400.jpg" TargetMode="External"/><Relationship Id="rId1475" Type="http://schemas.openxmlformats.org/officeDocument/2006/relationships/hyperlink" Target="https://pbs.twimg.com/profile_images/1857262271614849024/fjW66uO1_400x400.jpg" TargetMode="External"/><Relationship Id="rId1682" Type="http://schemas.openxmlformats.org/officeDocument/2006/relationships/hyperlink" Target="https://pbs.twimg.com/profile_images/1866490073270620160/mC9RQDyc_400x400.jpg" TargetMode="External"/><Relationship Id="rId400" Type="http://schemas.openxmlformats.org/officeDocument/2006/relationships/hyperlink" Target="https://x.com/Flowslikeosmo/status/1878629066519294308" TargetMode="External"/><Relationship Id="rId705" Type="http://schemas.openxmlformats.org/officeDocument/2006/relationships/hyperlink" Target="https://pbs.twimg.com/profile_images/1868157932564877312/aYZ3InKy_normal.jpg" TargetMode="External"/><Relationship Id="rId1128" Type="http://schemas.openxmlformats.org/officeDocument/2006/relationships/hyperlink" Target="https://pbs.twimg.com/profile_images/1775346225019072513/gWL-bbsT_normal.jpg" TargetMode="External"/><Relationship Id="rId1335" Type="http://schemas.openxmlformats.org/officeDocument/2006/relationships/hyperlink" Target="https://pbs.twimg.com/profile_images/1869771048477986816/krSR5jvx_400x400.jpg" TargetMode="External"/><Relationship Id="rId1542" Type="http://schemas.openxmlformats.org/officeDocument/2006/relationships/hyperlink" Target="https://www.cookie.fun/agent/trend-agent" TargetMode="External"/><Relationship Id="rId912" Type="http://schemas.openxmlformats.org/officeDocument/2006/relationships/hyperlink" Target="https://pbs.twimg.com/profile_images/1851347164103901186/0W7XUrzh_400x400.jpg" TargetMode="External"/><Relationship Id="rId1847" Type="http://schemas.openxmlformats.org/officeDocument/2006/relationships/hyperlink" Target="https://pbs.twimg.com/profile_images/1865949213781086208/AKkCVABB_400x400.jpg" TargetMode="External"/><Relationship Id="rId41" Type="http://schemas.openxmlformats.org/officeDocument/2006/relationships/hyperlink" Target="https://pbs.twimg.com/profile_images/1590573382734692352/Y_tzJcdY_normal.jpg" TargetMode="External"/><Relationship Id="rId1402" Type="http://schemas.openxmlformats.org/officeDocument/2006/relationships/hyperlink" Target="https://pbs.twimg.com/profile_images/1840527197846544384/5jIIuNGx_normal.jpg" TargetMode="External"/><Relationship Id="rId1707" Type="http://schemas.openxmlformats.org/officeDocument/2006/relationships/hyperlink" Target="https://www.cookie.fun/chains/base.svg" TargetMode="External"/><Relationship Id="rId190" Type="http://schemas.openxmlformats.org/officeDocument/2006/relationships/hyperlink" Target="https://x.com/CryptoExpert101/status/1879001872301969845" TargetMode="External"/><Relationship Id="rId288" Type="http://schemas.openxmlformats.org/officeDocument/2006/relationships/hyperlink" Target="https://x.com/rainbowdotme/status/1879325385571311891" TargetMode="External"/><Relationship Id="rId1914" Type="http://schemas.openxmlformats.org/officeDocument/2006/relationships/hyperlink" Target="https://pbs.twimg.com/profile_images/1879080942712520704/q3Ypq5Lm_400x400.jpg" TargetMode="External"/><Relationship Id="rId495" Type="http://schemas.openxmlformats.org/officeDocument/2006/relationships/hyperlink" Target="https://www.cookie.fun/chains/solana.svg" TargetMode="External"/><Relationship Id="rId148" Type="http://schemas.openxmlformats.org/officeDocument/2006/relationships/hyperlink" Target="https://x.com/cyrilXBT/status/1878176052520050782" TargetMode="External"/><Relationship Id="rId355" Type="http://schemas.openxmlformats.org/officeDocument/2006/relationships/hyperlink" Target="https://pbs.twimg.com/profile_images/1733260923094155264/VUqJ7HGV_normal.jpg" TargetMode="External"/><Relationship Id="rId562" Type="http://schemas.openxmlformats.org/officeDocument/2006/relationships/hyperlink" Target="https://pbs.twimg.com/profile_images/1459203645782831117/GURd33BT_normal.jpg" TargetMode="External"/><Relationship Id="rId1192" Type="http://schemas.openxmlformats.org/officeDocument/2006/relationships/hyperlink" Target="https://pbs.twimg.com/profile_images/1493663247509209089/owi6u6KC_normal.jpg" TargetMode="External"/><Relationship Id="rId215" Type="http://schemas.openxmlformats.org/officeDocument/2006/relationships/hyperlink" Target="https://pbs.twimg.com/profile_images/1352548197835681793/P8tRO3U2_normal.jpg" TargetMode="External"/><Relationship Id="rId422" Type="http://schemas.openxmlformats.org/officeDocument/2006/relationships/hyperlink" Target="https://pbs.twimg.com/profile_images/1874977886915923968/ioWAcczd_400x400.jpg" TargetMode="External"/><Relationship Id="rId867" Type="http://schemas.openxmlformats.org/officeDocument/2006/relationships/hyperlink" Target="https://x.com/RealJonahBlake/status/1877856053146099823" TargetMode="External"/><Relationship Id="rId1052" Type="http://schemas.openxmlformats.org/officeDocument/2006/relationships/hyperlink" Target="https://pbs.twimg.com/profile_images/1875747557445361665/3IWSaZY-_normal.jpg" TargetMode="External"/><Relationship Id="rId1497" Type="http://schemas.openxmlformats.org/officeDocument/2006/relationships/hyperlink" Target="https://www.cookie.fun/agent/pls" TargetMode="External"/><Relationship Id="rId727" Type="http://schemas.openxmlformats.org/officeDocument/2006/relationships/hyperlink" Target="https://x.com/mrpunkdoteth/status/1879508914645184898" TargetMode="External"/><Relationship Id="rId934" Type="http://schemas.openxmlformats.org/officeDocument/2006/relationships/hyperlink" Target="https://www.cookie.fun/agent/ongo" TargetMode="External"/><Relationship Id="rId1357" Type="http://schemas.openxmlformats.org/officeDocument/2006/relationships/hyperlink" Target="https://www.cookie.fun/agent/reality-spiral" TargetMode="External"/><Relationship Id="rId1564" Type="http://schemas.openxmlformats.org/officeDocument/2006/relationships/hyperlink" Target="https://www.cookie.fun/agent/tardi" TargetMode="External"/><Relationship Id="rId1771" Type="http://schemas.openxmlformats.org/officeDocument/2006/relationships/hyperlink" Target="https://www.cookie.fun/agent/t3" TargetMode="External"/><Relationship Id="rId63" Type="http://schemas.openxmlformats.org/officeDocument/2006/relationships/hyperlink" Target="https://www.cookie.fun/chains/ethereum.svg" TargetMode="External"/><Relationship Id="rId1217" Type="http://schemas.openxmlformats.org/officeDocument/2006/relationships/hyperlink" Target="https://www.cookie.fun/chains/solana.svg" TargetMode="External"/><Relationship Id="rId1424" Type="http://schemas.openxmlformats.org/officeDocument/2006/relationships/hyperlink" Target="https://pbs.twimg.com/profile_images/1805572620760268800/8bVV6P20_normal.jpg" TargetMode="External"/><Relationship Id="rId1631" Type="http://schemas.openxmlformats.org/officeDocument/2006/relationships/hyperlink" Target="https://pbs.twimg.com/profile_images/1741228410397999104/hSup_xwc_normal.jpg" TargetMode="External"/><Relationship Id="rId1869" Type="http://schemas.openxmlformats.org/officeDocument/2006/relationships/hyperlink" Target="https://www.cookie.fun/agent/chad-onchain" TargetMode="External"/><Relationship Id="rId1729" Type="http://schemas.openxmlformats.org/officeDocument/2006/relationships/hyperlink" Target="https://pbs.twimg.com/profile_images/1848281351608221696/TUGl7g0l_normal.jpg" TargetMode="External"/><Relationship Id="rId377" Type="http://schemas.openxmlformats.org/officeDocument/2006/relationships/hyperlink" Target="https://pbs.twimg.com/profile_images/1536483903774531586/KHNPU1AN_normal.jpg" TargetMode="External"/><Relationship Id="rId584" Type="http://schemas.openxmlformats.org/officeDocument/2006/relationships/hyperlink" Target="https://x.com/wenwencoin/status/1878455643650068535" TargetMode="External"/><Relationship Id="rId5" Type="http://schemas.openxmlformats.org/officeDocument/2006/relationships/hyperlink" Target="https://pbs.twimg.com/profile_images/1874825832637603840/Pz4JvKsD_normal.jpg" TargetMode="External"/><Relationship Id="rId237" Type="http://schemas.openxmlformats.org/officeDocument/2006/relationships/hyperlink" Target="https://pbs.twimg.com/profile_images/1795636010442985473/zxOfI_KX_normal.jpg" TargetMode="External"/><Relationship Id="rId791" Type="http://schemas.openxmlformats.org/officeDocument/2006/relationships/hyperlink" Target="https://pbs.twimg.com/profile_images/1869219264202223616/01Y9jTDS_400x400.png" TargetMode="External"/><Relationship Id="rId889" Type="http://schemas.openxmlformats.org/officeDocument/2006/relationships/hyperlink" Target="https://pbs.twimg.com/profile_images/1854908646905257985/VWHB7Lyu_400x400.jpg" TargetMode="External"/><Relationship Id="rId1074" Type="http://schemas.openxmlformats.org/officeDocument/2006/relationships/hyperlink" Target="https://pbs.twimg.com/profile_images/1423875044598456321/SVjwd6Bb_normal.jpg" TargetMode="External"/><Relationship Id="rId444" Type="http://schemas.openxmlformats.org/officeDocument/2006/relationships/hyperlink" Target="https://x.com/BTCTN/status/1877368901966696717" TargetMode="External"/><Relationship Id="rId651" Type="http://schemas.openxmlformats.org/officeDocument/2006/relationships/hyperlink" Target="https://x.com/IntractCampaign/status/1878305919974637611" TargetMode="External"/><Relationship Id="rId749" Type="http://schemas.openxmlformats.org/officeDocument/2006/relationships/hyperlink" Target="https://x.com/dsmartsol/status/1879299310640095415" TargetMode="External"/><Relationship Id="rId1281" Type="http://schemas.openxmlformats.org/officeDocument/2006/relationships/hyperlink" Target="https://www.cookie.fun/agent/j3ff" TargetMode="External"/><Relationship Id="rId1379" Type="http://schemas.openxmlformats.org/officeDocument/2006/relationships/hyperlink" Target="https://www.cookie.fun/agent/top-hat-cat" TargetMode="External"/><Relationship Id="rId1586" Type="http://schemas.openxmlformats.org/officeDocument/2006/relationships/hyperlink" Target="https://pbs.twimg.com/profile_images/1869882085843808256/YX7XpTx7_400x400.jpg" TargetMode="External"/><Relationship Id="rId304" Type="http://schemas.openxmlformats.org/officeDocument/2006/relationships/hyperlink" Target="https://x.com/nillionnetwork/status/1877352690675564613" TargetMode="External"/><Relationship Id="rId511" Type="http://schemas.openxmlformats.org/officeDocument/2006/relationships/hyperlink" Target="https://pbs.twimg.com/profile_images/1862157648151330816/kNpAyFt6_normal.jpg" TargetMode="External"/><Relationship Id="rId609" Type="http://schemas.openxmlformats.org/officeDocument/2006/relationships/hyperlink" Target="https://pbs.twimg.com/profile_images/1701808179599036416/pYJ05V___normal.jpg" TargetMode="External"/><Relationship Id="rId956" Type="http://schemas.openxmlformats.org/officeDocument/2006/relationships/hyperlink" Target="https://pbs.twimg.com/profile_images/1784948860973981696/g4KjSRCu_normal.jpg" TargetMode="External"/><Relationship Id="rId1141" Type="http://schemas.openxmlformats.org/officeDocument/2006/relationships/hyperlink" Target="https://x.com/ghost93_x/status/1879033909960396821" TargetMode="External"/><Relationship Id="rId1239" Type="http://schemas.openxmlformats.org/officeDocument/2006/relationships/hyperlink" Target="https://pbs.twimg.com/profile_images/1868298971837255680/cN-ikO7h_normal.jpg" TargetMode="External"/><Relationship Id="rId1793" Type="http://schemas.openxmlformats.org/officeDocument/2006/relationships/hyperlink" Target="https://www.cookie.fun/agent/tadz-agent" TargetMode="External"/><Relationship Id="rId85" Type="http://schemas.openxmlformats.org/officeDocument/2006/relationships/hyperlink" Target="https://www.cookie.fun/agent/henlo" TargetMode="External"/><Relationship Id="rId816" Type="http://schemas.openxmlformats.org/officeDocument/2006/relationships/hyperlink" Target="https://pbs.twimg.com/profile_images/1423875044598456321/SVjwd6Bb_normal.jpg" TargetMode="External"/><Relationship Id="rId1001" Type="http://schemas.openxmlformats.org/officeDocument/2006/relationships/hyperlink" Target="https://x.com/EmblemVault/status/1877884129288790282" TargetMode="External"/><Relationship Id="rId1446" Type="http://schemas.openxmlformats.org/officeDocument/2006/relationships/hyperlink" Target="https://www.cookie.fun/chains/solana.svg" TargetMode="External"/><Relationship Id="rId1653" Type="http://schemas.openxmlformats.org/officeDocument/2006/relationships/hyperlink" Target="https://www.cookie.fun/chains/base.svg" TargetMode="External"/><Relationship Id="rId1860" Type="http://schemas.openxmlformats.org/officeDocument/2006/relationships/hyperlink" Target="https://pbs.twimg.com/profile_images/1806079994000478208/PyfujI-a_normal.jpg" TargetMode="External"/><Relationship Id="rId1306" Type="http://schemas.openxmlformats.org/officeDocument/2006/relationships/hyperlink" Target="https://x.com/SeedifyFund/status/1879216695748841759" TargetMode="External"/><Relationship Id="rId1513" Type="http://schemas.openxmlformats.org/officeDocument/2006/relationships/hyperlink" Target="https://x.com/Zeneca/status/1879498737057460617" TargetMode="External"/><Relationship Id="rId1720" Type="http://schemas.openxmlformats.org/officeDocument/2006/relationships/hyperlink" Target="https://www.cookie.fun/chains/base.svg" TargetMode="External"/><Relationship Id="rId12" Type="http://schemas.openxmlformats.org/officeDocument/2006/relationships/hyperlink" Target="https://x.com/Rewkang/status/1878949342377345491" TargetMode="External"/><Relationship Id="rId1818" Type="http://schemas.openxmlformats.org/officeDocument/2006/relationships/hyperlink" Target="https://x.com/BiteyeCN/status/1877249880021942569" TargetMode="External"/><Relationship Id="rId161" Type="http://schemas.openxmlformats.org/officeDocument/2006/relationships/hyperlink" Target="https://pbs.twimg.com/profile_images/1872986386166382592/KMNgNBSv_normal.jpg" TargetMode="External"/><Relationship Id="rId399" Type="http://schemas.openxmlformats.org/officeDocument/2006/relationships/hyperlink" Target="https://www.cookie.fun/chains/solana.svg" TargetMode="External"/><Relationship Id="rId259" Type="http://schemas.openxmlformats.org/officeDocument/2006/relationships/hyperlink" Target="https://pbs.twimg.com/profile_images/1761532928452894720/N6A-Up8e_normal.jpg" TargetMode="External"/><Relationship Id="rId466" Type="http://schemas.openxmlformats.org/officeDocument/2006/relationships/hyperlink" Target="https://x.com/ChillTRD/status/1879377985851334741" TargetMode="External"/><Relationship Id="rId673" Type="http://schemas.openxmlformats.org/officeDocument/2006/relationships/hyperlink" Target="https://www.cookie.fun/agent/asym" TargetMode="External"/><Relationship Id="rId880" Type="http://schemas.openxmlformats.org/officeDocument/2006/relationships/hyperlink" Target="https://pbs.twimg.com/profile_images/1765921509879537664/dAebweUc_normal.jpg" TargetMode="External"/><Relationship Id="rId1096" Type="http://schemas.openxmlformats.org/officeDocument/2006/relationships/hyperlink" Target="https://x.com/cryptotrader85/status/1878879200637231374" TargetMode="External"/><Relationship Id="rId119" Type="http://schemas.openxmlformats.org/officeDocument/2006/relationships/hyperlink" Target="https://pbs.twimg.com/profile_images/1699992200392712192/vA21X1rr_normal.jpg" TargetMode="External"/><Relationship Id="rId326" Type="http://schemas.openxmlformats.org/officeDocument/2006/relationships/hyperlink" Target="https://pbs.twimg.com/profile_images/1876644412060770304/gK4sbibW_400x400.jpg" TargetMode="External"/><Relationship Id="rId533" Type="http://schemas.openxmlformats.org/officeDocument/2006/relationships/hyperlink" Target="https://x.com/coinesper/status/1877690474372202595" TargetMode="External"/><Relationship Id="rId978" Type="http://schemas.openxmlformats.org/officeDocument/2006/relationships/hyperlink" Target="https://pbs.twimg.com/profile_images/1684526956266635264/xdq5pFT5_normal.jpg" TargetMode="External"/><Relationship Id="rId1163" Type="http://schemas.openxmlformats.org/officeDocument/2006/relationships/hyperlink" Target="https://www.cookie.fun/chains/solana.svg" TargetMode="External"/><Relationship Id="rId1370" Type="http://schemas.openxmlformats.org/officeDocument/2006/relationships/hyperlink" Target="https://pbs.twimg.com/profile_images/1735599963969556481/YxZMdKMn_normal.jpg" TargetMode="External"/><Relationship Id="rId740" Type="http://schemas.openxmlformats.org/officeDocument/2006/relationships/hyperlink" Target="https://pbs.twimg.com/profile_images/1585198113794494470/BklvuxQy_normal.jpg" TargetMode="External"/><Relationship Id="rId838" Type="http://schemas.openxmlformats.org/officeDocument/2006/relationships/hyperlink" Target="https://pbs.twimg.com/profile_images/1752826759504965632/_BJV6z9l_normal.jpg" TargetMode="External"/><Relationship Id="rId1023" Type="http://schemas.openxmlformats.org/officeDocument/2006/relationships/hyperlink" Target="https://x.com/cooldown_eth/status/1879309813571854748" TargetMode="External"/><Relationship Id="rId1468" Type="http://schemas.openxmlformats.org/officeDocument/2006/relationships/hyperlink" Target="https://pbs.twimg.com/profile_images/1667663760994062343/tZKyyd-O_normal.jpg" TargetMode="External"/><Relationship Id="rId1675" Type="http://schemas.openxmlformats.org/officeDocument/2006/relationships/hyperlink" Target="https://pbs.twimg.com/profile_images/1627883596861042688/Qjtf93Zv_normal.jpg" TargetMode="External"/><Relationship Id="rId1882" Type="http://schemas.openxmlformats.org/officeDocument/2006/relationships/hyperlink" Target="https://pbs.twimg.com/profile_images/1859074255088123904/5G-zRaO5_400x400.jpg" TargetMode="External"/><Relationship Id="rId600" Type="http://schemas.openxmlformats.org/officeDocument/2006/relationships/hyperlink" Target="https://pbs.twimg.com/profile_images/1856169719058841600/wKC9a-5f_400x400.jpg" TargetMode="External"/><Relationship Id="rId1230" Type="http://schemas.openxmlformats.org/officeDocument/2006/relationships/hyperlink" Target="https://x.com/jack__sanford/status/1878863221446398135" TargetMode="External"/><Relationship Id="rId1328" Type="http://schemas.openxmlformats.org/officeDocument/2006/relationships/hyperlink" Target="https://www.cookie.fun/agent/overlord" TargetMode="External"/><Relationship Id="rId1535" Type="http://schemas.openxmlformats.org/officeDocument/2006/relationships/hyperlink" Target="https://x.com/MetaMona_/status/1877504575961256003" TargetMode="External"/><Relationship Id="rId905" Type="http://schemas.openxmlformats.org/officeDocument/2006/relationships/hyperlink" Target="https://pbs.twimg.com/profile_images/1745081671756472320/PBIlV2do_normal.jpg" TargetMode="External"/><Relationship Id="rId1742" Type="http://schemas.openxmlformats.org/officeDocument/2006/relationships/hyperlink" Target="https://www.cookie.fun/agent/lily-warden" TargetMode="External"/><Relationship Id="rId34" Type="http://schemas.openxmlformats.org/officeDocument/2006/relationships/hyperlink" Target="https://x.com/tonyplasencia3/status/1877050092328267780" TargetMode="External"/><Relationship Id="rId1602" Type="http://schemas.openxmlformats.org/officeDocument/2006/relationships/hyperlink" Target="https://pbs.twimg.com/profile_images/1771183612748034048/VJnfA7F7_400x400.jpg" TargetMode="External"/><Relationship Id="rId183" Type="http://schemas.openxmlformats.org/officeDocument/2006/relationships/hyperlink" Target="https://www.cookie.fun/chains/solana.svg" TargetMode="External"/><Relationship Id="rId390" Type="http://schemas.openxmlformats.org/officeDocument/2006/relationships/hyperlink" Target="https://x.com/CryptoGarga/status/1878836750791119211" TargetMode="External"/><Relationship Id="rId1907" Type="http://schemas.openxmlformats.org/officeDocument/2006/relationships/hyperlink" Target="https://www.cookie.fun/agent/high-ai" TargetMode="External"/><Relationship Id="rId250" Type="http://schemas.openxmlformats.org/officeDocument/2006/relationships/hyperlink" Target="https://x.com/RealKatoOG/status/1878177481007435920" TargetMode="External"/><Relationship Id="rId488" Type="http://schemas.openxmlformats.org/officeDocument/2006/relationships/hyperlink" Target="https://x.com/Cryppocrates/status/1877739068705948113" TargetMode="External"/><Relationship Id="rId695" Type="http://schemas.openxmlformats.org/officeDocument/2006/relationships/hyperlink" Target="https://pbs.twimg.com/profile_images/1752826759504965632/_BJV6z9l_normal.jpg" TargetMode="External"/><Relationship Id="rId110" Type="http://schemas.openxmlformats.org/officeDocument/2006/relationships/hyperlink" Target="https://pbs.twimg.com/profile_images/1861683543350616067/zJEJdZZc_400x400.jpg" TargetMode="External"/><Relationship Id="rId348" Type="http://schemas.openxmlformats.org/officeDocument/2006/relationships/hyperlink" Target="https://x.com/econoar/status/1877090081162539208" TargetMode="External"/><Relationship Id="rId555" Type="http://schemas.openxmlformats.org/officeDocument/2006/relationships/hyperlink" Target="https://x.com/cryptomanran/status/1877632384159395935" TargetMode="External"/><Relationship Id="rId762" Type="http://schemas.openxmlformats.org/officeDocument/2006/relationships/hyperlink" Target="https://pbs.twimg.com/profile_images/1871596575354413056/ivDFWKbb_normal.jpg" TargetMode="External"/><Relationship Id="rId1185" Type="http://schemas.openxmlformats.org/officeDocument/2006/relationships/hyperlink" Target="https://pbs.twimg.com/profile_images/1854577887870926867/_6Iqcp_C_400x400.jpg" TargetMode="External"/><Relationship Id="rId1392" Type="http://schemas.openxmlformats.org/officeDocument/2006/relationships/hyperlink" Target="https://pbs.twimg.com/profile_images/1864780324716318723/042e0cRa_400x400.jpg" TargetMode="External"/><Relationship Id="rId208" Type="http://schemas.openxmlformats.org/officeDocument/2006/relationships/hyperlink" Target="https://x.com/rovercrc/status/1878803710819610858" TargetMode="External"/><Relationship Id="rId415" Type="http://schemas.openxmlformats.org/officeDocument/2006/relationships/hyperlink" Target="https://pbs.twimg.com/profile_images/1804303024593985537/JJgqufyl_normal.jpg" TargetMode="External"/><Relationship Id="rId622" Type="http://schemas.openxmlformats.org/officeDocument/2006/relationships/hyperlink" Target="https://x.com/Altcoinist_com/status/1878044778186604877" TargetMode="External"/><Relationship Id="rId1045" Type="http://schemas.openxmlformats.org/officeDocument/2006/relationships/hyperlink" Target="https://pbs.twimg.com/profile_images/1866626786399780864/rm7xDNBH_400x400.png" TargetMode="External"/><Relationship Id="rId1252" Type="http://schemas.openxmlformats.org/officeDocument/2006/relationships/hyperlink" Target="https://pbs.twimg.com/profile_images/1846050908196478976/xPBmmzHw_normal.jpg" TargetMode="External"/><Relationship Id="rId1697" Type="http://schemas.openxmlformats.org/officeDocument/2006/relationships/hyperlink" Target="https://pbs.twimg.com/profile_images/1810920136523567104/vXqxWDjn_400x400.jpg" TargetMode="External"/><Relationship Id="rId927" Type="http://schemas.openxmlformats.org/officeDocument/2006/relationships/hyperlink" Target="https://x.com/TATrader_Alan/status/1877841346784002217" TargetMode="External"/><Relationship Id="rId1112" Type="http://schemas.openxmlformats.org/officeDocument/2006/relationships/hyperlink" Target="https://www.cookie.fun/chains/solana.svg" TargetMode="External"/><Relationship Id="rId1557" Type="http://schemas.openxmlformats.org/officeDocument/2006/relationships/hyperlink" Target="https://pbs.twimg.com/profile_images/1872316244939997185/CACydRNk_400x400.jpg" TargetMode="External"/><Relationship Id="rId1764" Type="http://schemas.openxmlformats.org/officeDocument/2006/relationships/hyperlink" Target="https://pbs.twimg.com/profile_images/1608683899596546058/VVPhDnAa_normal.jpg" TargetMode="External"/><Relationship Id="rId56" Type="http://schemas.openxmlformats.org/officeDocument/2006/relationships/hyperlink" Target="https://x.com/clwnwrldnjyr/status/1878076925761225163" TargetMode="External"/><Relationship Id="rId1417" Type="http://schemas.openxmlformats.org/officeDocument/2006/relationships/hyperlink" Target="https://x.com/0xGunter/status/1877761236600811662" TargetMode="External"/><Relationship Id="rId1624" Type="http://schemas.openxmlformats.org/officeDocument/2006/relationships/hyperlink" Target="https://x.com/Nafwyd/status/1877797160445521933" TargetMode="External"/><Relationship Id="rId1831" Type="http://schemas.openxmlformats.org/officeDocument/2006/relationships/hyperlink" Target="https://pbs.twimg.com/profile_images/1860558233833988096/pdWWsdsv_400x400.jpg" TargetMode="External"/><Relationship Id="rId272" Type="http://schemas.openxmlformats.org/officeDocument/2006/relationships/hyperlink" Target="https://x.com/NFTsAreNice/status/1877887033131364806" TargetMode="External"/><Relationship Id="rId577" Type="http://schemas.openxmlformats.org/officeDocument/2006/relationships/hyperlink" Target="https://www.cookie.fun/chains/solana.svg" TargetMode="External"/><Relationship Id="rId132" Type="http://schemas.openxmlformats.org/officeDocument/2006/relationships/hyperlink" Target="https://x.com/AltcoinDailyio/status/1879369476862517421" TargetMode="External"/><Relationship Id="rId784" Type="http://schemas.openxmlformats.org/officeDocument/2006/relationships/hyperlink" Target="https://pbs.twimg.com/profile_images/1422538477900423170/tRsq0F8Y_normal.png" TargetMode="External"/><Relationship Id="rId991" Type="http://schemas.openxmlformats.org/officeDocument/2006/relationships/hyperlink" Target="https://pbs.twimg.com/profile_images/1862938288262172672/IEA0yl0X_normal.jpg" TargetMode="External"/><Relationship Id="rId1067" Type="http://schemas.openxmlformats.org/officeDocument/2006/relationships/hyperlink" Target="https://x.com/Irenezhao_/status/1877362575123558617" TargetMode="External"/><Relationship Id="rId437" Type="http://schemas.openxmlformats.org/officeDocument/2006/relationships/hyperlink" Target="https://pbs.twimg.com/profile_images/1840810814007361536/oD64ED8g_normal.jpg" TargetMode="External"/><Relationship Id="rId644" Type="http://schemas.openxmlformats.org/officeDocument/2006/relationships/hyperlink" Target="https://pbs.twimg.com/profile_images/1875027206357082112/BNDHc6Q1_normal.jpg" TargetMode="External"/><Relationship Id="rId851" Type="http://schemas.openxmlformats.org/officeDocument/2006/relationships/hyperlink" Target="https://pbs.twimg.com/profile_images/1855533647324913664/lQ3i5qLX_normal.jpg" TargetMode="External"/><Relationship Id="rId1274" Type="http://schemas.openxmlformats.org/officeDocument/2006/relationships/hyperlink" Target="https://pbs.twimg.com/profile_images/1874654975772745728/SBsfeK63_normal.jpg" TargetMode="External"/><Relationship Id="rId1481" Type="http://schemas.openxmlformats.org/officeDocument/2006/relationships/hyperlink" Target="https://x.com/keoneHD/status/1878966985998143807" TargetMode="External"/><Relationship Id="rId1579" Type="http://schemas.openxmlformats.org/officeDocument/2006/relationships/hyperlink" Target="https://www.cookie.fun/agent/universal-operating-system" TargetMode="External"/><Relationship Id="rId504" Type="http://schemas.openxmlformats.org/officeDocument/2006/relationships/hyperlink" Target="https://x.com/Lenexyyy/status/1877330824292610273" TargetMode="External"/><Relationship Id="rId711" Type="http://schemas.openxmlformats.org/officeDocument/2006/relationships/hyperlink" Target="https://x.com/Rewkang/status/1877483786599838026" TargetMode="External"/><Relationship Id="rId949" Type="http://schemas.openxmlformats.org/officeDocument/2006/relationships/hyperlink" Target="https://x.com/halecar2/status/1877453350830059953" TargetMode="External"/><Relationship Id="rId1134" Type="http://schemas.openxmlformats.org/officeDocument/2006/relationships/hyperlink" Target="https://www.cookie.fun/agent/kira2" TargetMode="External"/><Relationship Id="rId1341" Type="http://schemas.openxmlformats.org/officeDocument/2006/relationships/hyperlink" Target="https://www.cookie.fun/agent/freya" TargetMode="External"/><Relationship Id="rId1786" Type="http://schemas.openxmlformats.org/officeDocument/2006/relationships/hyperlink" Target="https://pbs.twimg.com/profile_images/1753638166416789504/mtdOiLx8_normal.jpg" TargetMode="External"/><Relationship Id="rId78" Type="http://schemas.openxmlformats.org/officeDocument/2006/relationships/hyperlink" Target="https://x.com/DegenerateNews/status/1877346341854081180" TargetMode="External"/><Relationship Id="rId809" Type="http://schemas.openxmlformats.org/officeDocument/2006/relationships/hyperlink" Target="https://pbs.twimg.com/profile_images/1778709769991176192/hFGUFdyw_normal.jpg" TargetMode="External"/><Relationship Id="rId1201" Type="http://schemas.openxmlformats.org/officeDocument/2006/relationships/hyperlink" Target="https://x.com/abgweb3/status/1878058519464964471" TargetMode="External"/><Relationship Id="rId1439" Type="http://schemas.openxmlformats.org/officeDocument/2006/relationships/hyperlink" Target="https://x.com/abgweb3/status/1877770503441568056" TargetMode="External"/><Relationship Id="rId1646" Type="http://schemas.openxmlformats.org/officeDocument/2006/relationships/hyperlink" Target="https://www.cookie.fun/agent/just-juni" TargetMode="External"/><Relationship Id="rId1853" Type="http://schemas.openxmlformats.org/officeDocument/2006/relationships/hyperlink" Target="https://www.cookie.fun/chains/solana.svg" TargetMode="External"/><Relationship Id="rId1506" Type="http://schemas.openxmlformats.org/officeDocument/2006/relationships/hyperlink" Target="https://pbs.twimg.com/profile_images/1876063038953938944/j4JNaJk8_400x400.jpg" TargetMode="External"/><Relationship Id="rId1713" Type="http://schemas.openxmlformats.org/officeDocument/2006/relationships/hyperlink" Target="https://x.com/hanxiaobu2/status/1877369643607929040" TargetMode="External"/><Relationship Id="rId294" Type="http://schemas.openxmlformats.org/officeDocument/2006/relationships/hyperlink" Target="https://x.com/Cobratate/status/1877652838421029043" TargetMode="External"/><Relationship Id="rId154" Type="http://schemas.openxmlformats.org/officeDocument/2006/relationships/hyperlink" Target="https://x.com/shahh/status/1879257207180791906" TargetMode="External"/><Relationship Id="rId361" Type="http://schemas.openxmlformats.org/officeDocument/2006/relationships/hyperlink" Target="https://www.cookie.fun/agent/act-i-the-ai-prophecy" TargetMode="External"/><Relationship Id="rId599" Type="http://schemas.openxmlformats.org/officeDocument/2006/relationships/hyperlink" Target="https://www.cookie.fun/agent/ai16z-eliza" TargetMode="External"/><Relationship Id="rId459" Type="http://schemas.openxmlformats.org/officeDocument/2006/relationships/hyperlink" Target="https://www.cookie.fun/chains/solana.svg" TargetMode="External"/><Relationship Id="rId666" Type="http://schemas.openxmlformats.org/officeDocument/2006/relationships/hyperlink" Target="https://x.com/RealDeFiGregg/status/1878705930063450482" TargetMode="External"/><Relationship Id="rId873" Type="http://schemas.openxmlformats.org/officeDocument/2006/relationships/hyperlink" Target="https://x.com/RealJonahBlake/status/1878525403482013748" TargetMode="External"/><Relationship Id="rId1089" Type="http://schemas.openxmlformats.org/officeDocument/2006/relationships/hyperlink" Target="https://www.cookie.fun/chains/base.svg" TargetMode="External"/><Relationship Id="rId1296" Type="http://schemas.openxmlformats.org/officeDocument/2006/relationships/hyperlink" Target="https://pbs.twimg.com/profile_images/1855995934649540608/_9KYSE6e_400x400.jpg" TargetMode="External"/><Relationship Id="rId221" Type="http://schemas.openxmlformats.org/officeDocument/2006/relationships/hyperlink" Target="https://pbs.twimg.com/profile_images/1861644575359512576/gwcl40Ld_normal.jpg" TargetMode="External"/><Relationship Id="rId319" Type="http://schemas.openxmlformats.org/officeDocument/2006/relationships/hyperlink" Target="https://pbs.twimg.com/profile_images/1556492962951045120/I1b7rAnk_normal.jpg" TargetMode="External"/><Relationship Id="rId526" Type="http://schemas.openxmlformats.org/officeDocument/2006/relationships/hyperlink" Target="https://pbs.twimg.com/profile_images/1878903920967208960/PZoE1Siw_normal.jpg" TargetMode="External"/><Relationship Id="rId1156" Type="http://schemas.openxmlformats.org/officeDocument/2006/relationships/hyperlink" Target="https://pbs.twimg.com/profile_images/1875001155891478528/lo2Bj4aa_normal.jpg" TargetMode="External"/><Relationship Id="rId1363" Type="http://schemas.openxmlformats.org/officeDocument/2006/relationships/hyperlink" Target="https://x.com/AerodromeFi/status/1879287409864810763" TargetMode="External"/><Relationship Id="rId733" Type="http://schemas.openxmlformats.org/officeDocument/2006/relationships/hyperlink" Target="https://x.com/KevinSusanto/status/1877955650145206280" TargetMode="External"/><Relationship Id="rId940" Type="http://schemas.openxmlformats.org/officeDocument/2006/relationships/hyperlink" Target="https://pbs.twimg.com/profile_images/1862670486359928832/pHf7ZfS1_normal.jpg" TargetMode="External"/><Relationship Id="rId1016" Type="http://schemas.openxmlformats.org/officeDocument/2006/relationships/hyperlink" Target="https://www.cookie.fun/agent/profitpilot" TargetMode="External"/><Relationship Id="rId1570" Type="http://schemas.openxmlformats.org/officeDocument/2006/relationships/hyperlink" Target="https://x.com/hmalviya9/status/1877024383052443963" TargetMode="External"/><Relationship Id="rId1668" Type="http://schemas.openxmlformats.org/officeDocument/2006/relationships/hyperlink" Target="https://pbs.twimg.com/profile_images/1714413716135878656/D-TugPKq_normal.jpg" TargetMode="External"/><Relationship Id="rId1875" Type="http://schemas.openxmlformats.org/officeDocument/2006/relationships/hyperlink" Target="https://www.cookie.fun/agent/brains-your-greed-is-my-fuel-" TargetMode="External"/><Relationship Id="rId800" Type="http://schemas.openxmlformats.org/officeDocument/2006/relationships/hyperlink" Target="https://pbs.twimg.com/profile_images/1760946460340695040/8GEx_4x4_normal.jpg" TargetMode="External"/><Relationship Id="rId1223" Type="http://schemas.openxmlformats.org/officeDocument/2006/relationships/hyperlink" Target="https://x.com/Lomashuk/status/1878487398885081246" TargetMode="External"/><Relationship Id="rId1430" Type="http://schemas.openxmlformats.org/officeDocument/2006/relationships/hyperlink" Target="https://x.com/Teeznutz11/status/1877619066279514484" TargetMode="External"/><Relationship Id="rId1528" Type="http://schemas.openxmlformats.org/officeDocument/2006/relationships/hyperlink" Target="https://pbs.twimg.com/profile_images/1861800221392388096/15rnkHGU_400x400.jpg" TargetMode="External"/><Relationship Id="rId1735" Type="http://schemas.openxmlformats.org/officeDocument/2006/relationships/hyperlink" Target="https://x.com/halusolana/status/1878943744608837841" TargetMode="External"/><Relationship Id="rId27" Type="http://schemas.openxmlformats.org/officeDocument/2006/relationships/hyperlink" Target="https://www.cookie.fun/chains/solana.svg" TargetMode="External"/><Relationship Id="rId1802" Type="http://schemas.openxmlformats.org/officeDocument/2006/relationships/hyperlink" Target="https://www.cookie.fun/agent/cleopetra" TargetMode="External"/><Relationship Id="rId176" Type="http://schemas.openxmlformats.org/officeDocument/2006/relationships/hyperlink" Target="https://x.com/Degen__Ape__/status/1877580194279731430" TargetMode="External"/><Relationship Id="rId383" Type="http://schemas.openxmlformats.org/officeDocument/2006/relationships/hyperlink" Target="https://pbs.twimg.com/profile_images/1868227876287397888/_Ex4g8QH_normal.jpg" TargetMode="External"/><Relationship Id="rId590" Type="http://schemas.openxmlformats.org/officeDocument/2006/relationships/hyperlink" Target="https://x.com/WORLD3_AI/status/1878834127098835116" TargetMode="External"/><Relationship Id="rId243" Type="http://schemas.openxmlformats.org/officeDocument/2006/relationships/hyperlink" Target="https://www.cookie.fun/chains/base.svg" TargetMode="External"/><Relationship Id="rId450" Type="http://schemas.openxmlformats.org/officeDocument/2006/relationships/hyperlink" Target="https://x.com/RAnSacks/status/1878824997873234383" TargetMode="External"/><Relationship Id="rId688" Type="http://schemas.openxmlformats.org/officeDocument/2006/relationships/hyperlink" Target="https://x.com/ghost93_x/status/1878523947756503092" TargetMode="External"/><Relationship Id="rId895" Type="http://schemas.openxmlformats.org/officeDocument/2006/relationships/hyperlink" Target="https://x.com/Pledditor/status/1877146366993969497" TargetMode="External"/><Relationship Id="rId1080" Type="http://schemas.openxmlformats.org/officeDocument/2006/relationships/hyperlink" Target="https://pbs.twimg.com/profile_images/1830786921200521216/ei_obfWy_normal.jpg" TargetMode="External"/><Relationship Id="rId103" Type="http://schemas.openxmlformats.org/officeDocument/2006/relationships/hyperlink" Target="https://pbs.twimg.com/profile_images/1478130385116672008/kpiOx18X_normal.jpg" TargetMode="External"/><Relationship Id="rId310" Type="http://schemas.openxmlformats.org/officeDocument/2006/relationships/hyperlink" Target="https://x.com/zerokn0wledge_/status/1877013506307838367" TargetMode="External"/><Relationship Id="rId548" Type="http://schemas.openxmlformats.org/officeDocument/2006/relationships/hyperlink" Target="https://pbs.twimg.com/profile_images/1851329073903255553/INdrP5Sc_normal.png" TargetMode="External"/><Relationship Id="rId755" Type="http://schemas.openxmlformats.org/officeDocument/2006/relationships/hyperlink" Target="https://pbs.twimg.com/profile_images/1864465766034145280/l0xrEl5-_400x400.jpg" TargetMode="External"/><Relationship Id="rId962" Type="http://schemas.openxmlformats.org/officeDocument/2006/relationships/hyperlink" Target="https://pbs.twimg.com/profile_images/1773764799664693248/60pGWFxJ_400x400.jpg" TargetMode="External"/><Relationship Id="rId1178" Type="http://schemas.openxmlformats.org/officeDocument/2006/relationships/hyperlink" Target="https://x.com/Noahhweb3/status/1877765189111513594" TargetMode="External"/><Relationship Id="rId1385" Type="http://schemas.openxmlformats.org/officeDocument/2006/relationships/hyperlink" Target="https://pbs.twimg.com/profile_images/1608943419312816131/TA4aIDR4_normal.jpg" TargetMode="External"/><Relationship Id="rId1592" Type="http://schemas.openxmlformats.org/officeDocument/2006/relationships/hyperlink" Target="https://x.com/MarcoPoloMaps/status/1879149215319994792" TargetMode="External"/><Relationship Id="rId91" Type="http://schemas.openxmlformats.org/officeDocument/2006/relationships/hyperlink" Target="https://pbs.twimg.com/profile_images/1869055102486446084/JVBRQliT_normal.jpg" TargetMode="External"/><Relationship Id="rId408" Type="http://schemas.openxmlformats.org/officeDocument/2006/relationships/hyperlink" Target="https://x.com/gem_insider/status/1879217162717741221" TargetMode="External"/><Relationship Id="rId615" Type="http://schemas.openxmlformats.org/officeDocument/2006/relationships/hyperlink" Target="https://pbs.twimg.com/profile_images/1554027145420500992/0oOUOv6L_normal.jpg" TargetMode="External"/><Relationship Id="rId822" Type="http://schemas.openxmlformats.org/officeDocument/2006/relationships/hyperlink" Target="https://www.cookie.fun/agent/elsa-solana-ai-layer" TargetMode="External"/><Relationship Id="rId1038" Type="http://schemas.openxmlformats.org/officeDocument/2006/relationships/hyperlink" Target="https://pbs.twimg.com/profile_images/1775649841562980353/2E0MAPqa_normal.jpg" TargetMode="External"/><Relationship Id="rId1245" Type="http://schemas.openxmlformats.org/officeDocument/2006/relationships/hyperlink" Target="https://x.com/zacxbt/status/1878295351548948567" TargetMode="External"/><Relationship Id="rId1452" Type="http://schemas.openxmlformats.org/officeDocument/2006/relationships/hyperlink" Target="https://x.com/0x8i11i0n/status/1877686356258013233" TargetMode="External"/><Relationship Id="rId1897" Type="http://schemas.openxmlformats.org/officeDocument/2006/relationships/hyperlink" Target="https://x.com/basilda_a/status/1878237186379710723" TargetMode="External"/><Relationship Id="rId1105" Type="http://schemas.openxmlformats.org/officeDocument/2006/relationships/hyperlink" Target="https://pbs.twimg.com/profile_images/1860795033772822528/kTk_VSv9_normal.jpg" TargetMode="External"/><Relationship Id="rId1312" Type="http://schemas.openxmlformats.org/officeDocument/2006/relationships/hyperlink" Target="https://pbs.twimg.com/profile_images/1594402259835707392/fA7VSJWX_normal.jpg" TargetMode="External"/><Relationship Id="rId1757" Type="http://schemas.openxmlformats.org/officeDocument/2006/relationships/hyperlink" Target="https://www.cookie.fun/agent/gud-tech" TargetMode="External"/><Relationship Id="rId49" Type="http://schemas.openxmlformats.org/officeDocument/2006/relationships/hyperlink" Target="https://www.cookie.fun/agent/pippin" TargetMode="External"/><Relationship Id="rId1617" Type="http://schemas.openxmlformats.org/officeDocument/2006/relationships/hyperlink" Target="https://www.cookie.fun/chains/solana.svg" TargetMode="External"/><Relationship Id="rId1824" Type="http://schemas.openxmlformats.org/officeDocument/2006/relationships/hyperlink" Target="https://pbs.twimg.com/profile_images/1856940704502550528/MRNOpgHF_normal.jpg" TargetMode="External"/><Relationship Id="rId198" Type="http://schemas.openxmlformats.org/officeDocument/2006/relationships/hyperlink" Target="https://x.com/VaderResearch/status/1879091715283513414" TargetMode="External"/><Relationship Id="rId265" Type="http://schemas.openxmlformats.org/officeDocument/2006/relationships/hyperlink" Target="https://www.cookie.fun/agent/schizo-terminal" TargetMode="External"/><Relationship Id="rId472" Type="http://schemas.openxmlformats.org/officeDocument/2006/relationships/hyperlink" Target="https://x.com/avocado_toast2/status/1877572010257109338" TargetMode="External"/><Relationship Id="rId125" Type="http://schemas.openxmlformats.org/officeDocument/2006/relationships/hyperlink" Target="https://pbs.twimg.com/profile_images/1614002745714917377/Vg5Ie7vc_normal.jpg" TargetMode="External"/><Relationship Id="rId332" Type="http://schemas.openxmlformats.org/officeDocument/2006/relationships/hyperlink" Target="https://x.com/Cryppocrates/status/1877739068705948113" TargetMode="External"/><Relationship Id="rId777" Type="http://schemas.openxmlformats.org/officeDocument/2006/relationships/hyperlink" Target="https://x.com/MaransCrypto/status/1878003149270859830" TargetMode="External"/><Relationship Id="rId984" Type="http://schemas.openxmlformats.org/officeDocument/2006/relationships/hyperlink" Target="https://pbs.twimg.com/profile_images/1856269985984757760/xkbnlwQ5_400x400.jpg" TargetMode="External"/><Relationship Id="rId637" Type="http://schemas.openxmlformats.org/officeDocument/2006/relationships/hyperlink" Target="https://x.com/rektmando/status/1877690784335442164" TargetMode="External"/><Relationship Id="rId844" Type="http://schemas.openxmlformats.org/officeDocument/2006/relationships/hyperlink" Target="https://x.com/NftPerks/status/1877252904861487222" TargetMode="External"/><Relationship Id="rId1267" Type="http://schemas.openxmlformats.org/officeDocument/2006/relationships/hyperlink" Target="https://www.cookie.fun/agent/ropairito" TargetMode="External"/><Relationship Id="rId1474" Type="http://schemas.openxmlformats.org/officeDocument/2006/relationships/hyperlink" Target="https://www.cookie.fun/agent/lulu" TargetMode="External"/><Relationship Id="rId1681" Type="http://schemas.openxmlformats.org/officeDocument/2006/relationships/hyperlink" Target="https://www.cookie.fun/agent/alice" TargetMode="External"/><Relationship Id="rId704" Type="http://schemas.openxmlformats.org/officeDocument/2006/relationships/hyperlink" Target="https://x.com/CryptoEmpressX/status/1879309762359337310" TargetMode="External"/><Relationship Id="rId911" Type="http://schemas.openxmlformats.org/officeDocument/2006/relationships/hyperlink" Target="https://www.cookie.fun/agent/nova-on-mars" TargetMode="External"/><Relationship Id="rId1127" Type="http://schemas.openxmlformats.org/officeDocument/2006/relationships/hyperlink" Target="https://x.com/yoitsOG/status/1877704683441074510" TargetMode="External"/><Relationship Id="rId1334" Type="http://schemas.openxmlformats.org/officeDocument/2006/relationships/hyperlink" Target="https://www.cookie.fun/agent/soleng" TargetMode="External"/><Relationship Id="rId1541" Type="http://schemas.openxmlformats.org/officeDocument/2006/relationships/hyperlink" Target="https://pbs.twimg.com/profile_images/1874108066469466112/MY-brhVa_normal.jpg" TargetMode="External"/><Relationship Id="rId1779" Type="http://schemas.openxmlformats.org/officeDocument/2006/relationships/hyperlink" Target="https://www.cookie.fun/chains/solana.svg" TargetMode="External"/><Relationship Id="rId40" Type="http://schemas.openxmlformats.org/officeDocument/2006/relationships/hyperlink" Target="https://x.com/AndreCronjeTech/status/1878528636657209481" TargetMode="External"/><Relationship Id="rId1401" Type="http://schemas.openxmlformats.org/officeDocument/2006/relationships/hyperlink" Target="https://x.com/halusolana/status/1877124501982392496" TargetMode="External"/><Relationship Id="rId1639" Type="http://schemas.openxmlformats.org/officeDocument/2006/relationships/hyperlink" Target="https://x.com/nosana_ai/status/1877714199398277348" TargetMode="External"/><Relationship Id="rId1846" Type="http://schemas.openxmlformats.org/officeDocument/2006/relationships/hyperlink" Target="https://www.cookie.fun/agent/slopfather" TargetMode="External"/><Relationship Id="rId1706" Type="http://schemas.openxmlformats.org/officeDocument/2006/relationships/hyperlink" Target="https://pbs.twimg.com/profile_images/1860693902635700224/810RIL93_400x400.jpg" TargetMode="External"/><Relationship Id="rId1913" Type="http://schemas.openxmlformats.org/officeDocument/2006/relationships/hyperlink" Target="https://www.cookie.fun/agent/stoic" TargetMode="External"/><Relationship Id="rId287" Type="http://schemas.openxmlformats.org/officeDocument/2006/relationships/hyperlink" Target="https://pbs.twimg.com/profile_images/1601094719525855232/aOkAPHtC_normal.png" TargetMode="External"/><Relationship Id="rId494" Type="http://schemas.openxmlformats.org/officeDocument/2006/relationships/hyperlink" Target="https://pbs.twimg.com/profile_images/1858540593921904640/Sp1BaT4O_400x400.jpg" TargetMode="External"/><Relationship Id="rId147" Type="http://schemas.openxmlformats.org/officeDocument/2006/relationships/hyperlink" Target="https://www.cookie.fun/chains/solana.svg" TargetMode="External"/><Relationship Id="rId354" Type="http://schemas.openxmlformats.org/officeDocument/2006/relationships/hyperlink" Target="https://x.com/bycoinhunter/status/1877799501483712757" TargetMode="External"/><Relationship Id="rId799" Type="http://schemas.openxmlformats.org/officeDocument/2006/relationships/hyperlink" Target="https://x.com/thelearningpill/status/1878479307439546849" TargetMode="External"/><Relationship Id="rId1191" Type="http://schemas.openxmlformats.org/officeDocument/2006/relationships/hyperlink" Target="https://x.com/Jebus/status/1877476914266251340" TargetMode="External"/><Relationship Id="rId561" Type="http://schemas.openxmlformats.org/officeDocument/2006/relationships/hyperlink" Target="https://x.com/crypto_banter/status/1877814267266605113" TargetMode="External"/><Relationship Id="rId659" Type="http://schemas.openxmlformats.org/officeDocument/2006/relationships/hyperlink" Target="https://pbs.twimg.com/profile_images/1869417110285266945/N54otClO_400x400.jpg" TargetMode="External"/><Relationship Id="rId866" Type="http://schemas.openxmlformats.org/officeDocument/2006/relationships/hyperlink" Target="https://www.cookie.fun/chains/base.svg" TargetMode="External"/><Relationship Id="rId1289" Type="http://schemas.openxmlformats.org/officeDocument/2006/relationships/hyperlink" Target="https://pbs.twimg.com/profile_images/1848736044398637056/JvyE_B8v_400x400.jpg" TargetMode="External"/><Relationship Id="rId1496" Type="http://schemas.openxmlformats.org/officeDocument/2006/relationships/hyperlink" Target="https://pbs.twimg.com/profile_images/1583565200678178842/3eoxPYwo_normal.jpg" TargetMode="External"/><Relationship Id="rId214" Type="http://schemas.openxmlformats.org/officeDocument/2006/relationships/hyperlink" Target="https://x.com/gem_insider/status/1878322768904593777" TargetMode="External"/><Relationship Id="rId421" Type="http://schemas.openxmlformats.org/officeDocument/2006/relationships/hyperlink" Target="https://www.cookie.fun/agent/hustle-flowstate" TargetMode="External"/><Relationship Id="rId519" Type="http://schemas.openxmlformats.org/officeDocument/2006/relationships/hyperlink" Target="https://x.com/notEezzy/status/1878468635611529243" TargetMode="External"/><Relationship Id="rId1051" Type="http://schemas.openxmlformats.org/officeDocument/2006/relationships/hyperlink" Target="https://x.com/bittybitbit86/status/1877360406630387770" TargetMode="External"/><Relationship Id="rId1149" Type="http://schemas.openxmlformats.org/officeDocument/2006/relationships/hyperlink" Target="https://pbs.twimg.com/profile_images/1817586374633046016/EgC7Mi9q_normal.jpg" TargetMode="External"/><Relationship Id="rId1356" Type="http://schemas.openxmlformats.org/officeDocument/2006/relationships/hyperlink" Target="https://pbs.twimg.com/profile_images/1871244566809976832/tvV8X5aM_normal.jpg" TargetMode="External"/><Relationship Id="rId726" Type="http://schemas.openxmlformats.org/officeDocument/2006/relationships/hyperlink" Target="https://pbs.twimg.com/profile_images/1829954676172754944/AY0XOTPa_normal.jpg" TargetMode="External"/><Relationship Id="rId933" Type="http://schemas.openxmlformats.org/officeDocument/2006/relationships/hyperlink" Target="https://www.cookie.fun/chains/solana.svg" TargetMode="External"/><Relationship Id="rId1009" Type="http://schemas.openxmlformats.org/officeDocument/2006/relationships/hyperlink" Target="https://www.cookie.fun/agent/spell" TargetMode="External"/><Relationship Id="rId1563" Type="http://schemas.openxmlformats.org/officeDocument/2006/relationships/hyperlink" Target="https://pbs.twimg.com/profile_images/1822227868505522178/PGznJ6Fu_normal.jpg" TargetMode="External"/><Relationship Id="rId1770" Type="http://schemas.openxmlformats.org/officeDocument/2006/relationships/hyperlink" Target="https://www.cookie.fun/chains/solana.svg" TargetMode="External"/><Relationship Id="rId1868" Type="http://schemas.openxmlformats.org/officeDocument/2006/relationships/hyperlink" Target="https://www.cookie.fun/chains/solana.svg" TargetMode="External"/><Relationship Id="rId62" Type="http://schemas.openxmlformats.org/officeDocument/2006/relationships/hyperlink" Target="https://pbs.twimg.com/profile_images/1875274595109888000/nwifDTRN_400x400.jpg" TargetMode="External"/><Relationship Id="rId1216" Type="http://schemas.openxmlformats.org/officeDocument/2006/relationships/hyperlink" Target="https://pbs.twimg.com/profile_images/1867238877012054016/oALTLqV7_400x400.jpg" TargetMode="External"/><Relationship Id="rId1423" Type="http://schemas.openxmlformats.org/officeDocument/2006/relationships/hyperlink" Target="https://x.com/ShibaTechnical/status/1878329872764076131" TargetMode="External"/><Relationship Id="rId1630" Type="http://schemas.openxmlformats.org/officeDocument/2006/relationships/hyperlink" Target="https://x.com/LarpVonTrier/status/1877535267155833086" TargetMode="External"/><Relationship Id="rId1728" Type="http://schemas.openxmlformats.org/officeDocument/2006/relationships/hyperlink" Target="https://x.com/Eljaboom/status/1878193449536762055" TargetMode="External"/><Relationship Id="rId169" Type="http://schemas.openxmlformats.org/officeDocument/2006/relationships/hyperlink" Target="https://www.cookie.fun/agent/trust" TargetMode="External"/><Relationship Id="rId376" Type="http://schemas.openxmlformats.org/officeDocument/2006/relationships/hyperlink" Target="https://x.com/yb_effect/status/1878160122578600014" TargetMode="External"/><Relationship Id="rId583" Type="http://schemas.openxmlformats.org/officeDocument/2006/relationships/hyperlink" Target="https://pbs.twimg.com/profile_images/1866157311435198464/OxFCTT41_normal.jpg" TargetMode="External"/><Relationship Id="rId790" Type="http://schemas.openxmlformats.org/officeDocument/2006/relationships/hyperlink" Target="https://www.cookie.fun/agent/realis" TargetMode="External"/><Relationship Id="rId4" Type="http://schemas.openxmlformats.org/officeDocument/2006/relationships/hyperlink" Target="https://x.com/binance/status/1877644979469697286" TargetMode="External"/><Relationship Id="rId236" Type="http://schemas.openxmlformats.org/officeDocument/2006/relationships/hyperlink" Target="https://x.com/boldleonidas/status/1879336460870131912" TargetMode="External"/><Relationship Id="rId443" Type="http://schemas.openxmlformats.org/officeDocument/2006/relationships/hyperlink" Target="https://pbs.twimg.com/profile_images/1644209709128249344/4IW9wcrF_normal.jpg" TargetMode="External"/><Relationship Id="rId650" Type="http://schemas.openxmlformats.org/officeDocument/2006/relationships/hyperlink" Target="https://pbs.twimg.com/profile_images/1878522574977556480/-UmtKrAk_normal.jpg" TargetMode="External"/><Relationship Id="rId888" Type="http://schemas.openxmlformats.org/officeDocument/2006/relationships/hyperlink" Target="https://www.cookie.fun/agent/opus" TargetMode="External"/><Relationship Id="rId1073" Type="http://schemas.openxmlformats.org/officeDocument/2006/relationships/hyperlink" Target="https://x.com/Irenezhao_/status/1877253334857388118" TargetMode="External"/><Relationship Id="rId1280" Type="http://schemas.openxmlformats.org/officeDocument/2006/relationships/hyperlink" Target="https://pbs.twimg.com/profile_images/1844664149348909056/KxyaKB9S_normal.jpg" TargetMode="External"/><Relationship Id="rId303" Type="http://schemas.openxmlformats.org/officeDocument/2006/relationships/hyperlink" Target="https://www.cookie.fun/chains/solana.svg" TargetMode="External"/><Relationship Id="rId748" Type="http://schemas.openxmlformats.org/officeDocument/2006/relationships/hyperlink" Target="https://pbs.twimg.com/profile_images/1877633171413467136/91OOzFSV_normal.jpg" TargetMode="External"/><Relationship Id="rId955" Type="http://schemas.openxmlformats.org/officeDocument/2006/relationships/hyperlink" Target="https://x.com/broke0x/status/1877225407746900370" TargetMode="External"/><Relationship Id="rId1140" Type="http://schemas.openxmlformats.org/officeDocument/2006/relationships/hyperlink" Target="https://pbs.twimg.com/profile_images/1752826759504965632/_BJV6z9l_normal.jpg" TargetMode="External"/><Relationship Id="rId1378" Type="http://schemas.openxmlformats.org/officeDocument/2006/relationships/hyperlink" Target="https://pbs.twimg.com/profile_images/1746996681801863168/GQkHnQH6_normal.jpg" TargetMode="External"/><Relationship Id="rId1585" Type="http://schemas.openxmlformats.org/officeDocument/2006/relationships/hyperlink" Target="https://www.cookie.fun/agent/supplyvest" TargetMode="External"/><Relationship Id="rId1792" Type="http://schemas.openxmlformats.org/officeDocument/2006/relationships/hyperlink" Target="https://www.cookie.fun/chains/base.svg" TargetMode="External"/><Relationship Id="rId84" Type="http://schemas.openxmlformats.org/officeDocument/2006/relationships/hyperlink" Target="https://x.com/kkashi_yt/status/1879168237449175368" TargetMode="External"/><Relationship Id="rId510" Type="http://schemas.openxmlformats.org/officeDocument/2006/relationships/hyperlink" Target="https://x.com/DSentralized/status/1877030280839548935" TargetMode="External"/><Relationship Id="rId608" Type="http://schemas.openxmlformats.org/officeDocument/2006/relationships/hyperlink" Target="https://x.com/RyzeLabs/status/1879178384091091221" TargetMode="External"/><Relationship Id="rId815" Type="http://schemas.openxmlformats.org/officeDocument/2006/relationships/hyperlink" Target="https://x.com/Irenezhao_/status/1877253334857388118" TargetMode="External"/><Relationship Id="rId1238" Type="http://schemas.openxmlformats.org/officeDocument/2006/relationships/hyperlink" Target="https://x.com/blknoiz06/status/1878157047058858210" TargetMode="External"/><Relationship Id="rId1445" Type="http://schemas.openxmlformats.org/officeDocument/2006/relationships/hyperlink" Target="https://pbs.twimg.com/profile_images/1862089894551519232/IWxyjG4M_400x400.jpg" TargetMode="External"/><Relationship Id="rId1652" Type="http://schemas.openxmlformats.org/officeDocument/2006/relationships/hyperlink" Target="https://pbs.twimg.com/profile_images/1871564431282638849/hhy2WNIl_400x400.jpg" TargetMode="External"/><Relationship Id="rId1000" Type="http://schemas.openxmlformats.org/officeDocument/2006/relationships/hyperlink" Target="https://pbs.twimg.com/profile_images/1358044917319237635/Q220eMRH_normal.jpg" TargetMode="External"/><Relationship Id="rId1305" Type="http://schemas.openxmlformats.org/officeDocument/2006/relationships/hyperlink" Target="https://pbs.twimg.com/profile_images/1874769738162712576/U9nykgto_normal.jpg" TargetMode="External"/><Relationship Id="rId1512" Type="http://schemas.openxmlformats.org/officeDocument/2006/relationships/hyperlink" Target="https://pbs.twimg.com/profile_images/1762381335791054848/mSMeyQDS_normal.jpg" TargetMode="External"/><Relationship Id="rId1817" Type="http://schemas.openxmlformats.org/officeDocument/2006/relationships/hyperlink" Target="https://www.cookie.fun/chains/solana.svg" TargetMode="External"/><Relationship Id="rId11" Type="http://schemas.openxmlformats.org/officeDocument/2006/relationships/hyperlink" Target="https://pbs.twimg.com/profile_images/1848727772404797440/Zx1s4Rlh_normal.jpg" TargetMode="External"/><Relationship Id="rId398" Type="http://schemas.openxmlformats.org/officeDocument/2006/relationships/hyperlink" Target="https://pbs.twimg.com/profile_images/1864128474698665987/EA3ICb_s_400x400.jpg" TargetMode="External"/><Relationship Id="rId160" Type="http://schemas.openxmlformats.org/officeDocument/2006/relationships/hyperlink" Target="https://x.com/findGBC/status/1877032287373533201" TargetMode="External"/><Relationship Id="rId258" Type="http://schemas.openxmlformats.org/officeDocument/2006/relationships/hyperlink" Target="https://x.com/CryptoKaduna/status/1877735233497313522" TargetMode="External"/><Relationship Id="rId465" Type="http://schemas.openxmlformats.org/officeDocument/2006/relationships/hyperlink" Target="https://pbs.twimg.com/profile_images/1724894368698384384/WsylEGZE_normal.jpg" TargetMode="External"/><Relationship Id="rId672" Type="http://schemas.openxmlformats.org/officeDocument/2006/relationships/hyperlink" Target="https://x.com/RealDeFiGregg/status/1878011462783844563" TargetMode="External"/><Relationship Id="rId1095" Type="http://schemas.openxmlformats.org/officeDocument/2006/relationships/hyperlink" Target="https://pbs.twimg.com/profile_images/1845206387380387862/7_mC9djK_normal.jpg" TargetMode="External"/><Relationship Id="rId118" Type="http://schemas.openxmlformats.org/officeDocument/2006/relationships/hyperlink" Target="https://x.com/Ashcryptoreal/status/1877347684559782273" TargetMode="External"/><Relationship Id="rId325" Type="http://schemas.openxmlformats.org/officeDocument/2006/relationships/hyperlink" Target="https://www.cookie.fun/agent/gnon-on-solana-gnon" TargetMode="External"/><Relationship Id="rId532" Type="http://schemas.openxmlformats.org/officeDocument/2006/relationships/hyperlink" Target="https://pbs.twimg.com/profile_images/1571180185709314049/cdNwbv8k_normal.jpg" TargetMode="External"/><Relationship Id="rId977" Type="http://schemas.openxmlformats.org/officeDocument/2006/relationships/hyperlink" Target="https://x.com/AltCryptoGems/status/1877626682644820141" TargetMode="External"/><Relationship Id="rId1162" Type="http://schemas.openxmlformats.org/officeDocument/2006/relationships/hyperlink" Target="https://pbs.twimg.com/profile_images/1877206546754490368/TmQirp55_400x400.jpg" TargetMode="External"/><Relationship Id="rId837" Type="http://schemas.openxmlformats.org/officeDocument/2006/relationships/hyperlink" Target="https://x.com/ghost93_x/status/1877896390199697676" TargetMode="External"/><Relationship Id="rId1022" Type="http://schemas.openxmlformats.org/officeDocument/2006/relationships/hyperlink" Target="https://pbs.twimg.com/profile_images/1727082596507762688/u1y5wTSG_normal.jpg" TargetMode="External"/><Relationship Id="rId1467" Type="http://schemas.openxmlformats.org/officeDocument/2006/relationships/hyperlink" Target="https://x.com/ljxie/status/1878918660259012845" TargetMode="External"/><Relationship Id="rId1674" Type="http://schemas.openxmlformats.org/officeDocument/2006/relationships/hyperlink" Target="https://x.com/nftnow/status/1878948462408147191" TargetMode="External"/><Relationship Id="rId1881" Type="http://schemas.openxmlformats.org/officeDocument/2006/relationships/hyperlink" Target="https://www.cookie.fun/agent/guanciale" TargetMode="External"/><Relationship Id="rId904" Type="http://schemas.openxmlformats.org/officeDocument/2006/relationships/hyperlink" Target="https://x.com/AltcoinGordon/status/1877632041476341988" TargetMode="External"/><Relationship Id="rId1327" Type="http://schemas.openxmlformats.org/officeDocument/2006/relationships/hyperlink" Target="https://www.cookie.fun/chains/solana.svg" TargetMode="External"/><Relationship Id="rId1534" Type="http://schemas.openxmlformats.org/officeDocument/2006/relationships/hyperlink" Target="https://www.cookie.fun/chains/solana.svg" TargetMode="External"/><Relationship Id="rId1741" Type="http://schemas.openxmlformats.org/officeDocument/2006/relationships/hyperlink" Target="https://pbs.twimg.com/profile_images/1757666120536883200/E3X7Egln_normal.jpg" TargetMode="External"/><Relationship Id="rId33" Type="http://schemas.openxmlformats.org/officeDocument/2006/relationships/hyperlink" Target="https://pbs.twimg.com/profile_images/1867340003766153216/_J-fkeCd_normal.jpg" TargetMode="External"/><Relationship Id="rId1601" Type="http://schemas.openxmlformats.org/officeDocument/2006/relationships/hyperlink" Target="https://www.cookie.fun/agent/mfercoin" TargetMode="External"/><Relationship Id="rId1839" Type="http://schemas.openxmlformats.org/officeDocument/2006/relationships/hyperlink" Target="https://pbs.twimg.com/profile_images/1854820520862334976/sRavZnte_400x400.jpg" TargetMode="External"/><Relationship Id="rId182" Type="http://schemas.openxmlformats.org/officeDocument/2006/relationships/hyperlink" Target="https://pbs.twimg.com/profile_images/1867441064669589504/sUbo5tgR_400x400.jpg" TargetMode="External"/><Relationship Id="rId1906" Type="http://schemas.openxmlformats.org/officeDocument/2006/relationships/hyperlink" Target="https://pbs.twimg.com/profile_images/1761532928452894720/N6A-Up8e_normal.jpg" TargetMode="External"/><Relationship Id="rId487" Type="http://schemas.openxmlformats.org/officeDocument/2006/relationships/hyperlink" Target="https://pbs.twimg.com/profile_images/1819463930802028544/wZAMMX0W_normal.jpg" TargetMode="External"/><Relationship Id="rId694" Type="http://schemas.openxmlformats.org/officeDocument/2006/relationships/hyperlink" Target="https://x.com/ghost93_x/status/1878617473685258586" TargetMode="External"/><Relationship Id="rId347" Type="http://schemas.openxmlformats.org/officeDocument/2006/relationships/hyperlink" Target="https://pbs.twimg.com/profile_images/1752826759504965632/_BJV6z9l_normal.jpg" TargetMode="External"/><Relationship Id="rId999" Type="http://schemas.openxmlformats.org/officeDocument/2006/relationships/hyperlink" Target="https://x.com/gem_detecter/status/1877906710989582424" TargetMode="External"/><Relationship Id="rId1184" Type="http://schemas.openxmlformats.org/officeDocument/2006/relationships/hyperlink" Target="https://www.cookie.fun/agent/racer" TargetMode="External"/><Relationship Id="rId554" Type="http://schemas.openxmlformats.org/officeDocument/2006/relationships/hyperlink" Target="https://www.cookie.fun/chains/solana.svg" TargetMode="External"/><Relationship Id="rId761" Type="http://schemas.openxmlformats.org/officeDocument/2006/relationships/hyperlink" Target="https://x.com/CryptoInfluence/status/1878528636782821565" TargetMode="External"/><Relationship Id="rId859" Type="http://schemas.openxmlformats.org/officeDocument/2006/relationships/hyperlink" Target="https://x.com/mr_benft/status/1878112676238246187" TargetMode="External"/><Relationship Id="rId1391" Type="http://schemas.openxmlformats.org/officeDocument/2006/relationships/hyperlink" Target="https://www.cookie.fun/agent/tony-soprano" TargetMode="External"/><Relationship Id="rId1489" Type="http://schemas.openxmlformats.org/officeDocument/2006/relationships/hyperlink" Target="https://x.com/QuintenFrancois/status/1877017542041972960" TargetMode="External"/><Relationship Id="rId1696" Type="http://schemas.openxmlformats.org/officeDocument/2006/relationships/hyperlink" Target="https://www.cookie.fun/agent/retard-ai" TargetMode="External"/><Relationship Id="rId207" Type="http://schemas.openxmlformats.org/officeDocument/2006/relationships/hyperlink" Target="https://www.cookie.fun/chains/solana.svg" TargetMode="External"/><Relationship Id="rId414" Type="http://schemas.openxmlformats.org/officeDocument/2006/relationships/hyperlink" Target="https://x.com/xiaweb3/status/1878217871534235796" TargetMode="External"/><Relationship Id="rId621" Type="http://schemas.openxmlformats.org/officeDocument/2006/relationships/hyperlink" Target="https://pbs.twimg.com/profile_images/1789364971354128385/s8FHrPnq_normal.jpg" TargetMode="External"/><Relationship Id="rId1044" Type="http://schemas.openxmlformats.org/officeDocument/2006/relationships/hyperlink" Target="https://www.cookie.fun/agent/tony-ai" TargetMode="External"/><Relationship Id="rId1251" Type="http://schemas.openxmlformats.org/officeDocument/2006/relationships/hyperlink" Target="https://x.com/serpunketh/status/1877801693741543801" TargetMode="External"/><Relationship Id="rId1349" Type="http://schemas.openxmlformats.org/officeDocument/2006/relationships/hyperlink" Target="https://pbs.twimg.com/profile_images/1867840509521408003/Cij6uQwV_normal.jpg" TargetMode="External"/><Relationship Id="rId719" Type="http://schemas.openxmlformats.org/officeDocument/2006/relationships/hyperlink" Target="https://pbs.twimg.com/profile_images/1876770611386617856/_nzohoGZ_400x400.jpg" TargetMode="External"/><Relationship Id="rId926" Type="http://schemas.openxmlformats.org/officeDocument/2006/relationships/hyperlink" Target="https://pbs.twimg.com/profile_images/1872860038529798144/cIXiAY1R_normal.jpg" TargetMode="External"/><Relationship Id="rId1111" Type="http://schemas.openxmlformats.org/officeDocument/2006/relationships/hyperlink" Target="https://pbs.twimg.com/profile_images/1865905550887948288/h4UixQic_400x400.jpg" TargetMode="External"/><Relationship Id="rId1556" Type="http://schemas.openxmlformats.org/officeDocument/2006/relationships/hyperlink" Target="https://www.cookie.fun/agent/draiftking" TargetMode="External"/><Relationship Id="rId1763" Type="http://schemas.openxmlformats.org/officeDocument/2006/relationships/hyperlink" Target="https://x.com/revolut20/status/1877325749662740804" TargetMode="External"/><Relationship Id="rId55" Type="http://schemas.openxmlformats.org/officeDocument/2006/relationships/hyperlink" Target="https://pbs.twimg.com/profile_images/1452754543217831938/T2O-66Yy_normal.jpg" TargetMode="External"/><Relationship Id="rId1209" Type="http://schemas.openxmlformats.org/officeDocument/2006/relationships/hyperlink" Target="https://pbs.twimg.com/profile_images/1771058965767479296/AGJGQeTF_normal.jpg" TargetMode="External"/><Relationship Id="rId1416" Type="http://schemas.openxmlformats.org/officeDocument/2006/relationships/hyperlink" Target="https://pbs.twimg.com/profile_images/1810355238085279744/pre3iUDX_normal.jpg" TargetMode="External"/><Relationship Id="rId1623" Type="http://schemas.openxmlformats.org/officeDocument/2006/relationships/hyperlink" Target="https://pbs.twimg.com/profile_images/1876631199529267200/IG_L7xhT_normal.jpg" TargetMode="External"/><Relationship Id="rId1830" Type="http://schemas.openxmlformats.org/officeDocument/2006/relationships/hyperlink" Target="https://www.cookie.fun/agent/mira-parsen" TargetMode="External"/><Relationship Id="rId271" Type="http://schemas.openxmlformats.org/officeDocument/2006/relationships/hyperlink" Target="https://pbs.twimg.com/profile_images/1869796810660728832/kVg5fFiQ_normal.jpg" TargetMode="External"/><Relationship Id="rId131" Type="http://schemas.openxmlformats.org/officeDocument/2006/relationships/hyperlink" Target="https://pbs.twimg.com/profile_images/1684526956266635264/xdq5pFT5_normal.jpg" TargetMode="External"/><Relationship Id="rId369" Type="http://schemas.openxmlformats.org/officeDocument/2006/relationships/hyperlink" Target="https://pbs.twimg.com/profile_images/1769695402318807040/zLKZWTYi_normal.jpg" TargetMode="External"/><Relationship Id="rId576" Type="http://schemas.openxmlformats.org/officeDocument/2006/relationships/hyperlink" Target="https://pbs.twimg.com/profile_images/1866442584350183424/wgY0q7Ns_400x400.jpg" TargetMode="External"/><Relationship Id="rId783" Type="http://schemas.openxmlformats.org/officeDocument/2006/relationships/hyperlink" Target="https://x.com/CoinbaseAssets/status/1879215891449020772" TargetMode="External"/><Relationship Id="rId990" Type="http://schemas.openxmlformats.org/officeDocument/2006/relationships/hyperlink" Target="https://x.com/Sabrx0/status/1878110309220487591" TargetMode="External"/><Relationship Id="rId229" Type="http://schemas.openxmlformats.org/officeDocument/2006/relationships/hyperlink" Target="https://www.cookie.fun/agent/toshi" TargetMode="External"/><Relationship Id="rId436" Type="http://schemas.openxmlformats.org/officeDocument/2006/relationships/hyperlink" Target="https://x.com/egyptk6/status/1877364157747704141" TargetMode="External"/><Relationship Id="rId643" Type="http://schemas.openxmlformats.org/officeDocument/2006/relationships/hyperlink" Target="https://x.com/KaiaChain/status/1879394262829429234" TargetMode="External"/><Relationship Id="rId1066" Type="http://schemas.openxmlformats.org/officeDocument/2006/relationships/hyperlink" Target="https://www.cookie.fun/chains/base.svg" TargetMode="External"/><Relationship Id="rId1273" Type="http://schemas.openxmlformats.org/officeDocument/2006/relationships/hyperlink" Target="https://x.com/kristophershinn/status/1878930612553384041" TargetMode="External"/><Relationship Id="rId1480" Type="http://schemas.openxmlformats.org/officeDocument/2006/relationships/hyperlink" Target="https://pbs.twimg.com/profile_images/1836408905645117440/6cRz_BbT_normal.jpg" TargetMode="External"/><Relationship Id="rId850" Type="http://schemas.openxmlformats.org/officeDocument/2006/relationships/hyperlink" Target="https://x.com/thegaboeth/status/1878758253242290598" TargetMode="External"/><Relationship Id="rId948" Type="http://schemas.openxmlformats.org/officeDocument/2006/relationships/hyperlink" Target="https://www.cookie.fun/chains/solana.svg" TargetMode="External"/><Relationship Id="rId1133" Type="http://schemas.openxmlformats.org/officeDocument/2006/relationships/hyperlink" Target="https://x.com/AndySlaps/status/1879491926510170328" TargetMode="External"/><Relationship Id="rId1578" Type="http://schemas.openxmlformats.org/officeDocument/2006/relationships/hyperlink" Target="https://pbs.twimg.com/profile_images/1878284140870848512/gfycreX5_normal.jpg" TargetMode="External"/><Relationship Id="rId1785" Type="http://schemas.openxmlformats.org/officeDocument/2006/relationships/hyperlink" Target="https://x.com/0xBiZzy/status/1877469574196498567" TargetMode="External"/><Relationship Id="rId77" Type="http://schemas.openxmlformats.org/officeDocument/2006/relationships/hyperlink" Target="https://pbs.twimg.com/profile_images/1551586710873550848/8_M8f6ds_normal.jpg" TargetMode="External"/><Relationship Id="rId503" Type="http://schemas.openxmlformats.org/officeDocument/2006/relationships/hyperlink" Target="https://pbs.twimg.com/profile_images/1643802007889920011/NZRydHI4_normal.jpg" TargetMode="External"/><Relationship Id="rId710" Type="http://schemas.openxmlformats.org/officeDocument/2006/relationships/hyperlink" Target="https://pbs.twimg.com/profile_images/1554027145420500992/0oOUOv6L_normal.jpg" TargetMode="External"/><Relationship Id="rId808" Type="http://schemas.openxmlformats.org/officeDocument/2006/relationships/hyperlink" Target="https://x.com/Altsteinn/status/1877633789557391513" TargetMode="External"/><Relationship Id="rId1340" Type="http://schemas.openxmlformats.org/officeDocument/2006/relationships/hyperlink" Target="https://pbs.twimg.com/profile_images/1857657965144158209/QP3z9ONe_normal.jpg" TargetMode="External"/><Relationship Id="rId1438" Type="http://schemas.openxmlformats.org/officeDocument/2006/relationships/hyperlink" Target="https://pbs.twimg.com/profile_images/1789875957857153024/YAz6jc7r_normal.jpg" TargetMode="External"/><Relationship Id="rId1645" Type="http://schemas.openxmlformats.org/officeDocument/2006/relationships/hyperlink" Target="https://pbs.twimg.com/profile_images/1554027145420500992/0oOUOv6L_normal.jpg" TargetMode="External"/><Relationship Id="rId1200" Type="http://schemas.openxmlformats.org/officeDocument/2006/relationships/hyperlink" Target="https://pbs.twimg.com/profile_images/1801175932314480641/8EhejS8-_normal.jpg" TargetMode="External"/><Relationship Id="rId1852" Type="http://schemas.openxmlformats.org/officeDocument/2006/relationships/hyperlink" Target="https://pbs.twimg.com/profile_images/1857528340963557376/eeuu3N8u_400x400.jpg" TargetMode="External"/><Relationship Id="rId1505" Type="http://schemas.openxmlformats.org/officeDocument/2006/relationships/hyperlink" Target="https://www.cookie.fun/agent/breaker" TargetMode="External"/><Relationship Id="rId1712" Type="http://schemas.openxmlformats.org/officeDocument/2006/relationships/hyperlink" Target="https://pbs.twimg.com/profile_images/1731300714507591680/IuPwFTx2_normal.jpg" TargetMode="External"/><Relationship Id="rId293" Type="http://schemas.openxmlformats.org/officeDocument/2006/relationships/hyperlink" Target="https://pbs.twimg.com/profile_images/1846579538802982912/9qCfx_WU_normal.jpg" TargetMode="External"/><Relationship Id="rId153" Type="http://schemas.openxmlformats.org/officeDocument/2006/relationships/hyperlink" Target="https://pbs.twimg.com/profile_images/1843110137256452096/08qnoVrZ_normal.jpg" TargetMode="External"/><Relationship Id="rId360" Type="http://schemas.openxmlformats.org/officeDocument/2006/relationships/hyperlink" Target="https://x.com/yellowpantherx/status/1878092528529895736" TargetMode="External"/><Relationship Id="rId598" Type="http://schemas.openxmlformats.org/officeDocument/2006/relationships/hyperlink" Target="https://x.com/LgDoucet/status/1877806974210887816" TargetMode="External"/><Relationship Id="rId220" Type="http://schemas.openxmlformats.org/officeDocument/2006/relationships/hyperlink" Target="https://x.com/brydisanto/status/1877116253086667060" TargetMode="External"/><Relationship Id="rId458" Type="http://schemas.openxmlformats.org/officeDocument/2006/relationships/hyperlink" Target="https://pbs.twimg.com/profile_images/1839371102923231232/Tj2-D3VD_400x400.jpg" TargetMode="External"/><Relationship Id="rId665" Type="http://schemas.openxmlformats.org/officeDocument/2006/relationships/hyperlink" Target="https://pbs.twimg.com/profile_images/1873031108633169921/hRV7zr5H_normal.jpg" TargetMode="External"/><Relationship Id="rId872" Type="http://schemas.openxmlformats.org/officeDocument/2006/relationships/hyperlink" Target="https://pbs.twimg.com/profile_images/1846269193370406912/06U5y96x_normal.jpg" TargetMode="External"/><Relationship Id="rId1088" Type="http://schemas.openxmlformats.org/officeDocument/2006/relationships/hyperlink" Target="https://pbs.twimg.com/profile_images/1859763758916055040/4XhBzxZ__400x400.jpg" TargetMode="External"/><Relationship Id="rId1295" Type="http://schemas.openxmlformats.org/officeDocument/2006/relationships/hyperlink" Target="https://www.cookie.fun/agent/lea" TargetMode="External"/><Relationship Id="rId318" Type="http://schemas.openxmlformats.org/officeDocument/2006/relationships/hyperlink" Target="https://x.com/SmallCapScience/status/1877109056218738704" TargetMode="External"/><Relationship Id="rId525" Type="http://schemas.openxmlformats.org/officeDocument/2006/relationships/hyperlink" Target="https://x.com/SolanaCoach/status/1878716444420034639" TargetMode="External"/><Relationship Id="rId732" Type="http://schemas.openxmlformats.org/officeDocument/2006/relationships/hyperlink" Target="https://www.cookie.fun/chains/base.svg" TargetMode="External"/><Relationship Id="rId1155" Type="http://schemas.openxmlformats.org/officeDocument/2006/relationships/hyperlink" Target="https://x.com/BingXOfficial/status/1879099216166838686" TargetMode="External"/><Relationship Id="rId1362" Type="http://schemas.openxmlformats.org/officeDocument/2006/relationships/hyperlink" Target="https://www.cookie.fun/chains/base.svg" TargetMode="External"/><Relationship Id="rId99" Type="http://schemas.openxmlformats.org/officeDocument/2006/relationships/hyperlink" Target="https://www.cookie.fun/chains/solana.svg" TargetMode="External"/><Relationship Id="rId1015" Type="http://schemas.openxmlformats.org/officeDocument/2006/relationships/hyperlink" Target="https://pbs.twimg.com/profile_images/1876827907114303488/-4F9E9Df_normal.jpg" TargetMode="External"/><Relationship Id="rId1222" Type="http://schemas.openxmlformats.org/officeDocument/2006/relationships/hyperlink" Target="https://www.cookie.fun/chains/base.svg" TargetMode="External"/><Relationship Id="rId1667" Type="http://schemas.openxmlformats.org/officeDocument/2006/relationships/hyperlink" Target="https://x.com/HammerToe/status/1878595517544071458" TargetMode="External"/><Relationship Id="rId1874" Type="http://schemas.openxmlformats.org/officeDocument/2006/relationships/hyperlink" Target="https://www.cookie.fun/chains/solana.svg" TargetMode="External"/><Relationship Id="rId1527" Type="http://schemas.openxmlformats.org/officeDocument/2006/relationships/hyperlink" Target="https://www.cookie.fun/agent/pillzumi" TargetMode="External"/><Relationship Id="rId1734" Type="http://schemas.openxmlformats.org/officeDocument/2006/relationships/hyperlink" Target="https://pbs.twimg.com/profile_images/1840527197846544384/5jIIuNGx_normal.jpg" TargetMode="External"/><Relationship Id="rId26" Type="http://schemas.openxmlformats.org/officeDocument/2006/relationships/hyperlink" Target="https://pbs.twimg.com/profile_images/1852463902027812864/BqBzGx6k_400x400.png" TargetMode="External"/><Relationship Id="rId231" Type="http://schemas.openxmlformats.org/officeDocument/2006/relationships/hyperlink" Target="https://www.cookie.fun/chains/base.svg" TargetMode="External"/><Relationship Id="rId329" Type="http://schemas.openxmlformats.org/officeDocument/2006/relationships/hyperlink" Target="https://pbs.twimg.com/profile_images/1871743259619536896/4IEOn9xW_normal.jpg" TargetMode="External"/><Relationship Id="rId536" Type="http://schemas.openxmlformats.org/officeDocument/2006/relationships/hyperlink" Target="https://pbs.twimg.com/profile_images/1619729617098506243/FZLFQ6He_normal.jpg" TargetMode="External"/><Relationship Id="rId1166" Type="http://schemas.openxmlformats.org/officeDocument/2006/relationships/hyperlink" Target="https://x.com/adamagb/status/1878148918808072196" TargetMode="External"/><Relationship Id="rId1373" Type="http://schemas.openxmlformats.org/officeDocument/2006/relationships/hyperlink" Target="https://pbs.twimg.com/profile_images/1876221125446787072/H_15cndc_400x400.jpg" TargetMode="External"/><Relationship Id="rId175" Type="http://schemas.openxmlformats.org/officeDocument/2006/relationships/hyperlink" Target="https://pbs.twimg.com/profile_images/1806436217950441472/UQXxhjcU_normal.jpg" TargetMode="External"/><Relationship Id="rId743" Type="http://schemas.openxmlformats.org/officeDocument/2006/relationships/hyperlink" Target="https://pbs.twimg.com/profile_images/1857488709718786048/PjFQ8TNy_400x400.jpg" TargetMode="External"/><Relationship Id="rId950" Type="http://schemas.openxmlformats.org/officeDocument/2006/relationships/hyperlink" Target="https://pbs.twimg.com/profile_images/1735073358587330560/Bya8I34Y_normal.jpg" TargetMode="External"/><Relationship Id="rId1026" Type="http://schemas.openxmlformats.org/officeDocument/2006/relationships/hyperlink" Target="https://pbs.twimg.com/profile_images/1860041090197229568/kFhj4Xka_400x400.jpg" TargetMode="External"/><Relationship Id="rId1580" Type="http://schemas.openxmlformats.org/officeDocument/2006/relationships/hyperlink" Target="https://pbs.twimg.com/profile_images/1859377322488369152/Oy1pTeXV_400x400.jpg" TargetMode="External"/><Relationship Id="rId1678" Type="http://schemas.openxmlformats.org/officeDocument/2006/relationships/hyperlink" Target="https://www.cookie.fun/agent/sim" TargetMode="External"/><Relationship Id="rId1801" Type="http://schemas.openxmlformats.org/officeDocument/2006/relationships/hyperlink" Target="https://pbs.twimg.com/profile_images/1874800519367278592/3UI7A6W8_normal.jpg" TargetMode="External"/><Relationship Id="rId1885" Type="http://schemas.openxmlformats.org/officeDocument/2006/relationships/hyperlink" Target="https://pbs.twimg.com/profile_images/1856001031001473024/hogmjU9m_400x400.png" TargetMode="External"/><Relationship Id="rId382" Type="http://schemas.openxmlformats.org/officeDocument/2006/relationships/hyperlink" Target="https://x.com/OX_DAO/status/1878567157119803790" TargetMode="External"/><Relationship Id="rId603" Type="http://schemas.openxmlformats.org/officeDocument/2006/relationships/hyperlink" Target="https://pbs.twimg.com/profile_images/1819463930802028544/wZAMMX0W_normal.jpg" TargetMode="External"/><Relationship Id="rId687" Type="http://schemas.openxmlformats.org/officeDocument/2006/relationships/hyperlink" Target="https://www.cookie.fun/chains/base.svg" TargetMode="External"/><Relationship Id="rId810" Type="http://schemas.openxmlformats.org/officeDocument/2006/relationships/hyperlink" Target="https://www.cookie.fun/agent/bloomsperg-terminal" TargetMode="External"/><Relationship Id="rId908" Type="http://schemas.openxmlformats.org/officeDocument/2006/relationships/hyperlink" Target="https://x.com/cecilia_hsueh/status/1879028063574606084" TargetMode="External"/><Relationship Id="rId1233" Type="http://schemas.openxmlformats.org/officeDocument/2006/relationships/hyperlink" Target="https://pbs.twimg.com/profile_images/1862665713057714176/yjRPkpdh_400x400.jpg" TargetMode="External"/><Relationship Id="rId1440" Type="http://schemas.openxmlformats.org/officeDocument/2006/relationships/hyperlink" Target="https://pbs.twimg.com/profile_images/1801175932314480641/8EhejS8-_normal.jpg" TargetMode="External"/><Relationship Id="rId1538" Type="http://schemas.openxmlformats.org/officeDocument/2006/relationships/hyperlink" Target="https://pbs.twimg.com/profile_images/1862441663680929792/hFanBnG4_400x400.jpg" TargetMode="External"/><Relationship Id="rId242" Type="http://schemas.openxmlformats.org/officeDocument/2006/relationships/hyperlink" Target="https://pbs.twimg.com/profile_images/1770106984349786112/jJQiGmu9_400x400.jpg" TargetMode="External"/><Relationship Id="rId894" Type="http://schemas.openxmlformats.org/officeDocument/2006/relationships/hyperlink" Target="https://pbs.twimg.com/profile_images/1722153907499986944/xv3-3-Gn_normal.jpg" TargetMode="External"/><Relationship Id="rId1177" Type="http://schemas.openxmlformats.org/officeDocument/2006/relationships/hyperlink" Target="https://pbs.twimg.com/profile_images/1869139507397734401/K6GG6cvD_normal.jpg" TargetMode="External"/><Relationship Id="rId1300" Type="http://schemas.openxmlformats.org/officeDocument/2006/relationships/hyperlink" Target="https://x.com/cryptomanran/status/1877707118553268721" TargetMode="External"/><Relationship Id="rId1745" Type="http://schemas.openxmlformats.org/officeDocument/2006/relationships/hyperlink" Target="https://x.com/LinImelda/status/1877979894300430525" TargetMode="External"/><Relationship Id="rId37" Type="http://schemas.openxmlformats.org/officeDocument/2006/relationships/hyperlink" Target="https://www.cookie.fun/agent/ava" TargetMode="External"/><Relationship Id="rId102" Type="http://schemas.openxmlformats.org/officeDocument/2006/relationships/hyperlink" Target="https://x.com/gammichan/status/1878606387909181897" TargetMode="External"/><Relationship Id="rId547" Type="http://schemas.openxmlformats.org/officeDocument/2006/relationships/hyperlink" Target="https://x.com/BottoDAO/status/1877766416201302075" TargetMode="External"/><Relationship Id="rId754" Type="http://schemas.openxmlformats.org/officeDocument/2006/relationships/hyperlink" Target="https://www.cookie.fun/agent/duck-ai" TargetMode="External"/><Relationship Id="rId961" Type="http://schemas.openxmlformats.org/officeDocument/2006/relationships/hyperlink" Target="https://www.cookie.fun/agent/ai-bloom" TargetMode="External"/><Relationship Id="rId1384" Type="http://schemas.openxmlformats.org/officeDocument/2006/relationships/hyperlink" Target="https://x.com/rickstarr031/status/1878472038081323294" TargetMode="External"/><Relationship Id="rId1591" Type="http://schemas.openxmlformats.org/officeDocument/2006/relationships/hyperlink" Target="https://www.cookie.fun/chains/solana.svg" TargetMode="External"/><Relationship Id="rId1605" Type="http://schemas.openxmlformats.org/officeDocument/2006/relationships/hyperlink" Target="https://pbs.twimg.com/profile_images/1754632022939611137/9Twew9N7_normal.jpg" TargetMode="External"/><Relationship Id="rId1689" Type="http://schemas.openxmlformats.org/officeDocument/2006/relationships/hyperlink" Target="https://x.com/WomanNFT/status/1878805759707975770" TargetMode="External"/><Relationship Id="rId1812" Type="http://schemas.openxmlformats.org/officeDocument/2006/relationships/hyperlink" Target="https://pbs.twimg.com/profile_images/1820898804834369536/kEO4-xkf_normal.jpg" TargetMode="External"/><Relationship Id="rId90" Type="http://schemas.openxmlformats.org/officeDocument/2006/relationships/hyperlink" Target="https://x.com/DeeZe/status/1877075542001713312" TargetMode="External"/><Relationship Id="rId186" Type="http://schemas.openxmlformats.org/officeDocument/2006/relationships/hyperlink" Target="https://x.com/gem_insider/status/1878094519935361035" TargetMode="External"/><Relationship Id="rId393" Type="http://schemas.openxmlformats.org/officeDocument/2006/relationships/hyperlink" Target="https://pbs.twimg.com/profile_images/1564377312883134469/HdcOW2fk_normal.jpg" TargetMode="External"/><Relationship Id="rId407" Type="http://schemas.openxmlformats.org/officeDocument/2006/relationships/hyperlink" Target="https://pbs.twimg.com/profile_images/1352548197835681793/P8tRO3U2_normal.jpg" TargetMode="External"/><Relationship Id="rId614" Type="http://schemas.openxmlformats.org/officeDocument/2006/relationships/hyperlink" Target="https://x.com/BiteyeCN/status/1877249880021942569" TargetMode="External"/><Relationship Id="rId821" Type="http://schemas.openxmlformats.org/officeDocument/2006/relationships/hyperlink" Target="https://x.com/OGDfarmer/status/1877010510480085452" TargetMode="External"/><Relationship Id="rId1037" Type="http://schemas.openxmlformats.org/officeDocument/2006/relationships/hyperlink" Target="https://x.com/TheBoggartt/status/1877796483308691528" TargetMode="External"/><Relationship Id="rId1244" Type="http://schemas.openxmlformats.org/officeDocument/2006/relationships/hyperlink" Target="https://www.cookie.fun/chains/base.svg" TargetMode="External"/><Relationship Id="rId1451" Type="http://schemas.openxmlformats.org/officeDocument/2006/relationships/hyperlink" Target="https://pbs.twimg.com/profile_images/1857872843268108288/WsxxIm5g_normal.jpg" TargetMode="External"/><Relationship Id="rId1896" Type="http://schemas.openxmlformats.org/officeDocument/2006/relationships/hyperlink" Target="https://www.cookie.fun/chains/base.svg" TargetMode="External"/><Relationship Id="rId253" Type="http://schemas.openxmlformats.org/officeDocument/2006/relationships/hyperlink" Target="https://www.cookie.fun/agent/trisig" TargetMode="External"/><Relationship Id="rId460" Type="http://schemas.openxmlformats.org/officeDocument/2006/relationships/hyperlink" Target="https://x.com/crypto_linn/status/1878748127475445816" TargetMode="External"/><Relationship Id="rId698" Type="http://schemas.openxmlformats.org/officeDocument/2006/relationships/hyperlink" Target="https://pbs.twimg.com/profile_images/1874099224163631104/aD5Tvp66_400x400.jpg" TargetMode="External"/><Relationship Id="rId919" Type="http://schemas.openxmlformats.org/officeDocument/2006/relationships/hyperlink" Target="https://pbs.twimg.com/profile_images/1637218141255131139/IY4gsV5h_normal.jpg" TargetMode="External"/><Relationship Id="rId1090" Type="http://schemas.openxmlformats.org/officeDocument/2006/relationships/hyperlink" Target="https://x.com/0xDith/status/1878494569362300990" TargetMode="External"/><Relationship Id="rId1104" Type="http://schemas.openxmlformats.org/officeDocument/2006/relationships/hyperlink" Target="https://x.com/GuidoDisalle/status/1877761182913716238" TargetMode="External"/><Relationship Id="rId1311" Type="http://schemas.openxmlformats.org/officeDocument/2006/relationships/hyperlink" Target="https://x.com/HanzoYasunaga/status/1877783764719300784" TargetMode="External"/><Relationship Id="rId1549" Type="http://schemas.openxmlformats.org/officeDocument/2006/relationships/hyperlink" Target="https://www.cookie.fun/chains/solana.svg" TargetMode="External"/><Relationship Id="rId1756" Type="http://schemas.openxmlformats.org/officeDocument/2006/relationships/hyperlink" Target="https://pbs.twimg.com/profile_images/1580324266456776704/2bzFTexS_normal.jpg" TargetMode="External"/><Relationship Id="rId48" Type="http://schemas.openxmlformats.org/officeDocument/2006/relationships/hyperlink" Target="https://x.com/solana/status/1879068814715105299" TargetMode="External"/><Relationship Id="rId113" Type="http://schemas.openxmlformats.org/officeDocument/2006/relationships/hyperlink" Target="https://pbs.twimg.com/profile_images/1876894667767468032/8z-b85Kk_normal.jpg" TargetMode="External"/><Relationship Id="rId320" Type="http://schemas.openxmlformats.org/officeDocument/2006/relationships/hyperlink" Target="https://x.com/ai/status/1878796644352725130" TargetMode="External"/><Relationship Id="rId558" Type="http://schemas.openxmlformats.org/officeDocument/2006/relationships/hyperlink" Target="https://pbs.twimg.com/profile_images/1834157145299763200/Fh1b6K9r_normal.jpg" TargetMode="External"/><Relationship Id="rId765" Type="http://schemas.openxmlformats.org/officeDocument/2006/relationships/hyperlink" Target="https://www.cookie.fun/chains/base.svg" TargetMode="External"/><Relationship Id="rId972" Type="http://schemas.openxmlformats.org/officeDocument/2006/relationships/hyperlink" Target="https://www.cookie.fun/agent/mana-on-sol" TargetMode="External"/><Relationship Id="rId1188" Type="http://schemas.openxmlformats.org/officeDocument/2006/relationships/hyperlink" Target="https://pbs.twimg.com/profile_images/1851336297312358400/f2yStToY_normal.jpg" TargetMode="External"/><Relationship Id="rId1395" Type="http://schemas.openxmlformats.org/officeDocument/2006/relationships/hyperlink" Target="https://pbs.twimg.com/profile_images/1872371692388884480/1BrkL2_T_normal.jpg" TargetMode="External"/><Relationship Id="rId1409" Type="http://schemas.openxmlformats.org/officeDocument/2006/relationships/hyperlink" Target="https://pbs.twimg.com/profile_images/1849037778711150592/VkQc15nT_400x400.jpg" TargetMode="External"/><Relationship Id="rId1616" Type="http://schemas.openxmlformats.org/officeDocument/2006/relationships/hyperlink" Target="https://pbs.twimg.com/profile_images/1860156958394974210/5zAJomsJ_400x400.jpg" TargetMode="External"/><Relationship Id="rId1823" Type="http://schemas.openxmlformats.org/officeDocument/2006/relationships/hyperlink" Target="https://x.com/alfaketchum/status/1879184657314660582" TargetMode="External"/><Relationship Id="rId197" Type="http://schemas.openxmlformats.org/officeDocument/2006/relationships/hyperlink" Target="https://pbs.twimg.com/profile_images/1794709660844359680/zbYJdfZs_normal.jpg" TargetMode="External"/><Relationship Id="rId418" Type="http://schemas.openxmlformats.org/officeDocument/2006/relationships/hyperlink" Target="https://x.com/bull_bnb/status/1878179684334096686" TargetMode="External"/><Relationship Id="rId625" Type="http://schemas.openxmlformats.org/officeDocument/2006/relationships/hyperlink" Target="https://www.cookie.fun/chains/solana.svg" TargetMode="External"/><Relationship Id="rId832" Type="http://schemas.openxmlformats.org/officeDocument/2006/relationships/hyperlink" Target="https://www.cookie.fun/chains/solana.svg" TargetMode="External"/><Relationship Id="rId1048" Type="http://schemas.openxmlformats.org/officeDocument/2006/relationships/hyperlink" Target="https://pbs.twimg.com/profile_images/1872371692388884480/1BrkL2_T_normal.jpg" TargetMode="External"/><Relationship Id="rId1255" Type="http://schemas.openxmlformats.org/officeDocument/2006/relationships/hyperlink" Target="https://www.cookie.fun/chains/solana.svg" TargetMode="External"/><Relationship Id="rId1462" Type="http://schemas.openxmlformats.org/officeDocument/2006/relationships/hyperlink" Target="https://www.cookie.fun/agent/devin" TargetMode="External"/><Relationship Id="rId264" Type="http://schemas.openxmlformats.org/officeDocument/2006/relationships/hyperlink" Target="https://x.com/moneyl0rd/status/1879123784810270940" TargetMode="External"/><Relationship Id="rId471" Type="http://schemas.openxmlformats.org/officeDocument/2006/relationships/hyperlink" Target="https://www.cookie.fun/chains/solana.svg" TargetMode="External"/><Relationship Id="rId1115" Type="http://schemas.openxmlformats.org/officeDocument/2006/relationships/hyperlink" Target="https://x.com/tyler/status/1877431903596196255" TargetMode="External"/><Relationship Id="rId1322" Type="http://schemas.openxmlformats.org/officeDocument/2006/relationships/hyperlink" Target="https://www.cookie.fun/chains/solana.svg" TargetMode="External"/><Relationship Id="rId1767" Type="http://schemas.openxmlformats.org/officeDocument/2006/relationships/hyperlink" Target="https://www.cookie.fun/chains/solana.svg" TargetMode="External"/><Relationship Id="rId59" Type="http://schemas.openxmlformats.org/officeDocument/2006/relationships/hyperlink" Target="https://pbs.twimg.com/profile_images/1452754543217831938/T2O-66Yy_normal.jpg" TargetMode="External"/><Relationship Id="rId124" Type="http://schemas.openxmlformats.org/officeDocument/2006/relationships/hyperlink" Target="https://x.com/SajadFlips/status/1877301005366300943" TargetMode="External"/><Relationship Id="rId569" Type="http://schemas.openxmlformats.org/officeDocument/2006/relationships/hyperlink" Target="https://x.com/Alejandro_XBT/status/1878112899777913128" TargetMode="External"/><Relationship Id="rId776" Type="http://schemas.openxmlformats.org/officeDocument/2006/relationships/hyperlink" Target="https://pbs.twimg.com/profile_images/1878925796770738176/CQagORBp_normal.jpg" TargetMode="External"/><Relationship Id="rId983" Type="http://schemas.openxmlformats.org/officeDocument/2006/relationships/hyperlink" Target="https://www.cookie.fun/agent/zara" TargetMode="External"/><Relationship Id="rId1199" Type="http://schemas.openxmlformats.org/officeDocument/2006/relationships/hyperlink" Target="https://x.com/abgweb3/status/1878366003496661428" TargetMode="External"/><Relationship Id="rId1627" Type="http://schemas.openxmlformats.org/officeDocument/2006/relationships/hyperlink" Target="https://www.cookie.fun/agent/keyboard-cat" TargetMode="External"/><Relationship Id="rId1834" Type="http://schemas.openxmlformats.org/officeDocument/2006/relationships/hyperlink" Target="https://pbs.twimg.com/profile_images/1872382627011035136/ag-fU-8E_400x400.jpg" TargetMode="External"/><Relationship Id="rId331" Type="http://schemas.openxmlformats.org/officeDocument/2006/relationships/hyperlink" Target="https://pbs.twimg.com/profile_images/1871330840774426625/pjvENjuB_normal.jpg" TargetMode="External"/><Relationship Id="rId429" Type="http://schemas.openxmlformats.org/officeDocument/2006/relationships/hyperlink" Target="https://pbs.twimg.com/profile_images/1743560221404905472/59eAYLjd_normal.jpg" TargetMode="External"/><Relationship Id="rId636" Type="http://schemas.openxmlformats.org/officeDocument/2006/relationships/hyperlink" Target="https://www.cookie.fun/chains/solana.svg" TargetMode="External"/><Relationship Id="rId1059" Type="http://schemas.openxmlformats.org/officeDocument/2006/relationships/hyperlink" Target="https://pbs.twimg.com/profile_images/1484675718227374084/KwlUzuE3_normal.jpg" TargetMode="External"/><Relationship Id="rId1266" Type="http://schemas.openxmlformats.org/officeDocument/2006/relationships/hyperlink" Target="https://pbs.twimg.com/profile_images/1653754789241446401/whh0PdFN_normal.jpg" TargetMode="External"/><Relationship Id="rId1473" Type="http://schemas.openxmlformats.org/officeDocument/2006/relationships/hyperlink" Target="https://x.com/PunkHot10/status/1878183812498083853" TargetMode="External"/><Relationship Id="rId843" Type="http://schemas.openxmlformats.org/officeDocument/2006/relationships/hyperlink" Target="https://www.cookie.fun/chains/base.svg" TargetMode="External"/><Relationship Id="rId1126" Type="http://schemas.openxmlformats.org/officeDocument/2006/relationships/hyperlink" Target="https://pbs.twimg.com/profile_images/1775346225019072513/gWL-bbsT_normal.jpg" TargetMode="External"/><Relationship Id="rId1680" Type="http://schemas.openxmlformats.org/officeDocument/2006/relationships/hyperlink" Target="https://www.cookie.fun/chains/base.svg" TargetMode="External"/><Relationship Id="rId1778" Type="http://schemas.openxmlformats.org/officeDocument/2006/relationships/hyperlink" Target="https://pbs.twimg.com/profile_images/1877079241944100865/bZ7orovo_400x400.jpg" TargetMode="External"/><Relationship Id="rId1901" Type="http://schemas.openxmlformats.org/officeDocument/2006/relationships/hyperlink" Target="https://www.cookie.fun/chains/base.svg" TargetMode="External"/><Relationship Id="rId275" Type="http://schemas.openxmlformats.org/officeDocument/2006/relationships/hyperlink" Target="https://pbs.twimg.com/profile_images/1821761744068304896/tIlBR-0c_normal.jpg" TargetMode="External"/><Relationship Id="rId482" Type="http://schemas.openxmlformats.org/officeDocument/2006/relationships/hyperlink" Target="https://pbs.twimg.com/profile_images/1867788948933582848/hZwR1MiM_400x400.jpg" TargetMode="External"/><Relationship Id="rId703" Type="http://schemas.openxmlformats.org/officeDocument/2006/relationships/hyperlink" Target="https://pbs.twimg.com/profile_images/1868157932564877312/aYZ3InKy_normal.jpg" TargetMode="External"/><Relationship Id="rId910" Type="http://schemas.openxmlformats.org/officeDocument/2006/relationships/hyperlink" Target="https://x.com/mhluongo/status/1878243823354061223" TargetMode="External"/><Relationship Id="rId1333" Type="http://schemas.openxmlformats.org/officeDocument/2006/relationships/hyperlink" Target="https://www.cookie.fun/chains/base.svg" TargetMode="External"/><Relationship Id="rId1540" Type="http://schemas.openxmlformats.org/officeDocument/2006/relationships/hyperlink" Target="https://x.com/MEXC_Official/status/1877566032933769344" TargetMode="External"/><Relationship Id="rId1638" Type="http://schemas.openxmlformats.org/officeDocument/2006/relationships/hyperlink" Target="https://www.cookie.fun/chains/solana.svg" TargetMode="External"/><Relationship Id="rId135" Type="http://schemas.openxmlformats.org/officeDocument/2006/relationships/hyperlink" Target="https://www.cookie.fun/chains/bsc.svg" TargetMode="External"/><Relationship Id="rId342" Type="http://schemas.openxmlformats.org/officeDocument/2006/relationships/hyperlink" Target="https://x.com/Taran_ss/status/1878920488509960208" TargetMode="External"/><Relationship Id="rId787" Type="http://schemas.openxmlformats.org/officeDocument/2006/relationships/hyperlink" Target="https://x.com/gmEthereum/status/1877143629988282623" TargetMode="External"/><Relationship Id="rId994" Type="http://schemas.openxmlformats.org/officeDocument/2006/relationships/hyperlink" Target="https://www.cookie.fun/agent/project89" TargetMode="External"/><Relationship Id="rId1400" Type="http://schemas.openxmlformats.org/officeDocument/2006/relationships/hyperlink" Target="https://www.cookie.fun/chains/base.svg" TargetMode="External"/><Relationship Id="rId1845" Type="http://schemas.openxmlformats.org/officeDocument/2006/relationships/hyperlink" Target="https://www.cookie.fun/chains/solana.svg" TargetMode="External"/><Relationship Id="rId202" Type="http://schemas.openxmlformats.org/officeDocument/2006/relationships/hyperlink" Target="https://x.com/carlosroldanx/status/1877649810976637179" TargetMode="External"/><Relationship Id="rId647" Type="http://schemas.openxmlformats.org/officeDocument/2006/relationships/hyperlink" Target="https://pbs.twimg.com/profile_images/1863391223509327872/P_EuN2za_400x400.png" TargetMode="External"/><Relationship Id="rId854" Type="http://schemas.openxmlformats.org/officeDocument/2006/relationships/hyperlink" Target="https://www.cookie.fun/chains/solana.svg" TargetMode="External"/><Relationship Id="rId1277" Type="http://schemas.openxmlformats.org/officeDocument/2006/relationships/hyperlink" Target="https://x.com/VikkiBardot/status/1877811327030226999" TargetMode="External"/><Relationship Id="rId1484" Type="http://schemas.openxmlformats.org/officeDocument/2006/relationships/hyperlink" Target="https://pbs.twimg.com/profile_images/1501707897641779208/cpB2Dk9__normal.jpg" TargetMode="External"/><Relationship Id="rId1691" Type="http://schemas.openxmlformats.org/officeDocument/2006/relationships/hyperlink" Target="https://x.com/catswilleatyou/status/1879289029902172643" TargetMode="External"/><Relationship Id="rId1705" Type="http://schemas.openxmlformats.org/officeDocument/2006/relationships/hyperlink" Target="https://www.cookie.fun/agent/agentalgo" TargetMode="External"/><Relationship Id="rId1912" Type="http://schemas.openxmlformats.org/officeDocument/2006/relationships/hyperlink" Target="https://www.cookie.fun/chains/solana.svg" TargetMode="External"/><Relationship Id="rId286" Type="http://schemas.openxmlformats.org/officeDocument/2006/relationships/hyperlink" Target="https://x.com/MLeeJr/status/1878293174998663213" TargetMode="External"/><Relationship Id="rId493" Type="http://schemas.openxmlformats.org/officeDocument/2006/relationships/hyperlink" Target="https://www.cookie.fun/agent/moe" TargetMode="External"/><Relationship Id="rId507" Type="http://schemas.openxmlformats.org/officeDocument/2006/relationships/hyperlink" Target="https://www.cookie.fun/chains/solana.svg" TargetMode="External"/><Relationship Id="rId714" Type="http://schemas.openxmlformats.org/officeDocument/2006/relationships/hyperlink" Target="https://pbs.twimg.com/profile_images/1874108066469466112/MY-brhVa_normal.jpg" TargetMode="External"/><Relationship Id="rId921" Type="http://schemas.openxmlformats.org/officeDocument/2006/relationships/hyperlink" Target="https://pbs.twimg.com/profile_images/1637218141255131139/IY4gsV5h_normal.jpg" TargetMode="External"/><Relationship Id="rId1137" Type="http://schemas.openxmlformats.org/officeDocument/2006/relationships/hyperlink" Target="https://x.com/meta_alchemist/status/1878165620375887954" TargetMode="External"/><Relationship Id="rId1344" Type="http://schemas.openxmlformats.org/officeDocument/2006/relationships/hyperlink" Target="https://x.com/ghost93_x/status/1879042768086991033" TargetMode="External"/><Relationship Id="rId1551" Type="http://schemas.openxmlformats.org/officeDocument/2006/relationships/hyperlink" Target="https://pbs.twimg.com/profile_images/1653839871382020102/tZ86sj_a_normal.jpg" TargetMode="External"/><Relationship Id="rId1789" Type="http://schemas.openxmlformats.org/officeDocument/2006/relationships/hyperlink" Target="https://www.cookie.fun/chains/ethereum.svg" TargetMode="External"/><Relationship Id="rId50" Type="http://schemas.openxmlformats.org/officeDocument/2006/relationships/hyperlink" Target="https://pbs.twimg.com/profile_images/1855410740020293632/QGF56UwO_400x400.jpg" TargetMode="External"/><Relationship Id="rId146" Type="http://schemas.openxmlformats.org/officeDocument/2006/relationships/hyperlink" Target="https://pbs.twimg.com/profile_images/1868618767846039552/rcjufeVM_400x400.jpg" TargetMode="External"/><Relationship Id="rId353" Type="http://schemas.openxmlformats.org/officeDocument/2006/relationships/hyperlink" Target="https://pbs.twimg.com/profile_images/1839737518058790912/z6Kr5LQb_normal.jpg" TargetMode="External"/><Relationship Id="rId560" Type="http://schemas.openxmlformats.org/officeDocument/2006/relationships/hyperlink" Target="https://pbs.twimg.com/profile_images/1834157145299763200/Fh1b6K9r_normal.jpg" TargetMode="External"/><Relationship Id="rId798" Type="http://schemas.openxmlformats.org/officeDocument/2006/relationships/hyperlink" Target="https://pbs.twimg.com/profile_images/1768803812578410496/C7RI-8SU_normal.jpg" TargetMode="External"/><Relationship Id="rId1190" Type="http://schemas.openxmlformats.org/officeDocument/2006/relationships/hyperlink" Target="https://pbs.twimg.com/profile_images/1855533647324913664/lQ3i5qLX_normal.jpg" TargetMode="External"/><Relationship Id="rId1204" Type="http://schemas.openxmlformats.org/officeDocument/2006/relationships/hyperlink" Target="https://pbs.twimg.com/profile_images/1864626796248866816/vVL2JWVL_400x400.jpg" TargetMode="External"/><Relationship Id="rId1411" Type="http://schemas.openxmlformats.org/officeDocument/2006/relationships/hyperlink" Target="https://x.com/cryptunez/status/1877830990942662763" TargetMode="External"/><Relationship Id="rId1649" Type="http://schemas.openxmlformats.org/officeDocument/2006/relationships/hyperlink" Target="https://x.com/DCBK2LA/status/1879329468516552733" TargetMode="External"/><Relationship Id="rId1856" Type="http://schemas.openxmlformats.org/officeDocument/2006/relationships/hyperlink" Target="https://www.cookie.fun/agent/vitalikcurberin" TargetMode="External"/><Relationship Id="rId213" Type="http://schemas.openxmlformats.org/officeDocument/2006/relationships/hyperlink" Target="https://pbs.twimg.com/profile_images/1564655062420529154/MotsbUai_normal.jpg" TargetMode="External"/><Relationship Id="rId420" Type="http://schemas.openxmlformats.org/officeDocument/2006/relationships/hyperlink" Target="https://x.com/Flowslikeosmo/status/1878819335088840954" TargetMode="External"/><Relationship Id="rId658" Type="http://schemas.openxmlformats.org/officeDocument/2006/relationships/hyperlink" Target="https://www.cookie.fun/agent/gekko-ai" TargetMode="External"/><Relationship Id="rId865" Type="http://schemas.openxmlformats.org/officeDocument/2006/relationships/hyperlink" Target="https://pbs.twimg.com/profile_images/1861235858168569856/PaGaTUGs_400x400.png" TargetMode="External"/><Relationship Id="rId1050" Type="http://schemas.openxmlformats.org/officeDocument/2006/relationships/hyperlink" Target="https://pbs.twimg.com/profile_images/1852448263108239360/Yj_RgJWP_normal.jpg" TargetMode="External"/><Relationship Id="rId1288" Type="http://schemas.openxmlformats.org/officeDocument/2006/relationships/hyperlink" Target="https://www.cookie.fun/agent/artificial-general-intelligence" TargetMode="External"/><Relationship Id="rId1495" Type="http://schemas.openxmlformats.org/officeDocument/2006/relationships/hyperlink" Target="https://x.com/DEXLaboratory4/status/1878050512408310032" TargetMode="External"/><Relationship Id="rId1509" Type="http://schemas.openxmlformats.org/officeDocument/2006/relationships/hyperlink" Target="https://pbs.twimg.com/profile_images/1852025857205760000/dJDO9MBe_400x400.png" TargetMode="External"/><Relationship Id="rId1716" Type="http://schemas.openxmlformats.org/officeDocument/2006/relationships/hyperlink" Target="https://pbs.twimg.com/profile_images/1864751521365180416/5_9YkSvu_400x400.jpg" TargetMode="External"/><Relationship Id="rId297" Type="http://schemas.openxmlformats.org/officeDocument/2006/relationships/hyperlink" Target="https://pbs.twimg.com/profile_images/1856079545780125696/JQkZlaHt_normal.jpg" TargetMode="External"/><Relationship Id="rId518" Type="http://schemas.openxmlformats.org/officeDocument/2006/relationships/hyperlink" Target="https://www.cookie.fun/chains/solana.svg" TargetMode="External"/><Relationship Id="rId725" Type="http://schemas.openxmlformats.org/officeDocument/2006/relationships/hyperlink" Target="https://x.com/mrpunkdoteth/status/1878444495030903209" TargetMode="External"/><Relationship Id="rId932" Type="http://schemas.openxmlformats.org/officeDocument/2006/relationships/hyperlink" Target="https://pbs.twimg.com/profile_images/1872194045734170624/f50upLYA_400x400.jpg" TargetMode="External"/><Relationship Id="rId1148" Type="http://schemas.openxmlformats.org/officeDocument/2006/relationships/hyperlink" Target="https://x.com/ChrisCoffeeEth/status/1877134773581164831" TargetMode="External"/><Relationship Id="rId1355" Type="http://schemas.openxmlformats.org/officeDocument/2006/relationships/hyperlink" Target="https://x.com/Velvet_Capital/status/1877378853078777916" TargetMode="External"/><Relationship Id="rId1562" Type="http://schemas.openxmlformats.org/officeDocument/2006/relationships/hyperlink" Target="https://x.com/NFTland/status/1877716978019762179" TargetMode="External"/><Relationship Id="rId157" Type="http://schemas.openxmlformats.org/officeDocument/2006/relationships/hyperlink" Target="https://www.cookie.fun/agent/kudai" TargetMode="External"/><Relationship Id="rId364" Type="http://schemas.openxmlformats.org/officeDocument/2006/relationships/hyperlink" Target="https://x.com/tong0x/status/1878177975948255588" TargetMode="External"/><Relationship Id="rId1008" Type="http://schemas.openxmlformats.org/officeDocument/2006/relationships/hyperlink" Target="https://www.cookie.fun/chains/solana.svg" TargetMode="External"/><Relationship Id="rId1215" Type="http://schemas.openxmlformats.org/officeDocument/2006/relationships/hyperlink" Target="https://www.cookie.fun/agent/xgpt" TargetMode="External"/><Relationship Id="rId1422" Type="http://schemas.openxmlformats.org/officeDocument/2006/relationships/hyperlink" Target="https://www.cookie.fun/chains/ethereum.svg" TargetMode="External"/><Relationship Id="rId1867" Type="http://schemas.openxmlformats.org/officeDocument/2006/relationships/hyperlink" Target="https://pbs.twimg.com/profile_images/1843549621747924992/m_MebdQE_400x400.jpg" TargetMode="External"/><Relationship Id="rId61" Type="http://schemas.openxmlformats.org/officeDocument/2006/relationships/hyperlink" Target="https://www.cookie.fun/agent/rektguy" TargetMode="External"/><Relationship Id="rId571" Type="http://schemas.openxmlformats.org/officeDocument/2006/relationships/hyperlink" Target="https://x.com/Alejandro_XBT/status/1877780590373560769" TargetMode="External"/><Relationship Id="rId669" Type="http://schemas.openxmlformats.org/officeDocument/2006/relationships/hyperlink" Target="https://pbs.twimg.com/profile_images/1643341037891403778/tAsgiU_0_normal.jpg" TargetMode="External"/><Relationship Id="rId876" Type="http://schemas.openxmlformats.org/officeDocument/2006/relationships/hyperlink" Target="https://www.cookie.fun/agent/limitless" TargetMode="External"/><Relationship Id="rId1299" Type="http://schemas.openxmlformats.org/officeDocument/2006/relationships/hyperlink" Target="https://pbs.twimg.com/profile_images/1834157145299763200/Fh1b6K9r_normal.jpg" TargetMode="External"/><Relationship Id="rId1727" Type="http://schemas.openxmlformats.org/officeDocument/2006/relationships/hyperlink" Target="https://www.cookie.fun/chains/solana.svg" TargetMode="External"/><Relationship Id="rId19" Type="http://schemas.openxmlformats.org/officeDocument/2006/relationships/hyperlink" Target="https://pbs.twimg.com/profile_images/1764448451721367552/JdWekZhB_normal.jpg" TargetMode="External"/><Relationship Id="rId224" Type="http://schemas.openxmlformats.org/officeDocument/2006/relationships/hyperlink" Target="https://x.com/Mepo2000/status/1878794037483704703" TargetMode="External"/><Relationship Id="rId431" Type="http://schemas.openxmlformats.org/officeDocument/2006/relationships/hyperlink" Target="https://pbs.twimg.com/profile_images/1662177307031896065/2HMD6SrH_normal.jpg" TargetMode="External"/><Relationship Id="rId529" Type="http://schemas.openxmlformats.org/officeDocument/2006/relationships/hyperlink" Target="https://pbs.twimg.com/profile_images/1868129158162731008/DI7uKLct_400x400.jpg" TargetMode="External"/><Relationship Id="rId736" Type="http://schemas.openxmlformats.org/officeDocument/2006/relationships/hyperlink" Target="https://pbs.twimg.com/profile_images/1698707317980852225/c8cr3mF6_normal.jpg" TargetMode="External"/><Relationship Id="rId1061" Type="http://schemas.openxmlformats.org/officeDocument/2006/relationships/hyperlink" Target="https://pbs.twimg.com/profile_images/1342162655478493185/WdI1sonp_normal.jpg" TargetMode="External"/><Relationship Id="rId1159" Type="http://schemas.openxmlformats.org/officeDocument/2006/relationships/hyperlink" Target="https://x.com/OXFUNHQ/status/1879237043953537181" TargetMode="External"/><Relationship Id="rId1366" Type="http://schemas.openxmlformats.org/officeDocument/2006/relationships/hyperlink" Target="https://pbs.twimg.com/profile_images/1854974578042253312/7JIanElc_normal.jpg" TargetMode="External"/><Relationship Id="rId168" Type="http://schemas.openxmlformats.org/officeDocument/2006/relationships/hyperlink" Target="https://x.com/Thecryptolord_/status/1877840455762686092" TargetMode="External"/><Relationship Id="rId943" Type="http://schemas.openxmlformats.org/officeDocument/2006/relationships/hyperlink" Target="https://x.com/theYRDGZ/status/1877474119786045440" TargetMode="External"/><Relationship Id="rId1019" Type="http://schemas.openxmlformats.org/officeDocument/2006/relationships/hyperlink" Target="https://x.com/tradingtulips/status/1877922346389901767" TargetMode="External"/><Relationship Id="rId1573" Type="http://schemas.openxmlformats.org/officeDocument/2006/relationships/hyperlink" Target="https://pbs.twimg.com/profile_images/1877838779114749953/Oe-Q-5uy_400x400.jpg" TargetMode="External"/><Relationship Id="rId1780" Type="http://schemas.openxmlformats.org/officeDocument/2006/relationships/hyperlink" Target="https://www.cookie.fun/agent/crypto-101" TargetMode="External"/><Relationship Id="rId1878" Type="http://schemas.openxmlformats.org/officeDocument/2006/relationships/hyperlink" Target="https://www.cookie.fun/agent/brokie" TargetMode="External"/><Relationship Id="rId72" Type="http://schemas.openxmlformats.org/officeDocument/2006/relationships/hyperlink" Target="https://x.com/briangarrett/status/1878436851842793836" TargetMode="External"/><Relationship Id="rId375" Type="http://schemas.openxmlformats.org/officeDocument/2006/relationships/hyperlink" Target="https://www.cookie.fun/chains/solana.svg" TargetMode="External"/><Relationship Id="rId582" Type="http://schemas.openxmlformats.org/officeDocument/2006/relationships/hyperlink" Target="https://x.com/lex_node/status/1878421230304280928" TargetMode="External"/><Relationship Id="rId803" Type="http://schemas.openxmlformats.org/officeDocument/2006/relationships/hyperlink" Target="https://www.cookie.fun/chains/base.svg" TargetMode="External"/><Relationship Id="rId1226" Type="http://schemas.openxmlformats.org/officeDocument/2006/relationships/hyperlink" Target="https://pbs.twimg.com/profile_images/1862890658907701248/AkXitOqv_400x400.jpg" TargetMode="External"/><Relationship Id="rId1433" Type="http://schemas.openxmlformats.org/officeDocument/2006/relationships/hyperlink" Target="https://pbs.twimg.com/profile_images/1861021031780999168/kva-vGKf_400x400.jpg" TargetMode="External"/><Relationship Id="rId1640" Type="http://schemas.openxmlformats.org/officeDocument/2006/relationships/hyperlink" Target="https://pbs.twimg.com/profile_images/1457379008065253389/POfb_I4u_normal.jpg" TargetMode="External"/><Relationship Id="rId1738" Type="http://schemas.openxmlformats.org/officeDocument/2006/relationships/hyperlink" Target="https://pbs.twimg.com/profile_images/1868266445391482880/juTqNbbm_400x400.jpg" TargetMode="External"/><Relationship Id="rId3" Type="http://schemas.openxmlformats.org/officeDocument/2006/relationships/hyperlink" Target="https://www.cookie.fun/chains/base.svg" TargetMode="External"/><Relationship Id="rId235" Type="http://schemas.openxmlformats.org/officeDocument/2006/relationships/hyperlink" Target="https://pbs.twimg.com/profile_images/1855948889683030016/MrTuyakp_normal.png" TargetMode="External"/><Relationship Id="rId442" Type="http://schemas.openxmlformats.org/officeDocument/2006/relationships/hyperlink" Target="https://x.com/misterrcrypto/status/1877792777364537492" TargetMode="External"/><Relationship Id="rId887" Type="http://schemas.openxmlformats.org/officeDocument/2006/relationships/hyperlink" Target="https://x.com/XDeGods/status/1879316795779420480" TargetMode="External"/><Relationship Id="rId1072" Type="http://schemas.openxmlformats.org/officeDocument/2006/relationships/hyperlink" Target="https://pbs.twimg.com/profile_images/1423875044598456321/SVjwd6Bb_normal.jpg" TargetMode="External"/><Relationship Id="rId1500" Type="http://schemas.openxmlformats.org/officeDocument/2006/relationships/hyperlink" Target="https://x.com/iambroots/status/1877483884037685534" TargetMode="External"/><Relationship Id="rId302" Type="http://schemas.openxmlformats.org/officeDocument/2006/relationships/hyperlink" Target="https://pbs.twimg.com/profile_images/1878444956626440192/UUs0mH05_400x400.jpg" TargetMode="External"/><Relationship Id="rId747" Type="http://schemas.openxmlformats.org/officeDocument/2006/relationships/hyperlink" Target="https://x.com/dsmartsol/status/1878975812587979024" TargetMode="External"/><Relationship Id="rId954" Type="http://schemas.openxmlformats.org/officeDocument/2006/relationships/hyperlink" Target="https://pbs.twimg.com/profile_images/1874380556131094528/I4af7aw6_normal.jpg" TargetMode="External"/><Relationship Id="rId1377" Type="http://schemas.openxmlformats.org/officeDocument/2006/relationships/hyperlink" Target="https://x.com/ChangeNOW_io/status/1877713763064770700" TargetMode="External"/><Relationship Id="rId1584" Type="http://schemas.openxmlformats.org/officeDocument/2006/relationships/hyperlink" Target="https://www.cookie.fun/chains/solana.svg" TargetMode="External"/><Relationship Id="rId1791" Type="http://schemas.openxmlformats.org/officeDocument/2006/relationships/hyperlink" Target="https://pbs.twimg.com/profile_images/1861371896224456704/CIr-C38A_400x400.jpg" TargetMode="External"/><Relationship Id="rId1805" Type="http://schemas.openxmlformats.org/officeDocument/2006/relationships/hyperlink" Target="https://pbs.twimg.com/profile_images/1860218101901697024/b_JN-oGk_400x400.jpg" TargetMode="External"/><Relationship Id="rId83" Type="http://schemas.openxmlformats.org/officeDocument/2006/relationships/hyperlink" Target="https://pbs.twimg.com/profile_images/1478130385116672008/kpiOx18X_normal.jpg" TargetMode="External"/><Relationship Id="rId179" Type="http://schemas.openxmlformats.org/officeDocument/2006/relationships/hyperlink" Target="https://pbs.twimg.com/profile_images/1721158078765424640/hFrzagyZ_normal.jpg" TargetMode="External"/><Relationship Id="rId386" Type="http://schemas.openxmlformats.org/officeDocument/2006/relationships/hyperlink" Target="https://pbs.twimg.com/profile_images/1862642121066303488/Gdodc8mO_400x400.jpg" TargetMode="External"/><Relationship Id="rId593" Type="http://schemas.openxmlformats.org/officeDocument/2006/relationships/hyperlink" Target="https://pbs.twimg.com/profile_images/1385902238619475969/OFF9YmX9_normal.jpg" TargetMode="External"/><Relationship Id="rId607" Type="http://schemas.openxmlformats.org/officeDocument/2006/relationships/hyperlink" Target="https://pbs.twimg.com/profile_images/1848503159624257538/Dodj7qqx_normal.jpg" TargetMode="External"/><Relationship Id="rId814" Type="http://schemas.openxmlformats.org/officeDocument/2006/relationships/hyperlink" Target="https://pbs.twimg.com/profile_images/1865248625678520325/K8QQsqDl_normal.jpg" TargetMode="External"/><Relationship Id="rId1237" Type="http://schemas.openxmlformats.org/officeDocument/2006/relationships/hyperlink" Target="https://www.cookie.fun/chains/ethereum.svg" TargetMode="External"/><Relationship Id="rId1444" Type="http://schemas.openxmlformats.org/officeDocument/2006/relationships/hyperlink" Target="https://www.cookie.fun/agent/eva" TargetMode="External"/><Relationship Id="rId1651" Type="http://schemas.openxmlformats.org/officeDocument/2006/relationships/hyperlink" Target="https://www.cookie.fun/agent/santa" TargetMode="External"/><Relationship Id="rId1889" Type="http://schemas.openxmlformats.org/officeDocument/2006/relationships/hyperlink" Target="https://www.cookie.fun/agent/tate-terminal" TargetMode="External"/><Relationship Id="rId246" Type="http://schemas.openxmlformats.org/officeDocument/2006/relationships/hyperlink" Target="https://x.com/RealKatoOG/status/1878447377373102248" TargetMode="External"/><Relationship Id="rId453" Type="http://schemas.openxmlformats.org/officeDocument/2006/relationships/hyperlink" Target="https://pbs.twimg.com/profile_images/1762381335791054848/mSMeyQDS_normal.jpg" TargetMode="External"/><Relationship Id="rId660" Type="http://schemas.openxmlformats.org/officeDocument/2006/relationships/hyperlink" Target="https://www.cookie.fun/chains/base.svg" TargetMode="External"/><Relationship Id="rId898" Type="http://schemas.openxmlformats.org/officeDocument/2006/relationships/hyperlink" Target="https://pbs.twimg.com/profile_images/1824187416342597632/dNmT7lhv_normal.jpg" TargetMode="External"/><Relationship Id="rId1083" Type="http://schemas.openxmlformats.org/officeDocument/2006/relationships/hyperlink" Target="https://x.com/0xNefu/status/1877126272335200386" TargetMode="External"/><Relationship Id="rId1290" Type="http://schemas.openxmlformats.org/officeDocument/2006/relationships/hyperlink" Target="https://www.cookie.fun/chains/ethereum.svg" TargetMode="External"/><Relationship Id="rId1304" Type="http://schemas.openxmlformats.org/officeDocument/2006/relationships/hyperlink" Target="https://x.com/SeedifyFund/status/1878835439567564869" TargetMode="External"/><Relationship Id="rId1511" Type="http://schemas.openxmlformats.org/officeDocument/2006/relationships/hyperlink" Target="https://x.com/0xSleuth_/status/1879490228022542557" TargetMode="External"/><Relationship Id="rId1749" Type="http://schemas.openxmlformats.org/officeDocument/2006/relationships/hyperlink" Target="https://www.cookie.fun/chains/solana.svg" TargetMode="External"/><Relationship Id="rId106" Type="http://schemas.openxmlformats.org/officeDocument/2006/relationships/hyperlink" Target="https://x.com/gammichan/status/1877827465764057557" TargetMode="External"/><Relationship Id="rId313" Type="http://schemas.openxmlformats.org/officeDocument/2006/relationships/hyperlink" Target="https://www.cookie.fun/agent/sekoia" TargetMode="External"/><Relationship Id="rId758" Type="http://schemas.openxmlformats.org/officeDocument/2006/relationships/hyperlink" Target="https://pbs.twimg.com/profile_images/1831904183001247744/ALdr5oD1_normal.jpg" TargetMode="External"/><Relationship Id="rId965" Type="http://schemas.openxmlformats.org/officeDocument/2006/relationships/hyperlink" Target="https://x.com/moneyl0rd/status/1877134781781090729" TargetMode="External"/><Relationship Id="rId1150" Type="http://schemas.openxmlformats.org/officeDocument/2006/relationships/hyperlink" Target="https://www.cookie.fun/agent/digimon" TargetMode="External"/><Relationship Id="rId1388" Type="http://schemas.openxmlformats.org/officeDocument/2006/relationships/hyperlink" Target="https://www.cookie.fun/agent/yousim" TargetMode="External"/><Relationship Id="rId1595" Type="http://schemas.openxmlformats.org/officeDocument/2006/relationships/hyperlink" Target="https://pbs.twimg.com/profile_images/1609606658199535618/bHidH77E_normal.jpg" TargetMode="External"/><Relationship Id="rId1609" Type="http://schemas.openxmlformats.org/officeDocument/2006/relationships/hyperlink" Target="https://pbs.twimg.com/profile_images/1590938848304844801/2BV_WAwd_normal.jpg" TargetMode="External"/><Relationship Id="rId1816" Type="http://schemas.openxmlformats.org/officeDocument/2006/relationships/hyperlink" Target="https://pbs.twimg.com/profile_images/1853731561981755392/2_OMXB2L_400x400.jpg" TargetMode="External"/><Relationship Id="rId10" Type="http://schemas.openxmlformats.org/officeDocument/2006/relationships/hyperlink" Target="https://x.com/NftRiles/status/1877658280803062060" TargetMode="External"/><Relationship Id="rId94" Type="http://schemas.openxmlformats.org/officeDocument/2006/relationships/hyperlink" Target="https://x.com/deepname99/status/1878304088682791061" TargetMode="External"/><Relationship Id="rId397" Type="http://schemas.openxmlformats.org/officeDocument/2006/relationships/hyperlink" Target="https://www.cookie.fun/agent/tank" TargetMode="External"/><Relationship Id="rId520" Type="http://schemas.openxmlformats.org/officeDocument/2006/relationships/hyperlink" Target="https://pbs.twimg.com/profile_images/1750880316196089856/YplOr-oj_normal.jpg" TargetMode="External"/><Relationship Id="rId618" Type="http://schemas.openxmlformats.org/officeDocument/2006/relationships/hyperlink" Target="https://x.com/jkrdoc/status/1878749089288106407" TargetMode="External"/><Relationship Id="rId825" Type="http://schemas.openxmlformats.org/officeDocument/2006/relationships/hyperlink" Target="https://pbs.twimg.com/profile_images/1877748125109977088/sQ90zbVa_normal.jpg" TargetMode="External"/><Relationship Id="rId1248" Type="http://schemas.openxmlformats.org/officeDocument/2006/relationships/hyperlink" Target="https://pbs.twimg.com/profile_images/1561354964534018049/T9lKN_2c_normal.jpg" TargetMode="External"/><Relationship Id="rId1455" Type="http://schemas.openxmlformats.org/officeDocument/2006/relationships/hyperlink" Target="https://pbs.twimg.com/profile_images/1868394559945986048/IYV8ZFXx_400x400.jpg" TargetMode="External"/><Relationship Id="rId1662" Type="http://schemas.openxmlformats.org/officeDocument/2006/relationships/hyperlink" Target="https://x.com/CryptoMichNL/status/1877333964467081342" TargetMode="External"/><Relationship Id="rId257" Type="http://schemas.openxmlformats.org/officeDocument/2006/relationships/hyperlink" Target="https://pbs.twimg.com/profile_images/1873983306859241479/-jmj71fb_normal.jpg" TargetMode="External"/><Relationship Id="rId464" Type="http://schemas.openxmlformats.org/officeDocument/2006/relationships/hyperlink" Target="https://x.com/KashKysh/status/1879275507059146952" TargetMode="External"/><Relationship Id="rId1010" Type="http://schemas.openxmlformats.org/officeDocument/2006/relationships/hyperlink" Target="https://pbs.twimg.com/profile_images/1876827777313239040/mO_qM4sq_400x400.jpg" TargetMode="External"/><Relationship Id="rId1094" Type="http://schemas.openxmlformats.org/officeDocument/2006/relationships/hyperlink" Target="https://x.com/0xsushi/status/1877874863626453275" TargetMode="External"/><Relationship Id="rId1108" Type="http://schemas.openxmlformats.org/officeDocument/2006/relationships/hyperlink" Target="https://x.com/696_eth/status/1877645280297746886" TargetMode="External"/><Relationship Id="rId1315" Type="http://schemas.openxmlformats.org/officeDocument/2006/relationships/hyperlink" Target="https://www.cookie.fun/chains/solana.svg" TargetMode="External"/><Relationship Id="rId117" Type="http://schemas.openxmlformats.org/officeDocument/2006/relationships/hyperlink" Target="https://pbs.twimg.com/profile_images/1461296965296214016/KWNDN3-g_normal.jpg" TargetMode="External"/><Relationship Id="rId671" Type="http://schemas.openxmlformats.org/officeDocument/2006/relationships/hyperlink" Target="https://pbs.twimg.com/profile_images/1732097798424662016/XksPWfST_normal.jpg" TargetMode="External"/><Relationship Id="rId769" Type="http://schemas.openxmlformats.org/officeDocument/2006/relationships/hyperlink" Target="https://x.com/crypto_birb/status/1877470418065383530" TargetMode="External"/><Relationship Id="rId976" Type="http://schemas.openxmlformats.org/officeDocument/2006/relationships/hyperlink" Target="https://pbs.twimg.com/profile_images/1751922623464787968/8xa4JKTE_normal.jpg" TargetMode="External"/><Relationship Id="rId1399" Type="http://schemas.openxmlformats.org/officeDocument/2006/relationships/hyperlink" Target="https://pbs.twimg.com/profile_images/1859687312654802944/9nSbkacJ_400x400.jpg" TargetMode="External"/><Relationship Id="rId324" Type="http://schemas.openxmlformats.org/officeDocument/2006/relationships/hyperlink" Target="https://x.com/Slappjakke/status/1877627512517280159" TargetMode="External"/><Relationship Id="rId531" Type="http://schemas.openxmlformats.org/officeDocument/2006/relationships/hyperlink" Target="https://x.com/Deebs_DeFi/status/1878468477045850403" TargetMode="External"/><Relationship Id="rId629" Type="http://schemas.openxmlformats.org/officeDocument/2006/relationships/hyperlink" Target="https://pbs.twimg.com/profile_images/1752826759504965632/_BJV6z9l_normal.jpg" TargetMode="External"/><Relationship Id="rId1161" Type="http://schemas.openxmlformats.org/officeDocument/2006/relationships/hyperlink" Target="https://www.cookie.fun/agent/koby" TargetMode="External"/><Relationship Id="rId1259" Type="http://schemas.openxmlformats.org/officeDocument/2006/relationships/hyperlink" Target="https://pbs.twimg.com/profile_images/1860191482017161216/sp4SPj5P_400x400.jpg" TargetMode="External"/><Relationship Id="rId1466" Type="http://schemas.openxmlformats.org/officeDocument/2006/relationships/hyperlink" Target="https://pbs.twimg.com/profile_images/1667663760994062343/tZKyyd-O_normal.jpg" TargetMode="External"/><Relationship Id="rId836" Type="http://schemas.openxmlformats.org/officeDocument/2006/relationships/hyperlink" Target="https://pbs.twimg.com/profile_images/1358044917319237635/Q220eMRH_normal.jpg" TargetMode="External"/><Relationship Id="rId1021" Type="http://schemas.openxmlformats.org/officeDocument/2006/relationships/hyperlink" Target="https://x.com/tradingtulips/status/1877267272995123472" TargetMode="External"/><Relationship Id="rId1119" Type="http://schemas.openxmlformats.org/officeDocument/2006/relationships/hyperlink" Target="https://x.com/ComancheTippie/status/1878518829115928786" TargetMode="External"/><Relationship Id="rId1673" Type="http://schemas.openxmlformats.org/officeDocument/2006/relationships/hyperlink" Target="https://www.cookie.fun/chains/solana.svg" TargetMode="External"/><Relationship Id="rId1880" Type="http://schemas.openxmlformats.org/officeDocument/2006/relationships/hyperlink" Target="https://www.cookie.fun/chains/solana.svg" TargetMode="External"/><Relationship Id="rId903" Type="http://schemas.openxmlformats.org/officeDocument/2006/relationships/hyperlink" Target="https://pbs.twimg.com/profile_images/1869314824213340160/OF1S2yom_normal.png" TargetMode="External"/><Relationship Id="rId1326" Type="http://schemas.openxmlformats.org/officeDocument/2006/relationships/hyperlink" Target="https://pbs.twimg.com/profile_images/1867479860974686208/pkGWO_D3_400x400.jpg" TargetMode="External"/><Relationship Id="rId1533" Type="http://schemas.openxmlformats.org/officeDocument/2006/relationships/hyperlink" Target="https://pbs.twimg.com/profile_images/1873809002552848384/MVBKuc2r_400x400.jpg" TargetMode="External"/><Relationship Id="rId1740" Type="http://schemas.openxmlformats.org/officeDocument/2006/relationships/hyperlink" Target="https://x.com/bledi_gmi/status/1877007989996961970" TargetMode="External"/><Relationship Id="rId32" Type="http://schemas.openxmlformats.org/officeDocument/2006/relationships/hyperlink" Target="https://x.com/aeyakovenko/status/1878085985977954369" TargetMode="External"/><Relationship Id="rId1600" Type="http://schemas.openxmlformats.org/officeDocument/2006/relationships/hyperlink" Target="https://pbs.twimg.com/profile_images/1876981306044944384/skdWmQbK_normal.jpg" TargetMode="External"/><Relationship Id="rId1838" Type="http://schemas.openxmlformats.org/officeDocument/2006/relationships/hyperlink" Target="https://www.cookie.fun/agent/gm-everyday" TargetMode="External"/><Relationship Id="rId181" Type="http://schemas.openxmlformats.org/officeDocument/2006/relationships/hyperlink" Target="https://www.cookie.fun/agent/neur" TargetMode="External"/><Relationship Id="rId1905" Type="http://schemas.openxmlformats.org/officeDocument/2006/relationships/hyperlink" Target="https://x.com/CryptoKaduna/status/1877725231512469898" TargetMode="External"/><Relationship Id="rId279" Type="http://schemas.openxmlformats.org/officeDocument/2006/relationships/hyperlink" Target="https://www.cookie.fun/chains/base.svg" TargetMode="External"/><Relationship Id="rId486" Type="http://schemas.openxmlformats.org/officeDocument/2006/relationships/hyperlink" Target="https://x.com/TeTheGamer/status/1878159763604680721" TargetMode="External"/><Relationship Id="rId693" Type="http://schemas.openxmlformats.org/officeDocument/2006/relationships/hyperlink" Target="https://pbs.twimg.com/profile_images/1752826759504965632/_BJV6z9l_normal.jpg" TargetMode="External"/><Relationship Id="rId139" Type="http://schemas.openxmlformats.org/officeDocument/2006/relationships/hyperlink" Target="https://pbs.twimg.com/profile_images/1733260923094155264/VUqJ7HGV_normal.jpg" TargetMode="External"/><Relationship Id="rId346" Type="http://schemas.openxmlformats.org/officeDocument/2006/relationships/hyperlink" Target="https://x.com/ghost93_x/status/1879042768086991033" TargetMode="External"/><Relationship Id="rId553" Type="http://schemas.openxmlformats.org/officeDocument/2006/relationships/hyperlink" Target="https://pbs.twimg.com/profile_images/1863678418354655232/u5nS13KY_400x400.jpg" TargetMode="External"/><Relationship Id="rId760" Type="http://schemas.openxmlformats.org/officeDocument/2006/relationships/hyperlink" Target="https://pbs.twimg.com/profile_images/1831904183001247744/ALdr5oD1_normal.jpg" TargetMode="External"/><Relationship Id="rId998" Type="http://schemas.openxmlformats.org/officeDocument/2006/relationships/hyperlink" Target="https://pbs.twimg.com/profile_images/1806436217950441472/UQXxhjcU_normal.jpg" TargetMode="External"/><Relationship Id="rId1183" Type="http://schemas.openxmlformats.org/officeDocument/2006/relationships/hyperlink" Target="https://pbs.twimg.com/profile_images/1858105906652758016/cv_wXIdX_normal.jpg" TargetMode="External"/><Relationship Id="rId1390" Type="http://schemas.openxmlformats.org/officeDocument/2006/relationships/hyperlink" Target="https://www.cookie.fun/chains/solana.svg" TargetMode="External"/><Relationship Id="rId206" Type="http://schemas.openxmlformats.org/officeDocument/2006/relationships/hyperlink" Target="https://pbs.twimg.com/profile_images/1855867085810962432/MNI_0PrH_400x400.jpg" TargetMode="External"/><Relationship Id="rId413" Type="http://schemas.openxmlformats.org/officeDocument/2006/relationships/hyperlink" Target="https://pbs.twimg.com/profile_images/1865248625678520325/K8QQsqDl_normal.jpg" TargetMode="External"/><Relationship Id="rId858" Type="http://schemas.openxmlformats.org/officeDocument/2006/relationships/hyperlink" Target="https://pbs.twimg.com/profile_images/1789364971354128385/s8FHrPnq_normal.jpg" TargetMode="External"/><Relationship Id="rId1043" Type="http://schemas.openxmlformats.org/officeDocument/2006/relationships/hyperlink" Target="https://pbs.twimg.com/profile_images/1554027145420500992/0oOUOv6L_normal.jpg" TargetMode="External"/><Relationship Id="rId1488" Type="http://schemas.openxmlformats.org/officeDocument/2006/relationships/hyperlink" Target="https://www.cookie.fun/chains/solana.svg" TargetMode="External"/><Relationship Id="rId1695" Type="http://schemas.openxmlformats.org/officeDocument/2006/relationships/hyperlink" Target="https://x.com/WomanNFT/status/1879371991431680406" TargetMode="External"/><Relationship Id="rId620" Type="http://schemas.openxmlformats.org/officeDocument/2006/relationships/hyperlink" Target="https://x.com/0x7d54/status/1878448490453352667" TargetMode="External"/><Relationship Id="rId718" Type="http://schemas.openxmlformats.org/officeDocument/2006/relationships/hyperlink" Target="https://www.cookie.fun/agent/convo" TargetMode="External"/><Relationship Id="rId925" Type="http://schemas.openxmlformats.org/officeDocument/2006/relationships/hyperlink" Target="https://x.com/MookieNFT/status/1878535773211046090" TargetMode="External"/><Relationship Id="rId1250" Type="http://schemas.openxmlformats.org/officeDocument/2006/relationships/hyperlink" Target="https://pbs.twimg.com/profile_images/1338929428366147585/akUk4at6_normal.jpg" TargetMode="External"/><Relationship Id="rId1348" Type="http://schemas.openxmlformats.org/officeDocument/2006/relationships/hyperlink" Target="https://x.com/Rosentica/status/1877189908126638412" TargetMode="External"/><Relationship Id="rId1555" Type="http://schemas.openxmlformats.org/officeDocument/2006/relationships/hyperlink" Target="https://pbs.twimg.com/profile_images/1609606658199535618/bHidH77E_normal.jpg" TargetMode="External"/><Relationship Id="rId1762" Type="http://schemas.openxmlformats.org/officeDocument/2006/relationships/hyperlink" Target="https://www.cookie.fun/chains/solana.svg" TargetMode="External"/><Relationship Id="rId1110" Type="http://schemas.openxmlformats.org/officeDocument/2006/relationships/hyperlink" Target="https://www.cookie.fun/agent/naval" TargetMode="External"/><Relationship Id="rId1208" Type="http://schemas.openxmlformats.org/officeDocument/2006/relationships/hyperlink" Target="https://x.com/EzMoneyGems/status/1879211066195951762" TargetMode="External"/><Relationship Id="rId1415" Type="http://schemas.openxmlformats.org/officeDocument/2006/relationships/hyperlink" Target="https://x.com/ataberk/status/1879166730976837809" TargetMode="External"/><Relationship Id="rId54" Type="http://schemas.openxmlformats.org/officeDocument/2006/relationships/hyperlink" Target="https://x.com/yoheinakajima/status/1878970384697168167" TargetMode="External"/><Relationship Id="rId1622" Type="http://schemas.openxmlformats.org/officeDocument/2006/relationships/hyperlink" Target="https://x.com/CapoXXIII/status/1877680843621126417" TargetMode="External"/><Relationship Id="rId270" Type="http://schemas.openxmlformats.org/officeDocument/2006/relationships/hyperlink" Target="https://x.com/Cryptanzee/status/1877434862786711661" TargetMode="External"/><Relationship Id="rId130" Type="http://schemas.openxmlformats.org/officeDocument/2006/relationships/hyperlink" Target="https://x.com/AltCryptoGems/status/1877730686934872286" TargetMode="External"/><Relationship Id="rId368" Type="http://schemas.openxmlformats.org/officeDocument/2006/relationships/hyperlink" Target="https://x.com/0xdoves/status/1877316954194657282" TargetMode="External"/><Relationship Id="rId575" Type="http://schemas.openxmlformats.org/officeDocument/2006/relationships/hyperlink" Target="https://www.cookie.fun/agent/logos" TargetMode="External"/><Relationship Id="rId782" Type="http://schemas.openxmlformats.org/officeDocument/2006/relationships/hyperlink" Target="https://pbs.twimg.com/profile_images/1422538477900423170/tRsq0F8Y_normal.png" TargetMode="External"/><Relationship Id="rId228" Type="http://schemas.openxmlformats.org/officeDocument/2006/relationships/hyperlink" Target="https://x.com/WY_mask/status/1878638466252378241" TargetMode="External"/><Relationship Id="rId435" Type="http://schemas.openxmlformats.org/officeDocument/2006/relationships/hyperlink" Target="https://www.cookie.fun/chains/base.svg" TargetMode="External"/><Relationship Id="rId642" Type="http://schemas.openxmlformats.org/officeDocument/2006/relationships/hyperlink" Target="https://pbs.twimg.com/profile_images/1621580327507345408/GTMoS6oZ_normal.jpg" TargetMode="External"/><Relationship Id="rId1065" Type="http://schemas.openxmlformats.org/officeDocument/2006/relationships/hyperlink" Target="https://pbs.twimg.com/profile_images/1871434944024866816/VP-p9B5M_400x400.jpg" TargetMode="External"/><Relationship Id="rId1272" Type="http://schemas.openxmlformats.org/officeDocument/2006/relationships/hyperlink" Target="https://www.cookie.fun/chains/base.svg" TargetMode="External"/><Relationship Id="rId502" Type="http://schemas.openxmlformats.org/officeDocument/2006/relationships/hyperlink" Target="https://x.com/puntium/status/1878962581697900580" TargetMode="External"/><Relationship Id="rId947" Type="http://schemas.openxmlformats.org/officeDocument/2006/relationships/hyperlink" Target="https://pbs.twimg.com/profile_images/1859879045640458240/9YuZWd1e_400x400.jpg" TargetMode="External"/><Relationship Id="rId1132" Type="http://schemas.openxmlformats.org/officeDocument/2006/relationships/hyperlink" Target="https://pbs.twimg.com/profile_images/1859624800030773248/qxhEDwLW_normal.png" TargetMode="External"/><Relationship Id="rId1577" Type="http://schemas.openxmlformats.org/officeDocument/2006/relationships/hyperlink" Target="https://x.com/mikeygnft/status/1877810566959714317" TargetMode="External"/><Relationship Id="rId1784" Type="http://schemas.openxmlformats.org/officeDocument/2006/relationships/hyperlink" Target="https://pbs.twimg.com/profile_images/1863778246799880192/pM1fnD16_normal.jpg" TargetMode="External"/><Relationship Id="rId76" Type="http://schemas.openxmlformats.org/officeDocument/2006/relationships/hyperlink" Target="https://x.com/DegenerateNews/status/1878132594740457915" TargetMode="External"/><Relationship Id="rId807" Type="http://schemas.openxmlformats.org/officeDocument/2006/relationships/hyperlink" Target="https://pbs.twimg.com/profile_images/1289447695254396928/LPfvPY5W_normal.png" TargetMode="External"/><Relationship Id="rId1437" Type="http://schemas.openxmlformats.org/officeDocument/2006/relationships/hyperlink" Target="https://x.com/sarah_script/status/1878267071395463542" TargetMode="External"/><Relationship Id="rId1644" Type="http://schemas.openxmlformats.org/officeDocument/2006/relationships/hyperlink" Target="https://x.com/BiteyeCN/status/1877249880021942569" TargetMode="External"/><Relationship Id="rId1851" Type="http://schemas.openxmlformats.org/officeDocument/2006/relationships/hyperlink" Target="https://www.cookie.fun/agent/gods" TargetMode="External"/><Relationship Id="rId1504" Type="http://schemas.openxmlformats.org/officeDocument/2006/relationships/hyperlink" Target="https://www.cookie.fun/chains/base.svg" TargetMode="External"/><Relationship Id="rId1711" Type="http://schemas.openxmlformats.org/officeDocument/2006/relationships/hyperlink" Target="https://x.com/yyds123888/status/1877370144974049597" TargetMode="External"/><Relationship Id="rId292" Type="http://schemas.openxmlformats.org/officeDocument/2006/relationships/hyperlink" Target="https://x.com/Defi0xJeff/status/1878777766474399886" TargetMode="External"/><Relationship Id="rId1809" Type="http://schemas.openxmlformats.org/officeDocument/2006/relationships/hyperlink" Target="https://www.cookie.fun/agent/lyraverse" TargetMode="External"/><Relationship Id="rId597" Type="http://schemas.openxmlformats.org/officeDocument/2006/relationships/hyperlink" Target="https://pbs.twimg.com/profile_images/1876498814380679168/53maxu21_normal.jpg" TargetMode="External"/><Relationship Id="rId152" Type="http://schemas.openxmlformats.org/officeDocument/2006/relationships/hyperlink" Target="https://x.com/cyrilXBT/status/1878201787582128243" TargetMode="External"/><Relationship Id="rId457" Type="http://schemas.openxmlformats.org/officeDocument/2006/relationships/hyperlink" Target="https://www.cookie.fun/agent/fxn" TargetMode="External"/><Relationship Id="rId1087" Type="http://schemas.openxmlformats.org/officeDocument/2006/relationships/hyperlink" Target="https://www.cookie.fun/agent/athena" TargetMode="External"/><Relationship Id="rId1294" Type="http://schemas.openxmlformats.org/officeDocument/2006/relationships/hyperlink" Target="https://pbs.twimg.com/profile_images/1878553991627571200/YR-0U5Dl_normal.jpg" TargetMode="External"/><Relationship Id="rId664" Type="http://schemas.openxmlformats.org/officeDocument/2006/relationships/hyperlink" Target="https://x.com/SolProfessor565/status/1878482293398147154" TargetMode="External"/><Relationship Id="rId871" Type="http://schemas.openxmlformats.org/officeDocument/2006/relationships/hyperlink" Target="https://x.com/RealJonahBlake/status/1878499705300115618" TargetMode="External"/><Relationship Id="rId969" Type="http://schemas.openxmlformats.org/officeDocument/2006/relationships/hyperlink" Target="https://x.com/TheCryptoKazi/status/1879220342067286510" TargetMode="External"/><Relationship Id="rId1599" Type="http://schemas.openxmlformats.org/officeDocument/2006/relationships/hyperlink" Target="https://x.com/softlipa1018/status/1877011469415383063" TargetMode="External"/><Relationship Id="rId317" Type="http://schemas.openxmlformats.org/officeDocument/2006/relationships/hyperlink" Target="https://pbs.twimg.com/profile_images/1554027145420500992/0oOUOv6L_normal.jpg" TargetMode="External"/><Relationship Id="rId524" Type="http://schemas.openxmlformats.org/officeDocument/2006/relationships/hyperlink" Target="https://pbs.twimg.com/profile_images/1872937933839450119/rmJyvgwE_normal.jpg" TargetMode="External"/><Relationship Id="rId731" Type="http://schemas.openxmlformats.org/officeDocument/2006/relationships/hyperlink" Target="https://pbs.twimg.com/profile_images/1861131653953073152/kzb4gKuw_400x400.jpg" TargetMode="External"/><Relationship Id="rId1154" Type="http://schemas.openxmlformats.org/officeDocument/2006/relationships/hyperlink" Target="https://pbs.twimg.com/profile_images/1551771778472497152/ocyqhsbm_normal.jpg" TargetMode="External"/><Relationship Id="rId1361" Type="http://schemas.openxmlformats.org/officeDocument/2006/relationships/hyperlink" Target="https://pbs.twimg.com/profile_images/1876371417463222272/v-VEhq7T_400x400.jpg" TargetMode="External"/><Relationship Id="rId1459" Type="http://schemas.openxmlformats.org/officeDocument/2006/relationships/hyperlink" Target="https://www.cookie.fun/chains/solana.svg" TargetMode="External"/><Relationship Id="rId98" Type="http://schemas.openxmlformats.org/officeDocument/2006/relationships/hyperlink" Target="https://pbs.twimg.com/profile_images/1869129270095921152/aRrgX12s_400x400.jpg" TargetMode="External"/><Relationship Id="rId829" Type="http://schemas.openxmlformats.org/officeDocument/2006/relationships/hyperlink" Target="https://pbs.twimg.com/profile_images/1877855839840833536/vCy9HOn__normal.png" TargetMode="External"/><Relationship Id="rId1014" Type="http://schemas.openxmlformats.org/officeDocument/2006/relationships/hyperlink" Target="https://x.com/tuukzs/status/1878295102453424340" TargetMode="External"/><Relationship Id="rId1221" Type="http://schemas.openxmlformats.org/officeDocument/2006/relationships/hyperlink" Target="https://pbs.twimg.com/profile_images/1853746914006904832/WDZIgzka_400x400.jpg" TargetMode="External"/><Relationship Id="rId1666" Type="http://schemas.openxmlformats.org/officeDocument/2006/relationships/hyperlink" Target="https://www.cookie.fun/chains/solana.svg" TargetMode="External"/><Relationship Id="rId1873" Type="http://schemas.openxmlformats.org/officeDocument/2006/relationships/hyperlink" Target="https://pbs.twimg.com/profile_images/1863989474683682816/qNanBs_J_400x400.jpg" TargetMode="External"/><Relationship Id="rId1319" Type="http://schemas.openxmlformats.org/officeDocument/2006/relationships/hyperlink" Target="https://pbs.twimg.com/profile_images/1857974364852891648/Hupg0yzK_normal.jpg" TargetMode="External"/><Relationship Id="rId1526" Type="http://schemas.openxmlformats.org/officeDocument/2006/relationships/hyperlink" Target="https://x.com/dwr/status/1879227013674021208" TargetMode="External"/><Relationship Id="rId1733" Type="http://schemas.openxmlformats.org/officeDocument/2006/relationships/hyperlink" Target="https://x.com/halusolana/status/1878935012432826858" TargetMode="External"/><Relationship Id="rId25" Type="http://schemas.openxmlformats.org/officeDocument/2006/relationships/hyperlink" Target="https://www.cookie.fun/agent/griffain" TargetMode="External"/><Relationship Id="rId1800" Type="http://schemas.openxmlformats.org/officeDocument/2006/relationships/hyperlink" Target="https://x.com/0xsuperpat/status/1878794765778718768" TargetMode="External"/><Relationship Id="rId174" Type="http://schemas.openxmlformats.org/officeDocument/2006/relationships/hyperlink" Target="https://x.com/legendarygainz_/status/1879281567463506365" TargetMode="External"/><Relationship Id="rId381" Type="http://schemas.openxmlformats.org/officeDocument/2006/relationships/hyperlink" Target="https://pbs.twimg.com/profile_images/1355123076183322625/3tpOFCLO_normal.jpg" TargetMode="External"/><Relationship Id="rId241" Type="http://schemas.openxmlformats.org/officeDocument/2006/relationships/hyperlink" Target="https://www.cookie.fun/agent/agent" TargetMode="External"/><Relationship Id="rId479" Type="http://schemas.openxmlformats.org/officeDocument/2006/relationships/hyperlink" Target="https://pbs.twimg.com/profile_images/1609778151369883648/dgvqvUMB_normal.jpg" TargetMode="External"/><Relationship Id="rId686" Type="http://schemas.openxmlformats.org/officeDocument/2006/relationships/hyperlink" Target="https://pbs.twimg.com/profile_images/1868843705060184064/3gASpEzg_400x400.jpg" TargetMode="External"/><Relationship Id="rId893" Type="http://schemas.openxmlformats.org/officeDocument/2006/relationships/hyperlink" Target="https://x.com/Crypto_Alch/status/1879196956423287246" TargetMode="External"/><Relationship Id="rId339" Type="http://schemas.openxmlformats.org/officeDocument/2006/relationships/hyperlink" Target="https://www.cookie.fun/chains/base.svg" TargetMode="External"/><Relationship Id="rId546" Type="http://schemas.openxmlformats.org/officeDocument/2006/relationships/hyperlink" Target="https://pbs.twimg.com/profile_images/1861583698388242432/hkGjELtU_normal.png" TargetMode="External"/><Relationship Id="rId753" Type="http://schemas.openxmlformats.org/officeDocument/2006/relationships/hyperlink" Target="https://x.com/simplecatnft/status/1879026078897090821" TargetMode="External"/><Relationship Id="rId1176" Type="http://schemas.openxmlformats.org/officeDocument/2006/relationships/hyperlink" Target="https://x.com/mikedemarais/status/1879352583015546980" TargetMode="External"/><Relationship Id="rId1383" Type="http://schemas.openxmlformats.org/officeDocument/2006/relationships/hyperlink" Target="https://pbs.twimg.com/profile_images/1641232110290706433/rbKTVQ3d_normal.jpg" TargetMode="External"/><Relationship Id="rId101" Type="http://schemas.openxmlformats.org/officeDocument/2006/relationships/hyperlink" Target="https://pbs.twimg.com/profile_images/1386091770312802305/83V7DZ4B_normal.jpg" TargetMode="External"/><Relationship Id="rId406" Type="http://schemas.openxmlformats.org/officeDocument/2006/relationships/hyperlink" Target="https://x.com/gem_insider/status/1878928678492770790" TargetMode="External"/><Relationship Id="rId960" Type="http://schemas.openxmlformats.org/officeDocument/2006/relationships/hyperlink" Target="https://www.cookie.fun/chains/solana.svg" TargetMode="External"/><Relationship Id="rId1036" Type="http://schemas.openxmlformats.org/officeDocument/2006/relationships/hyperlink" Target="https://pbs.twimg.com/profile_images/1775649841562980353/2E0MAPqa_normal.jpg" TargetMode="External"/><Relationship Id="rId1243" Type="http://schemas.openxmlformats.org/officeDocument/2006/relationships/hyperlink" Target="https://pbs.twimg.com/profile_images/1862363283602227200/0LwNGt_Q_400x400.jpg" TargetMode="External"/><Relationship Id="rId1590" Type="http://schemas.openxmlformats.org/officeDocument/2006/relationships/hyperlink" Target="https://pbs.twimg.com/profile_images/1859638138584420352/PCpAwGoI_400x400.jpg" TargetMode="External"/><Relationship Id="rId1688" Type="http://schemas.openxmlformats.org/officeDocument/2006/relationships/hyperlink" Target="https://pbs.twimg.com/profile_images/1838171247894466560/dUd0KCBj_normal.jpg" TargetMode="External"/><Relationship Id="rId1895" Type="http://schemas.openxmlformats.org/officeDocument/2006/relationships/hyperlink" Target="https://pbs.twimg.com/profile_images/1860474137707204608/uwAyIYPU_400x400.jpg" TargetMode="External"/><Relationship Id="rId613" Type="http://schemas.openxmlformats.org/officeDocument/2006/relationships/hyperlink" Target="https://www.cookie.fun/chains/base.svg" TargetMode="External"/><Relationship Id="rId820" Type="http://schemas.openxmlformats.org/officeDocument/2006/relationships/hyperlink" Target="https://pbs.twimg.com/profile_images/1865248625678520325/K8QQsqDl_normal.jpg" TargetMode="External"/><Relationship Id="rId918" Type="http://schemas.openxmlformats.org/officeDocument/2006/relationships/hyperlink" Target="https://x.com/JoshMcGruff/status/1877554590234689585" TargetMode="External"/><Relationship Id="rId1450" Type="http://schemas.openxmlformats.org/officeDocument/2006/relationships/hyperlink" Target="https://x.com/defi_ghost/status/1877774987282579731" TargetMode="External"/><Relationship Id="rId1548" Type="http://schemas.openxmlformats.org/officeDocument/2006/relationships/hyperlink" Target="https://pbs.twimg.com/profile_images/1873962009450209284/0BAeU0-V_400x400.jpg" TargetMode="External"/><Relationship Id="rId1755" Type="http://schemas.openxmlformats.org/officeDocument/2006/relationships/hyperlink" Target="https://x.com/RareAxies/status/1878830757785096342" TargetMode="External"/><Relationship Id="rId1103" Type="http://schemas.openxmlformats.org/officeDocument/2006/relationships/hyperlink" Target="https://pbs.twimg.com/profile_images/1536483903774531586/KHNPU1AN_normal.jpg" TargetMode="External"/><Relationship Id="rId1310" Type="http://schemas.openxmlformats.org/officeDocument/2006/relationships/hyperlink" Target="https://www.cookie.fun/chains/ethereum.svg" TargetMode="External"/><Relationship Id="rId1408" Type="http://schemas.openxmlformats.org/officeDocument/2006/relationships/hyperlink" Target="https://www.cookie.fun/agent/goatse" TargetMode="External"/><Relationship Id="rId47" Type="http://schemas.openxmlformats.org/officeDocument/2006/relationships/hyperlink" Target="https://pbs.twimg.com/profile_images/1679453527100518402/XagGubNX_normal.jpg" TargetMode="External"/><Relationship Id="rId1615" Type="http://schemas.openxmlformats.org/officeDocument/2006/relationships/hyperlink" Target="https://www.cookie.fun/agent/ravenai" TargetMode="External"/><Relationship Id="rId1822" Type="http://schemas.openxmlformats.org/officeDocument/2006/relationships/hyperlink" Target="https://www.cookie.fun/chains/solana.svg" TargetMode="External"/><Relationship Id="rId196" Type="http://schemas.openxmlformats.org/officeDocument/2006/relationships/hyperlink" Target="https://x.com/S4mmyEth/status/1877051682950959408" TargetMode="External"/><Relationship Id="rId263" Type="http://schemas.openxmlformats.org/officeDocument/2006/relationships/hyperlink" Target="https://pbs.twimg.com/profile_images/1761532928452894720/N6A-Up8e_normal.jpg" TargetMode="External"/><Relationship Id="rId470" Type="http://schemas.openxmlformats.org/officeDocument/2006/relationships/hyperlink" Target="https://pbs.twimg.com/profile_images/1850630946757955584/KguKyWIV_400x400.jpg" TargetMode="External"/><Relationship Id="rId123" Type="http://schemas.openxmlformats.org/officeDocument/2006/relationships/hyperlink" Target="https://www.cookie.fun/chains/solana.svg" TargetMode="External"/><Relationship Id="rId330" Type="http://schemas.openxmlformats.org/officeDocument/2006/relationships/hyperlink" Target="https://x.com/Cryppocrates/status/1877846026281005371" TargetMode="External"/><Relationship Id="rId568" Type="http://schemas.openxmlformats.org/officeDocument/2006/relationships/hyperlink" Target="https://pbs.twimg.com/profile_images/1588828286464888832/RRN2JuTl_normal.jpg" TargetMode="External"/><Relationship Id="rId775" Type="http://schemas.openxmlformats.org/officeDocument/2006/relationships/hyperlink" Target="https://x.com/flashst3p/status/1879351213894025229" TargetMode="External"/><Relationship Id="rId982" Type="http://schemas.openxmlformats.org/officeDocument/2006/relationships/hyperlink" Target="https://pbs.twimg.com/profile_images/1876197832148885504/7It1TBsX_normal.jpg" TargetMode="External"/><Relationship Id="rId1198" Type="http://schemas.openxmlformats.org/officeDocument/2006/relationships/hyperlink" Target="https://www.cookie.fun/chains/solana.svg" TargetMode="External"/><Relationship Id="rId428" Type="http://schemas.openxmlformats.org/officeDocument/2006/relationships/hyperlink" Target="https://x.com/Benefactor_345/status/1877099243757842644" TargetMode="External"/><Relationship Id="rId635" Type="http://schemas.openxmlformats.org/officeDocument/2006/relationships/hyperlink" Target="https://pbs.twimg.com/profile_images/1868445915809214464/hFhzO0sx_400x400.jpg" TargetMode="External"/><Relationship Id="rId842" Type="http://schemas.openxmlformats.org/officeDocument/2006/relationships/hyperlink" Target="https://pbs.twimg.com/profile_images/1850843316776038400/YaQdhoc-_400x400.jpg" TargetMode="External"/><Relationship Id="rId1058" Type="http://schemas.openxmlformats.org/officeDocument/2006/relationships/hyperlink" Target="https://x.com/cryptotutor/status/1877099193723920750" TargetMode="External"/><Relationship Id="rId1265" Type="http://schemas.openxmlformats.org/officeDocument/2006/relationships/hyperlink" Target="https://x.com/aGANVogh/status/1877749017636991424" TargetMode="External"/><Relationship Id="rId1472" Type="http://schemas.openxmlformats.org/officeDocument/2006/relationships/hyperlink" Target="https://pbs.twimg.com/profile_images/1790193372658892800/siI4rPdY_normal.jpg" TargetMode="External"/><Relationship Id="rId702" Type="http://schemas.openxmlformats.org/officeDocument/2006/relationships/hyperlink" Target="https://x.com/CryptoEmpressX/status/1877597191084323209" TargetMode="External"/><Relationship Id="rId1125" Type="http://schemas.openxmlformats.org/officeDocument/2006/relationships/hyperlink" Target="https://x.com/yoitsOG/status/1877404439734009955" TargetMode="External"/><Relationship Id="rId1332" Type="http://schemas.openxmlformats.org/officeDocument/2006/relationships/hyperlink" Target="https://pbs.twimg.com/profile_images/1878097608998060032/q9GFbsHI_400x400.jpg" TargetMode="External"/><Relationship Id="rId1777" Type="http://schemas.openxmlformats.org/officeDocument/2006/relationships/hyperlink" Target="https://www.cookie.fun/agent/mindzero" TargetMode="External"/><Relationship Id="rId69" Type="http://schemas.openxmlformats.org/officeDocument/2006/relationships/hyperlink" Target="https://pbs.twimg.com/profile_images/1859616195797823488/qiLRzcjU_normal.jpg" TargetMode="External"/><Relationship Id="rId1637" Type="http://schemas.openxmlformats.org/officeDocument/2006/relationships/hyperlink" Target="https://pbs.twimg.com/profile_images/1770036400290766848/nMbXqIk1_400x400.jpg" TargetMode="External"/><Relationship Id="rId1844" Type="http://schemas.openxmlformats.org/officeDocument/2006/relationships/hyperlink" Target="https://pbs.twimg.com/profile_images/1864962660426481664/UUaV4Yyo_400x400.jpg" TargetMode="External"/><Relationship Id="rId1704" Type="http://schemas.openxmlformats.org/officeDocument/2006/relationships/hyperlink" Target="https://pbs.twimg.com/profile_images/1785526747884314624/d6v3VcN7_normal.jpg" TargetMode="External"/><Relationship Id="rId285" Type="http://schemas.openxmlformats.org/officeDocument/2006/relationships/hyperlink" Target="https://pbs.twimg.com/profile_images/1869055102486446084/JVBRQliT_normal.jpg" TargetMode="External"/><Relationship Id="rId1911" Type="http://schemas.openxmlformats.org/officeDocument/2006/relationships/hyperlink" Target="https://pbs.twimg.com/profile_images/1858693380580298752/Ee4NMFv9_400x400.jpg" TargetMode="External"/><Relationship Id="rId492" Type="http://schemas.openxmlformats.org/officeDocument/2006/relationships/hyperlink" Target="https://x.com/RyzeLabs/status/1879178384091091221" TargetMode="External"/><Relationship Id="rId797" Type="http://schemas.openxmlformats.org/officeDocument/2006/relationships/hyperlink" Target="https://x.com/MasterChiefNFTs/status/1877431532203192697" TargetMode="External"/><Relationship Id="rId145" Type="http://schemas.openxmlformats.org/officeDocument/2006/relationships/hyperlink" Target="https://www.cookie.fun/agent/alchemist-ai" TargetMode="External"/><Relationship Id="rId352" Type="http://schemas.openxmlformats.org/officeDocument/2006/relationships/hyperlink" Target="https://x.com/yellowpantherx/status/1877373112011948255" TargetMode="External"/><Relationship Id="rId1287" Type="http://schemas.openxmlformats.org/officeDocument/2006/relationships/hyperlink" Target="https://pbs.twimg.com/profile_images/1701621806061223936/XzMrH7Dm_normal.jpg" TargetMode="External"/><Relationship Id="rId212" Type="http://schemas.openxmlformats.org/officeDocument/2006/relationships/hyperlink" Target="https://x.com/JumperWave/status/1877417079428599858" TargetMode="External"/><Relationship Id="rId657" Type="http://schemas.openxmlformats.org/officeDocument/2006/relationships/hyperlink" Target="https://x.com/DeFiDecoder_/status/1877352242950349109" TargetMode="External"/><Relationship Id="rId864" Type="http://schemas.openxmlformats.org/officeDocument/2006/relationships/hyperlink" Target="https://www.cookie.fun/agent/sploots" TargetMode="External"/><Relationship Id="rId1494" Type="http://schemas.openxmlformats.org/officeDocument/2006/relationships/hyperlink" Target="https://pbs.twimg.com/profile_images/1850856246221426688/Ik04Bsy5_normal.jpg" TargetMode="External"/><Relationship Id="rId1799" Type="http://schemas.openxmlformats.org/officeDocument/2006/relationships/hyperlink" Target="https://www.cookie.fun/chains/solana.svg" TargetMode="External"/><Relationship Id="rId517" Type="http://schemas.openxmlformats.org/officeDocument/2006/relationships/hyperlink" Target="https://pbs.twimg.com/profile_images/1861911597158907904/vPoP4H4J_400x400.jpg" TargetMode="External"/><Relationship Id="rId724" Type="http://schemas.openxmlformats.org/officeDocument/2006/relationships/hyperlink" Target="https://pbs.twimg.com/profile_images/1829954676172754944/AY0XOTPa_normal.jpg" TargetMode="External"/><Relationship Id="rId931" Type="http://schemas.openxmlformats.org/officeDocument/2006/relationships/hyperlink" Target="https://www.cookie.fun/agent/alris" TargetMode="External"/><Relationship Id="rId1147" Type="http://schemas.openxmlformats.org/officeDocument/2006/relationships/hyperlink" Target="https://pbs.twimg.com/profile_images/1878142431356731392/mMEvENR-_normal.jpg" TargetMode="External"/><Relationship Id="rId1354" Type="http://schemas.openxmlformats.org/officeDocument/2006/relationships/hyperlink" Target="https://www.cookie.fun/chains/base.svg" TargetMode="External"/><Relationship Id="rId1561" Type="http://schemas.openxmlformats.org/officeDocument/2006/relationships/hyperlink" Target="https://www.cookie.fun/chains/solana.svg" TargetMode="External"/><Relationship Id="rId60" Type="http://schemas.openxmlformats.org/officeDocument/2006/relationships/hyperlink" Target="https://x.com/yoheinakajima/status/1877828470736364029" TargetMode="External"/><Relationship Id="rId1007" Type="http://schemas.openxmlformats.org/officeDocument/2006/relationships/hyperlink" Target="https://pbs.twimg.com/profile_images/1868347870757457920/v0lXAjW0_400x400.jpg" TargetMode="External"/><Relationship Id="rId1214" Type="http://schemas.openxmlformats.org/officeDocument/2006/relationships/hyperlink" Target="https://www.cookie.fun/chains/solana.svg" TargetMode="External"/><Relationship Id="rId1421" Type="http://schemas.openxmlformats.org/officeDocument/2006/relationships/hyperlink" Target="https://pbs.twimg.com/profile_images/1844323459922296844/OSYw_EmG_400x400.jpg" TargetMode="External"/><Relationship Id="rId1659" Type="http://schemas.openxmlformats.org/officeDocument/2006/relationships/hyperlink" Target="https://www.cookie.fun/agent/omni" TargetMode="External"/><Relationship Id="rId1866" Type="http://schemas.openxmlformats.org/officeDocument/2006/relationships/hyperlink" Target="https://www.cookie.fun/agent/aiwithdaddyissues" TargetMode="External"/><Relationship Id="rId1519" Type="http://schemas.openxmlformats.org/officeDocument/2006/relationships/hyperlink" Target="https://pbs.twimg.com/profile_images/1858206308857765888/N8o2v73R_normal.jpg" TargetMode="External"/><Relationship Id="rId1726" Type="http://schemas.openxmlformats.org/officeDocument/2006/relationships/hyperlink" Target="https://pbs.twimg.com/profile_images/1774673450746974208/Ap0BSFAc_400x400.jpg" TargetMode="External"/><Relationship Id="rId18" Type="http://schemas.openxmlformats.org/officeDocument/2006/relationships/hyperlink" Target="https://x.com/smileycapital/status/1877398568304050451" TargetMode="External"/><Relationship Id="rId167" Type="http://schemas.openxmlformats.org/officeDocument/2006/relationships/hyperlink" Target="https://pbs.twimg.com/profile_images/1641817384498388997/Fr2NIVVT_normal.jpg" TargetMode="External"/><Relationship Id="rId374" Type="http://schemas.openxmlformats.org/officeDocument/2006/relationships/hyperlink" Target="https://pbs.twimg.com/profile_images/1855247617870991360/OktzGE0a_400x400.jpg" TargetMode="External"/><Relationship Id="rId581" Type="http://schemas.openxmlformats.org/officeDocument/2006/relationships/hyperlink" Target="https://pbs.twimg.com/profile_images/1872645310021058560/kIpIqTCP_normal.jpg" TargetMode="External"/><Relationship Id="rId234" Type="http://schemas.openxmlformats.org/officeDocument/2006/relationships/hyperlink" Target="https://x.com/Bybit_Official/status/1879091093825863701" TargetMode="External"/><Relationship Id="rId679" Type="http://schemas.openxmlformats.org/officeDocument/2006/relationships/hyperlink" Target="https://pbs.twimg.com/profile_images/1807955712611655680/VoSxLh_d_normal.jpg" TargetMode="External"/><Relationship Id="rId886" Type="http://schemas.openxmlformats.org/officeDocument/2006/relationships/hyperlink" Target="https://pbs.twimg.com/profile_images/1765921509879537664/dAebweUc_normal.jpg" TargetMode="External"/><Relationship Id="rId2" Type="http://schemas.openxmlformats.org/officeDocument/2006/relationships/hyperlink" Target="https://pbs.twimg.com/profile_images/1874758416658509824/UPaVddbm_400x400.jpg" TargetMode="External"/><Relationship Id="rId441" Type="http://schemas.openxmlformats.org/officeDocument/2006/relationships/hyperlink" Target="https://pbs.twimg.com/profile_images/1469588644088451073/VEu0DKDG_normal.jpg" TargetMode="External"/><Relationship Id="rId539" Type="http://schemas.openxmlformats.org/officeDocument/2006/relationships/hyperlink" Target="https://x.com/BenjiGanar/status/1878174261724262553" TargetMode="External"/><Relationship Id="rId746" Type="http://schemas.openxmlformats.org/officeDocument/2006/relationships/hyperlink" Target="https://pbs.twimg.com/profile_images/1779796708370837504/SRVo9CIX_normal.png" TargetMode="External"/><Relationship Id="rId1071" Type="http://schemas.openxmlformats.org/officeDocument/2006/relationships/hyperlink" Target="https://x.com/Irenezhao_/status/1879489402885558516" TargetMode="External"/><Relationship Id="rId1169" Type="http://schemas.openxmlformats.org/officeDocument/2006/relationships/hyperlink" Target="https://pbs.twimg.com/profile_images/1869085516538286080/l3flH4yb_normal.jpg" TargetMode="External"/><Relationship Id="rId1376" Type="http://schemas.openxmlformats.org/officeDocument/2006/relationships/hyperlink" Target="https://pbs.twimg.com/profile_images/1869161954230607872/YOMN889I_normal.jpg" TargetMode="External"/><Relationship Id="rId1583" Type="http://schemas.openxmlformats.org/officeDocument/2006/relationships/hyperlink" Target="https://pbs.twimg.com/profile_images/1838792520542650368/HPI8dlIj_400x400.jpg" TargetMode="External"/><Relationship Id="rId301" Type="http://schemas.openxmlformats.org/officeDocument/2006/relationships/hyperlink" Target="https://www.cookie.fun/agent/thales" TargetMode="External"/><Relationship Id="rId953" Type="http://schemas.openxmlformats.org/officeDocument/2006/relationships/hyperlink" Target="https://x.com/budaz__/status/1879112409945919765" TargetMode="External"/><Relationship Id="rId1029" Type="http://schemas.openxmlformats.org/officeDocument/2006/relationships/hyperlink" Target="https://pbs.twimg.com/profile_images/1874579965330460672/4n6M9QB1_400x400.jpg" TargetMode="External"/><Relationship Id="rId1236" Type="http://schemas.openxmlformats.org/officeDocument/2006/relationships/hyperlink" Target="https://pbs.twimg.com/profile_images/1844942082672107522/j9vD-xRP_400x400.jpg" TargetMode="External"/><Relationship Id="rId1790" Type="http://schemas.openxmlformats.org/officeDocument/2006/relationships/hyperlink" Target="https://www.cookie.fun/agent/vainguard" TargetMode="External"/><Relationship Id="rId1888" Type="http://schemas.openxmlformats.org/officeDocument/2006/relationships/hyperlink" Target="https://pbs.twimg.com/profile_images/1877129018547347456/NA4h8iV1_normal.jpg" TargetMode="External"/><Relationship Id="rId82" Type="http://schemas.openxmlformats.org/officeDocument/2006/relationships/hyperlink" Target="https://x.com/gammichan/status/1877936121289605335" TargetMode="External"/><Relationship Id="rId606" Type="http://schemas.openxmlformats.org/officeDocument/2006/relationships/hyperlink" Target="https://x.com/fwielanier/status/1877379170482700403" TargetMode="External"/><Relationship Id="rId813" Type="http://schemas.openxmlformats.org/officeDocument/2006/relationships/hyperlink" Target="https://x.com/0xcryptowizard/status/1877237999467114679" TargetMode="External"/><Relationship Id="rId1443" Type="http://schemas.openxmlformats.org/officeDocument/2006/relationships/hyperlink" Target="https://x.com/Ellaweb_3/status/1877769345926881449" TargetMode="External"/><Relationship Id="rId1650" Type="http://schemas.openxmlformats.org/officeDocument/2006/relationships/hyperlink" Target="https://pbs.twimg.com/profile_images/1782157237232005120/EWToWyVO_normal.jpg" TargetMode="External"/><Relationship Id="rId1748" Type="http://schemas.openxmlformats.org/officeDocument/2006/relationships/hyperlink" Target="https://pbs.twimg.com/profile_images/1844108422184153088/Fe89dwIa_400x400.jpg" TargetMode="External"/><Relationship Id="rId1303" Type="http://schemas.openxmlformats.org/officeDocument/2006/relationships/hyperlink" Target="https://pbs.twimg.com/profile_images/1724431176574656512/QiOerwrT_400x400.jpg" TargetMode="External"/><Relationship Id="rId1510" Type="http://schemas.openxmlformats.org/officeDocument/2006/relationships/hyperlink" Target="https://www.cookie.fun/chains/base.svg" TargetMode="External"/><Relationship Id="rId1608" Type="http://schemas.openxmlformats.org/officeDocument/2006/relationships/hyperlink" Target="https://x.com/_seacasa/status/1878904622322270218" TargetMode="External"/><Relationship Id="rId1815" Type="http://schemas.openxmlformats.org/officeDocument/2006/relationships/hyperlink" Target="https://www.cookie.fun/agent/deep-worm" TargetMode="External"/><Relationship Id="rId189" Type="http://schemas.openxmlformats.org/officeDocument/2006/relationships/hyperlink" Target="https://pbs.twimg.com/profile_images/1863747720827244545/xoSWaM53_normal.png" TargetMode="External"/><Relationship Id="rId396" Type="http://schemas.openxmlformats.org/officeDocument/2006/relationships/hyperlink" Target="https://x.com/RealFlokiInu/status/1878096224449884431" TargetMode="External"/><Relationship Id="rId256" Type="http://schemas.openxmlformats.org/officeDocument/2006/relationships/hyperlink" Target="https://x.com/kucoincom/status/1879417417350381897" TargetMode="External"/><Relationship Id="rId463" Type="http://schemas.openxmlformats.org/officeDocument/2006/relationships/hyperlink" Target="https://pbs.twimg.com/profile_images/1805288116577611776/FGDdsgTa_normal.jpg" TargetMode="External"/><Relationship Id="rId670" Type="http://schemas.openxmlformats.org/officeDocument/2006/relationships/hyperlink" Target="https://x.com/RealDeFiGregg/status/1877621420231950554" TargetMode="External"/><Relationship Id="rId1093" Type="http://schemas.openxmlformats.org/officeDocument/2006/relationships/hyperlink" Target="https://pbs.twimg.com/profile_images/1837206721892339716/UMbWTLyu_normal.jpg" TargetMode="External"/><Relationship Id="rId116" Type="http://schemas.openxmlformats.org/officeDocument/2006/relationships/hyperlink" Target="https://x.com/MightyDylanK/status/1877381954766512516" TargetMode="External"/><Relationship Id="rId323" Type="http://schemas.openxmlformats.org/officeDocument/2006/relationships/hyperlink" Target="https://pbs.twimg.com/profile_images/1121454355700310016/WKTRKCbK_normal.png" TargetMode="External"/><Relationship Id="rId530" Type="http://schemas.openxmlformats.org/officeDocument/2006/relationships/hyperlink" Target="https://www.cookie.fun/chains/solana.svg" TargetMode="External"/><Relationship Id="rId768" Type="http://schemas.openxmlformats.org/officeDocument/2006/relationships/hyperlink" Target="https://www.cookie.fun/chains/solana.svg" TargetMode="External"/><Relationship Id="rId975" Type="http://schemas.openxmlformats.org/officeDocument/2006/relationships/hyperlink" Target="https://x.com/worldoffisher/status/1878033818512453872" TargetMode="External"/><Relationship Id="rId1160" Type="http://schemas.openxmlformats.org/officeDocument/2006/relationships/hyperlink" Target="https://pbs.twimg.com/profile_images/1849338586979790848/nuc8A5WR_normal.png" TargetMode="External"/><Relationship Id="rId1398" Type="http://schemas.openxmlformats.org/officeDocument/2006/relationships/hyperlink" Target="https://www.cookie.fun/agent/brain" TargetMode="External"/><Relationship Id="rId628" Type="http://schemas.openxmlformats.org/officeDocument/2006/relationships/hyperlink" Target="https://x.com/ghost93_x/status/1879033045120172436" TargetMode="External"/><Relationship Id="rId835" Type="http://schemas.openxmlformats.org/officeDocument/2006/relationships/hyperlink" Target="https://x.com/gem_detecter/status/1877962394384896402" TargetMode="External"/><Relationship Id="rId1258" Type="http://schemas.openxmlformats.org/officeDocument/2006/relationships/hyperlink" Target="https://www.cookie.fun/agent/leo" TargetMode="External"/><Relationship Id="rId1465" Type="http://schemas.openxmlformats.org/officeDocument/2006/relationships/hyperlink" Target="https://x.com/ljxie/status/1877815452929339456" TargetMode="External"/><Relationship Id="rId1672" Type="http://schemas.openxmlformats.org/officeDocument/2006/relationships/hyperlink" Target="https://pbs.twimg.com/profile_images/1876864126376431616/Da-EVPUA_400x400.jpg" TargetMode="External"/><Relationship Id="rId1020" Type="http://schemas.openxmlformats.org/officeDocument/2006/relationships/hyperlink" Target="https://pbs.twimg.com/profile_images/1727082596507762688/u1y5wTSG_normal.jpg" TargetMode="External"/><Relationship Id="rId1118" Type="http://schemas.openxmlformats.org/officeDocument/2006/relationships/hyperlink" Target="https://pbs.twimg.com/profile_images/1773418874014437378/N-AojrRc_normal.jpg" TargetMode="External"/><Relationship Id="rId1325" Type="http://schemas.openxmlformats.org/officeDocument/2006/relationships/hyperlink" Target="https://www.cookie.fun/agent/singularry" TargetMode="External"/><Relationship Id="rId1532" Type="http://schemas.openxmlformats.org/officeDocument/2006/relationships/hyperlink" Target="https://www.cookie.fun/agent/cent" TargetMode="External"/><Relationship Id="rId902" Type="http://schemas.openxmlformats.org/officeDocument/2006/relationships/hyperlink" Target="https://x.com/WhalesMarket/status/1877009541432291329" TargetMode="External"/><Relationship Id="rId1837" Type="http://schemas.openxmlformats.org/officeDocument/2006/relationships/hyperlink" Target="https://pbs.twimg.com/profile_images/1800572784193495040/jqcuLovt_normal.jpg" TargetMode="External"/><Relationship Id="rId31" Type="http://schemas.openxmlformats.org/officeDocument/2006/relationships/hyperlink" Target="https://pbs.twimg.com/profile_images/1760347829166379008/Rjrt7Uv3_normal.jpg" TargetMode="External"/><Relationship Id="rId180" Type="http://schemas.openxmlformats.org/officeDocument/2006/relationships/hyperlink" Target="https://x.com/Degen__Ape__/status/1877781654745256076" TargetMode="External"/><Relationship Id="rId278" Type="http://schemas.openxmlformats.org/officeDocument/2006/relationships/hyperlink" Target="https://pbs.twimg.com/profile_images/1860014909683105792/mwGIopaa_400x400.jpg" TargetMode="External"/><Relationship Id="rId1904" Type="http://schemas.openxmlformats.org/officeDocument/2006/relationships/hyperlink" Target="https://www.cookie.fun/chains/base.svg" TargetMode="External"/><Relationship Id="rId485" Type="http://schemas.openxmlformats.org/officeDocument/2006/relationships/hyperlink" Target="https://pbs.twimg.com/profile_images/1554027145420500992/0oOUOv6L_normal.jpg" TargetMode="External"/><Relationship Id="rId692" Type="http://schemas.openxmlformats.org/officeDocument/2006/relationships/hyperlink" Target="https://x.com/ghost93_x/status/1878830484341522750" TargetMode="External"/><Relationship Id="rId138" Type="http://schemas.openxmlformats.org/officeDocument/2006/relationships/hyperlink" Target="https://x.com/bycoinhunter/status/1878064471266263528" TargetMode="External"/><Relationship Id="rId345" Type="http://schemas.openxmlformats.org/officeDocument/2006/relationships/hyperlink" Target="https://pbs.twimg.com/profile_images/1506936845413896193/Q408ci62_normal.jpg" TargetMode="External"/><Relationship Id="rId552" Type="http://schemas.openxmlformats.org/officeDocument/2006/relationships/hyperlink" Target="https://www.cookie.fun/agent/kolin" TargetMode="External"/><Relationship Id="rId997" Type="http://schemas.openxmlformats.org/officeDocument/2006/relationships/hyperlink" Target="https://x.com/legendarygainz_/status/1877588866170818873" TargetMode="External"/><Relationship Id="rId1182" Type="http://schemas.openxmlformats.org/officeDocument/2006/relationships/hyperlink" Target="https://x.com/robbytopgun/status/1877785225935175928" TargetMode="External"/><Relationship Id="rId205" Type="http://schemas.openxmlformats.org/officeDocument/2006/relationships/hyperlink" Target="https://www.cookie.fun/agent/max" TargetMode="External"/><Relationship Id="rId412" Type="http://schemas.openxmlformats.org/officeDocument/2006/relationships/hyperlink" Target="https://x.com/0xcryptowizard/status/1878077223690735730" TargetMode="External"/><Relationship Id="rId857" Type="http://schemas.openxmlformats.org/officeDocument/2006/relationships/hyperlink" Target="https://x.com/0x7d54/status/1878982548447207601" TargetMode="External"/><Relationship Id="rId1042" Type="http://schemas.openxmlformats.org/officeDocument/2006/relationships/hyperlink" Target="https://x.com/BiteyeCN/status/1877249880021942569" TargetMode="External"/><Relationship Id="rId1487" Type="http://schemas.openxmlformats.org/officeDocument/2006/relationships/hyperlink" Target="https://pbs.twimg.com/profile_images/1859092070226358272/Y6vWwZFV_400x400.jpg" TargetMode="External"/><Relationship Id="rId1694" Type="http://schemas.openxmlformats.org/officeDocument/2006/relationships/hyperlink" Target="https://pbs.twimg.com/profile_images/1607439693964267520/4u_BxpEm_normal.jpg" TargetMode="External"/><Relationship Id="rId717" Type="http://schemas.openxmlformats.org/officeDocument/2006/relationships/hyperlink" Target="https://x.com/0xCaptainLevi/status/1877565949072568664" TargetMode="External"/><Relationship Id="rId924" Type="http://schemas.openxmlformats.org/officeDocument/2006/relationships/hyperlink" Target="https://www.cookie.fun/chains/base.svg" TargetMode="External"/><Relationship Id="rId1347" Type="http://schemas.openxmlformats.org/officeDocument/2006/relationships/hyperlink" Target="https://pbs.twimg.com/profile_images/1867840509521408003/Cij6uQwV_normal.jpg" TargetMode="External"/><Relationship Id="rId1554" Type="http://schemas.openxmlformats.org/officeDocument/2006/relationships/hyperlink" Target="https://x.com/Smokeyjoethepi1/status/1877693704606998710" TargetMode="External"/><Relationship Id="rId1761" Type="http://schemas.openxmlformats.org/officeDocument/2006/relationships/hyperlink" Target="https://pbs.twimg.com/profile_images/1868940776518139904/0QxshsAj_400x400.jpg" TargetMode="External"/><Relationship Id="rId53" Type="http://schemas.openxmlformats.org/officeDocument/2006/relationships/hyperlink" Target="https://pbs.twimg.com/profile_images/1551771778472497152/ocyqhsbm_normal.jpg" TargetMode="External"/><Relationship Id="rId1207" Type="http://schemas.openxmlformats.org/officeDocument/2006/relationships/hyperlink" Target="https://pbs.twimg.com/profile_images/1352548197835681793/P8tRO3U2_normal.jpg" TargetMode="External"/><Relationship Id="rId1414" Type="http://schemas.openxmlformats.org/officeDocument/2006/relationships/hyperlink" Target="https://pbs.twimg.com/profile_images/1876491110555488256/uwXwjqCF_normal.jpg" TargetMode="External"/><Relationship Id="rId1621" Type="http://schemas.openxmlformats.org/officeDocument/2006/relationships/hyperlink" Target="https://pbs.twimg.com/profile_images/1876631199529267200/IG_L7xhT_normal.jpg" TargetMode="External"/><Relationship Id="rId1859" Type="http://schemas.openxmlformats.org/officeDocument/2006/relationships/hyperlink" Target="https://x.com/CryptoCurb/status/1879045545781874925" TargetMode="External"/><Relationship Id="rId1719" Type="http://schemas.openxmlformats.org/officeDocument/2006/relationships/hyperlink" Target="https://pbs.twimg.com/profile_images/1861736901503574016/hj2rCEj5_400x400.jpg" TargetMode="External"/><Relationship Id="rId367" Type="http://schemas.openxmlformats.org/officeDocument/2006/relationships/hyperlink" Target="https://pbs.twimg.com/profile_images/1607593522701701122/zv1J_K2-_normal.jpg" TargetMode="External"/><Relationship Id="rId574" Type="http://schemas.openxmlformats.org/officeDocument/2006/relationships/hyperlink" Target="https://pbs.twimg.com/profile_images/1855156346012024833/Cyq1S8xL_normal.png" TargetMode="External"/><Relationship Id="rId227" Type="http://schemas.openxmlformats.org/officeDocument/2006/relationships/hyperlink" Target="https://pbs.twimg.com/profile_images/1733260923094155264/VUqJ7HGV_normal.jpg" TargetMode="External"/><Relationship Id="rId781" Type="http://schemas.openxmlformats.org/officeDocument/2006/relationships/hyperlink" Target="https://x.com/CoinbaseAssets/status/1878873507389423828" TargetMode="External"/><Relationship Id="rId879" Type="http://schemas.openxmlformats.org/officeDocument/2006/relationships/hyperlink" Target="https://x.com/XDeGods/status/1878933749586600180" TargetMode="External"/><Relationship Id="rId434" Type="http://schemas.openxmlformats.org/officeDocument/2006/relationships/hyperlink" Target="https://pbs.twimg.com/profile_images/1879065631900958720/03osAUKd_400x400.jpg" TargetMode="External"/><Relationship Id="rId641" Type="http://schemas.openxmlformats.org/officeDocument/2006/relationships/hyperlink" Target="https://x.com/IxSwap/status/1879124793246785547" TargetMode="External"/><Relationship Id="rId739" Type="http://schemas.openxmlformats.org/officeDocument/2006/relationships/hyperlink" Target="https://x.com/CryptoNewton/status/1879182201998266817" TargetMode="External"/><Relationship Id="rId1064" Type="http://schemas.openxmlformats.org/officeDocument/2006/relationships/hyperlink" Target="https://www.cookie.fun/agent/airene" TargetMode="External"/><Relationship Id="rId1271" Type="http://schemas.openxmlformats.org/officeDocument/2006/relationships/hyperlink" Target="https://pbs.twimg.com/profile_images/1862794534133936128/vL0hyCU0_400x400.jpg" TargetMode="External"/><Relationship Id="rId1369" Type="http://schemas.openxmlformats.org/officeDocument/2006/relationships/hyperlink" Target="https://x.com/jvb_xyz/status/1877745342373830866" TargetMode="External"/><Relationship Id="rId1576" Type="http://schemas.openxmlformats.org/officeDocument/2006/relationships/hyperlink" Target="https://www.cookie.fun/chains/solana.svg" TargetMode="External"/><Relationship Id="rId501" Type="http://schemas.openxmlformats.org/officeDocument/2006/relationships/hyperlink" Target="https://pbs.twimg.com/profile_images/1583462717498728455/puvD9UlZ_normal.jpg" TargetMode="External"/><Relationship Id="rId946" Type="http://schemas.openxmlformats.org/officeDocument/2006/relationships/hyperlink" Target="https://www.cookie.fun/agent/keke" TargetMode="External"/><Relationship Id="rId1131" Type="http://schemas.openxmlformats.org/officeDocument/2006/relationships/hyperlink" Target="https://x.com/WeArePlanetMojo/status/1879524748062781516" TargetMode="External"/><Relationship Id="rId1229" Type="http://schemas.openxmlformats.org/officeDocument/2006/relationships/hyperlink" Target="https://pbs.twimg.com/profile_images/1653754789241446401/whh0PdFN_normal.jpg" TargetMode="External"/><Relationship Id="rId1783" Type="http://schemas.openxmlformats.org/officeDocument/2006/relationships/hyperlink" Target="https://x.com/MINHxDYNASTY/status/1879240982161768876" TargetMode="External"/><Relationship Id="rId75" Type="http://schemas.openxmlformats.org/officeDocument/2006/relationships/hyperlink" Target="https://www.cookie.fun/chains/solana.svg" TargetMode="External"/><Relationship Id="rId806" Type="http://schemas.openxmlformats.org/officeDocument/2006/relationships/hyperlink" Target="https://x.com/sentosumosaba/status/1879359023604248975" TargetMode="External"/><Relationship Id="rId1436" Type="http://schemas.openxmlformats.org/officeDocument/2006/relationships/hyperlink" Target="https://pbs.twimg.com/profile_images/1661206679109926914/vrJrdhSx_normal.jpg" TargetMode="External"/><Relationship Id="rId1643" Type="http://schemas.openxmlformats.org/officeDocument/2006/relationships/hyperlink" Target="https://www.cookie.fun/chains/solana.svg" TargetMode="External"/><Relationship Id="rId1850" Type="http://schemas.openxmlformats.org/officeDocument/2006/relationships/hyperlink" Target="https://pbs.twimg.com/profile_images/1554027145420500992/0oOUOv6L_normal.jpg" TargetMode="External"/><Relationship Id="rId1503" Type="http://schemas.openxmlformats.org/officeDocument/2006/relationships/hyperlink" Target="https://pbs.twimg.com/profile_images/1864214204103962624/dRJ834sQ_400x400.jpg" TargetMode="External"/><Relationship Id="rId1710" Type="http://schemas.openxmlformats.org/officeDocument/2006/relationships/hyperlink" Target="https://www.cookie.fun/chains/base.svg" TargetMode="External"/><Relationship Id="rId291" Type="http://schemas.openxmlformats.org/officeDocument/2006/relationships/hyperlink" Target="https://www.cookie.fun/chains/solana.svg" TargetMode="External"/><Relationship Id="rId1808" Type="http://schemas.openxmlformats.org/officeDocument/2006/relationships/hyperlink" Target="https://pbs.twimg.com/profile_images/1722258300665044992/bo9clXct_normal.jpg" TargetMode="External"/><Relationship Id="rId151" Type="http://schemas.openxmlformats.org/officeDocument/2006/relationships/hyperlink" Target="https://pbs.twimg.com/profile_images/1833982252272795649/YdQvXW46_normal.jpg" TargetMode="External"/><Relationship Id="rId389" Type="http://schemas.openxmlformats.org/officeDocument/2006/relationships/hyperlink" Target="https://pbs.twimg.com/profile_images/1564377312883134469/HdcOW2fk_normal.jpg" TargetMode="External"/><Relationship Id="rId596" Type="http://schemas.openxmlformats.org/officeDocument/2006/relationships/hyperlink" Target="https://x.com/0xRyze/status/1878711859660116235" TargetMode="External"/><Relationship Id="rId249" Type="http://schemas.openxmlformats.org/officeDocument/2006/relationships/hyperlink" Target="https://pbs.twimg.com/profile_images/1874983006630195200/zQ6Vsyhl_normal.jpg" TargetMode="External"/><Relationship Id="rId456" Type="http://schemas.openxmlformats.org/officeDocument/2006/relationships/hyperlink" Target="https://x.com/0xkyle__/status/1877383763988013108" TargetMode="External"/><Relationship Id="rId663" Type="http://schemas.openxmlformats.org/officeDocument/2006/relationships/hyperlink" Target="https://www.cookie.fun/chains/solana.svg" TargetMode="External"/><Relationship Id="rId870" Type="http://schemas.openxmlformats.org/officeDocument/2006/relationships/hyperlink" Target="https://pbs.twimg.com/profile_images/1858571164953833472/UnkKfsAI_normal.jpg" TargetMode="External"/><Relationship Id="rId1086" Type="http://schemas.openxmlformats.org/officeDocument/2006/relationships/hyperlink" Target="https://pbs.twimg.com/profile_images/1878136072775118848/kfqFBXgr_normal.jpg" TargetMode="External"/><Relationship Id="rId1293" Type="http://schemas.openxmlformats.org/officeDocument/2006/relationships/hyperlink" Target="https://x.com/wired0X/status/1877889082187219320" TargetMode="External"/><Relationship Id="rId109" Type="http://schemas.openxmlformats.org/officeDocument/2006/relationships/hyperlink" Target="https://www.cookie.fun/agent/aimonica" TargetMode="External"/><Relationship Id="rId316" Type="http://schemas.openxmlformats.org/officeDocument/2006/relationships/hyperlink" Target="https://x.com/BiteyeCN/status/1877249880021942569" TargetMode="External"/><Relationship Id="rId523" Type="http://schemas.openxmlformats.org/officeDocument/2006/relationships/hyperlink" Target="https://x.com/jbondwagon/status/1879380516128059678" TargetMode="External"/><Relationship Id="rId968" Type="http://schemas.openxmlformats.org/officeDocument/2006/relationships/hyperlink" Target="https://pbs.twimg.com/profile_images/1854319673396850694/bt7bFsP0_normal.jpg" TargetMode="External"/><Relationship Id="rId1153" Type="http://schemas.openxmlformats.org/officeDocument/2006/relationships/hyperlink" Target="https://x.com/lookonchain/status/1878492820195131545" TargetMode="External"/><Relationship Id="rId1598" Type="http://schemas.openxmlformats.org/officeDocument/2006/relationships/hyperlink" Target="https://www.cookie.fun/chains/solana.svg" TargetMode="External"/><Relationship Id="rId97" Type="http://schemas.openxmlformats.org/officeDocument/2006/relationships/hyperlink" Target="https://www.cookie.fun/agent/orbit" TargetMode="External"/><Relationship Id="rId730" Type="http://schemas.openxmlformats.org/officeDocument/2006/relationships/hyperlink" Target="https://www.cookie.fun/agent/taocat" TargetMode="External"/><Relationship Id="rId828" Type="http://schemas.openxmlformats.org/officeDocument/2006/relationships/hyperlink" Target="https://x.com/jessepollak/status/1879243402090578036" TargetMode="External"/><Relationship Id="rId1013" Type="http://schemas.openxmlformats.org/officeDocument/2006/relationships/hyperlink" Target="https://pbs.twimg.com/profile_images/1876827907114303488/-4F9E9Df_normal.jpg" TargetMode="External"/><Relationship Id="rId1360" Type="http://schemas.openxmlformats.org/officeDocument/2006/relationships/hyperlink" Target="https://www.cookie.fun/agent/1000x" TargetMode="External"/><Relationship Id="rId1458" Type="http://schemas.openxmlformats.org/officeDocument/2006/relationships/hyperlink" Target="https://abs.twimg.com/sticky/default_profile_images/default_profile_400x400.png" TargetMode="External"/><Relationship Id="rId1665" Type="http://schemas.openxmlformats.org/officeDocument/2006/relationships/hyperlink" Target="https://pbs.twimg.com/profile_images/1864999591013421058/rl_W6L2Z_400x400.jpg" TargetMode="External"/><Relationship Id="rId1872" Type="http://schemas.openxmlformats.org/officeDocument/2006/relationships/hyperlink" Target="https://www.cookie.fun/agent/sami1" TargetMode="External"/><Relationship Id="rId1220" Type="http://schemas.openxmlformats.org/officeDocument/2006/relationships/hyperlink" Target="https://www.cookie.fun/agent/pondhub" TargetMode="External"/><Relationship Id="rId1318" Type="http://schemas.openxmlformats.org/officeDocument/2006/relationships/hyperlink" Target="https://x.com/Web3Adam/status/1877506241930404211" TargetMode="External"/><Relationship Id="rId1525" Type="http://schemas.openxmlformats.org/officeDocument/2006/relationships/hyperlink" Target="https://pbs.twimg.com/profile_images/1870228460016209920/_bCiBtJz_normal.jpg" TargetMode="External"/><Relationship Id="rId1732" Type="http://schemas.openxmlformats.org/officeDocument/2006/relationships/hyperlink" Target="https://www.cookie.fun/chains/solana.svg" TargetMode="External"/><Relationship Id="rId24" Type="http://schemas.openxmlformats.org/officeDocument/2006/relationships/hyperlink" Target="https://x.com/notthreadguy/status/1878914369318477827" TargetMode="External"/><Relationship Id="rId173" Type="http://schemas.openxmlformats.org/officeDocument/2006/relationships/hyperlink" Target="https://pbs.twimg.com/profile_images/1721158078765424640/hFrzagyZ_normal.jpg" TargetMode="External"/><Relationship Id="rId380" Type="http://schemas.openxmlformats.org/officeDocument/2006/relationships/hyperlink" Target="https://x.com/traderrocko/status/1877098332209709314" TargetMode="External"/><Relationship Id="rId240" Type="http://schemas.openxmlformats.org/officeDocument/2006/relationships/hyperlink" Target="https://x.com/cryptocom/status/1879454710043697339" TargetMode="External"/><Relationship Id="rId478" Type="http://schemas.openxmlformats.org/officeDocument/2006/relationships/hyperlink" Target="https://x.com/avocado_toast2/status/1878143988781462012" TargetMode="External"/><Relationship Id="rId685" Type="http://schemas.openxmlformats.org/officeDocument/2006/relationships/hyperlink" Target="https://www.cookie.fun/agent/acolyte" TargetMode="External"/><Relationship Id="rId892" Type="http://schemas.openxmlformats.org/officeDocument/2006/relationships/hyperlink" Target="https://pbs.twimg.com/profile_images/1871330840774426625/pjvENjuB_normal.jpg" TargetMode="External"/><Relationship Id="rId100" Type="http://schemas.openxmlformats.org/officeDocument/2006/relationships/hyperlink" Target="https://x.com/WazzCrypto/status/1879201619633738212" TargetMode="External"/><Relationship Id="rId338" Type="http://schemas.openxmlformats.org/officeDocument/2006/relationships/hyperlink" Target="https://pbs.twimg.com/profile_images/1860187585143832576/YUIhlUic_400x400.jpg" TargetMode="External"/><Relationship Id="rId545" Type="http://schemas.openxmlformats.org/officeDocument/2006/relationships/hyperlink" Target="https://x.com/SuperRareBot/status/1878201594505806124" TargetMode="External"/><Relationship Id="rId752" Type="http://schemas.openxmlformats.org/officeDocument/2006/relationships/hyperlink" Target="https://pbs.twimg.com/profile_images/1803906216046850048/cv1dZJXi_normal.jpg" TargetMode="External"/><Relationship Id="rId1175" Type="http://schemas.openxmlformats.org/officeDocument/2006/relationships/hyperlink" Target="https://www.cookie.fun/chains/base.svg" TargetMode="External"/><Relationship Id="rId1382" Type="http://schemas.openxmlformats.org/officeDocument/2006/relationships/hyperlink" Target="https://x.com/MutantShibaClub/status/1878147758915203518" TargetMode="External"/><Relationship Id="rId405" Type="http://schemas.openxmlformats.org/officeDocument/2006/relationships/hyperlink" Target="https://pbs.twimg.com/profile_images/1833982252272795649/YdQvXW46_normal.jpg" TargetMode="External"/><Relationship Id="rId612" Type="http://schemas.openxmlformats.org/officeDocument/2006/relationships/hyperlink" Target="https://pbs.twimg.com/profile_images/1851676948897918976/3eQUc69U_400x400.jpg" TargetMode="External"/><Relationship Id="rId1035" Type="http://schemas.openxmlformats.org/officeDocument/2006/relationships/hyperlink" Target="https://x.com/TheBoggartt/status/1877826311097397546" TargetMode="External"/><Relationship Id="rId1242" Type="http://schemas.openxmlformats.org/officeDocument/2006/relationships/hyperlink" Target="https://www.cookie.fun/agent/nftxbt" TargetMode="External"/><Relationship Id="rId1687" Type="http://schemas.openxmlformats.org/officeDocument/2006/relationships/hyperlink" Target="https://x.com/IRA_therabbit/status/1878440206631637201" TargetMode="External"/><Relationship Id="rId1894" Type="http://schemas.openxmlformats.org/officeDocument/2006/relationships/hyperlink" Target="https://www.cookie.fun/agent/echo-leaks" TargetMode="External"/><Relationship Id="rId917" Type="http://schemas.openxmlformats.org/officeDocument/2006/relationships/hyperlink" Target="https://pbs.twimg.com/profile_images/1752826759504965632/_BJV6z9l_normal.jpg" TargetMode="External"/><Relationship Id="rId1102" Type="http://schemas.openxmlformats.org/officeDocument/2006/relationships/hyperlink" Target="https://x.com/yb_effect/status/1878160122578600014" TargetMode="External"/><Relationship Id="rId1547" Type="http://schemas.openxmlformats.org/officeDocument/2006/relationships/hyperlink" Target="https://www.cookie.fun/agent/homo-memetus" TargetMode="External"/><Relationship Id="rId1754" Type="http://schemas.openxmlformats.org/officeDocument/2006/relationships/hyperlink" Target="https://www.cookie.fun/chains/base.svg" TargetMode="External"/><Relationship Id="rId46" Type="http://schemas.openxmlformats.org/officeDocument/2006/relationships/hyperlink" Target="https://x.com/tong0x/status/1878507178539254085" TargetMode="External"/><Relationship Id="rId1407" Type="http://schemas.openxmlformats.org/officeDocument/2006/relationships/hyperlink" Target="https://pbs.twimg.com/profile_images/1631379859992616960/FK9BSqd2_normal.jpg" TargetMode="External"/><Relationship Id="rId1614" Type="http://schemas.openxmlformats.org/officeDocument/2006/relationships/hyperlink" Target="https://www.cookie.fun/chains/solana.svg" TargetMode="External"/><Relationship Id="rId1821" Type="http://schemas.openxmlformats.org/officeDocument/2006/relationships/hyperlink" Target="https://pbs.twimg.com/profile_images/1853802791216521216/9JIhLaK-_400x400.jpg" TargetMode="External"/><Relationship Id="rId195" Type="http://schemas.openxmlformats.org/officeDocument/2006/relationships/hyperlink" Target="https://www.cookie.fun/chains/base.svg" TargetMode="External"/><Relationship Id="rId262" Type="http://schemas.openxmlformats.org/officeDocument/2006/relationships/hyperlink" Target="https://x.com/CryptoKaduna/status/1878901326635270206" TargetMode="External"/><Relationship Id="rId567" Type="http://schemas.openxmlformats.org/officeDocument/2006/relationships/hyperlink" Target="https://x.com/Ed_x0101/status/1878177929881895330" TargetMode="External"/><Relationship Id="rId1197" Type="http://schemas.openxmlformats.org/officeDocument/2006/relationships/hyperlink" Target="https://pbs.twimg.com/profile_images/1865033212696707072/-yQUy5WR_400x400.jpg" TargetMode="External"/><Relationship Id="rId122" Type="http://schemas.openxmlformats.org/officeDocument/2006/relationships/hyperlink" Target="https://pbs.twimg.com/profile_images/1808816849620250625/AQIUpfL3_400x400.jpg" TargetMode="External"/><Relationship Id="rId774" Type="http://schemas.openxmlformats.org/officeDocument/2006/relationships/hyperlink" Target="https://pbs.twimg.com/profile_images/1830786921200521216/ei_obfWy_normal.jpg" TargetMode="External"/><Relationship Id="rId981" Type="http://schemas.openxmlformats.org/officeDocument/2006/relationships/hyperlink" Target="https://x.com/sayinshallah/status/1879047087393997265" TargetMode="External"/><Relationship Id="rId1057" Type="http://schemas.openxmlformats.org/officeDocument/2006/relationships/hyperlink" Target="https://pbs.twimg.com/profile_images/1484675718227374084/KwlUzuE3_normal.jpg" TargetMode="External"/><Relationship Id="rId427" Type="http://schemas.openxmlformats.org/officeDocument/2006/relationships/hyperlink" Target="https://pbs.twimg.com/profile_images/1862965859016212480/9Qt3inkI_normal.jpg" TargetMode="External"/><Relationship Id="rId634" Type="http://schemas.openxmlformats.org/officeDocument/2006/relationships/hyperlink" Target="https://www.cookie.fun/agent/kaia" TargetMode="External"/><Relationship Id="rId841" Type="http://schemas.openxmlformats.org/officeDocument/2006/relationships/hyperlink" Target="https://www.cookie.fun/agent/gluteus-maximus" TargetMode="External"/><Relationship Id="rId1264" Type="http://schemas.openxmlformats.org/officeDocument/2006/relationships/hyperlink" Target="https://pbs.twimg.com/profile_images/1861067699628986368/U5K_0wia_normal.jpg" TargetMode="External"/><Relationship Id="rId1471" Type="http://schemas.openxmlformats.org/officeDocument/2006/relationships/hyperlink" Target="https://x.com/henloitsjoyce/status/1877039879629979708" TargetMode="External"/><Relationship Id="rId1569" Type="http://schemas.openxmlformats.org/officeDocument/2006/relationships/hyperlink" Target="https://www.cookie.fun/chains/solana.svg" TargetMode="External"/><Relationship Id="rId701" Type="http://schemas.openxmlformats.org/officeDocument/2006/relationships/hyperlink" Target="https://pbs.twimg.com/profile_images/1684526956266635264/xdq5pFT5_normal.jpg" TargetMode="External"/><Relationship Id="rId939" Type="http://schemas.openxmlformats.org/officeDocument/2006/relationships/hyperlink" Target="https://x.com/IAmPotDEALer/status/1878145370858914169" TargetMode="External"/><Relationship Id="rId1124" Type="http://schemas.openxmlformats.org/officeDocument/2006/relationships/hyperlink" Target="https://www.cookie.fun/chains/base.svg" TargetMode="External"/><Relationship Id="rId1331" Type="http://schemas.openxmlformats.org/officeDocument/2006/relationships/hyperlink" Target="https://www.cookie.fun/agent/eolas-" TargetMode="External"/><Relationship Id="rId1776" Type="http://schemas.openxmlformats.org/officeDocument/2006/relationships/hyperlink" Target="https://www.cookie.fun/chains/ethereum.svg" TargetMode="External"/><Relationship Id="rId68" Type="http://schemas.openxmlformats.org/officeDocument/2006/relationships/hyperlink" Target="https://x.com/osf_rekt/status/1877734775269609475" TargetMode="External"/><Relationship Id="rId1429" Type="http://schemas.openxmlformats.org/officeDocument/2006/relationships/hyperlink" Target="https://pbs.twimg.com/profile_images/1846579538802982912/9qCfx_WU_normal.jpg" TargetMode="External"/><Relationship Id="rId1636" Type="http://schemas.openxmlformats.org/officeDocument/2006/relationships/hyperlink" Target="https://www.cookie.fun/agent/ocada" TargetMode="External"/><Relationship Id="rId1843" Type="http://schemas.openxmlformats.org/officeDocument/2006/relationships/hyperlink" Target="https://www.cookie.fun/agent/sensus" TargetMode="External"/><Relationship Id="rId1703" Type="http://schemas.openxmlformats.org/officeDocument/2006/relationships/hyperlink" Target="https://x.com/phunk2243/status/1879327149985054817" TargetMode="External"/><Relationship Id="rId1910" Type="http://schemas.openxmlformats.org/officeDocument/2006/relationships/hyperlink" Target="https://www.cookie.fun/agent/saint" TargetMode="External"/><Relationship Id="rId284" Type="http://schemas.openxmlformats.org/officeDocument/2006/relationships/hyperlink" Target="https://x.com/DeeZe/status/1879298965675585884" TargetMode="External"/><Relationship Id="rId491" Type="http://schemas.openxmlformats.org/officeDocument/2006/relationships/hyperlink" Target="https://pbs.twimg.com/profile_images/1833387356159647744/3PxzMm1T_normal.jpg" TargetMode="External"/><Relationship Id="rId144" Type="http://schemas.openxmlformats.org/officeDocument/2006/relationships/hyperlink" Target="https://x.com/BNBCHAIN/status/1877698168353104019" TargetMode="External"/><Relationship Id="rId589" Type="http://schemas.openxmlformats.org/officeDocument/2006/relationships/hyperlink" Target="https://www.cookie.fun/chains/base.svg" TargetMode="External"/><Relationship Id="rId796" Type="http://schemas.openxmlformats.org/officeDocument/2006/relationships/hyperlink" Target="https://pbs.twimg.com/profile_images/1506936845413896193/Q408ci62_normal.jpg" TargetMode="External"/><Relationship Id="rId351" Type="http://schemas.openxmlformats.org/officeDocument/2006/relationships/hyperlink" Target="https://www.cookie.fun/chains/base.svg" TargetMode="External"/><Relationship Id="rId449" Type="http://schemas.openxmlformats.org/officeDocument/2006/relationships/hyperlink" Target="https://pbs.twimg.com/profile_images/1352548197835681793/P8tRO3U2_normal.jpg" TargetMode="External"/><Relationship Id="rId656" Type="http://schemas.openxmlformats.org/officeDocument/2006/relationships/hyperlink" Target="https://pbs.twimg.com/profile_images/1809986552753512448/75hA8G2n_normal.jpg" TargetMode="External"/><Relationship Id="rId863" Type="http://schemas.openxmlformats.org/officeDocument/2006/relationships/hyperlink" Target="https://x.com/BbtNtwrk/status/1878915852721951131" TargetMode="External"/><Relationship Id="rId1079" Type="http://schemas.openxmlformats.org/officeDocument/2006/relationships/hyperlink" Target="https://x.com/The__Solstice/status/1877302261266673692" TargetMode="External"/><Relationship Id="rId1286" Type="http://schemas.openxmlformats.org/officeDocument/2006/relationships/hyperlink" Target="https://x.com/DarthJotaro/status/1877587557375934826" TargetMode="External"/><Relationship Id="rId1493" Type="http://schemas.openxmlformats.org/officeDocument/2006/relationships/hyperlink" Target="https://x.com/abu_crypto1/status/1878913859391791307" TargetMode="External"/><Relationship Id="rId211" Type="http://schemas.openxmlformats.org/officeDocument/2006/relationships/hyperlink" Target="https://pbs.twimg.com/profile_images/1352548197835681793/P8tRO3U2_normal.jpg" TargetMode="External"/><Relationship Id="rId309" Type="http://schemas.openxmlformats.org/officeDocument/2006/relationships/hyperlink" Target="https://pbs.twimg.com/profile_images/1862041003764355072/dWntt2bQ_normal.jpg" TargetMode="External"/><Relationship Id="rId516" Type="http://schemas.openxmlformats.org/officeDocument/2006/relationships/hyperlink" Target="https://www.cookie.fun/agent/mona" TargetMode="External"/><Relationship Id="rId1146" Type="http://schemas.openxmlformats.org/officeDocument/2006/relationships/hyperlink" Target="https://x.com/thewolvesxyz/status/1878095589289935060" TargetMode="External"/><Relationship Id="rId1798" Type="http://schemas.openxmlformats.org/officeDocument/2006/relationships/hyperlink" Target="https://pbs.twimg.com/profile_images/1859637818030522368/CaQHTr9r_400x400.jpg" TargetMode="External"/><Relationship Id="rId723" Type="http://schemas.openxmlformats.org/officeDocument/2006/relationships/hyperlink" Target="https://x.com/mrpunkdoteth/status/1878472820151239091" TargetMode="External"/><Relationship Id="rId930" Type="http://schemas.openxmlformats.org/officeDocument/2006/relationships/hyperlink" Target="https://pbs.twimg.com/profile_images/1874803346961563648/tTsv1sb-_normal.jpg" TargetMode="External"/><Relationship Id="rId1006" Type="http://schemas.openxmlformats.org/officeDocument/2006/relationships/hyperlink" Target="https://www.cookie.fun/agent/axi" TargetMode="External"/><Relationship Id="rId1353" Type="http://schemas.openxmlformats.org/officeDocument/2006/relationships/hyperlink" Target="https://pbs.twimg.com/profile_images/1851258548015001600/LHKIS-Lp_400x400.jpg" TargetMode="External"/><Relationship Id="rId1560" Type="http://schemas.openxmlformats.org/officeDocument/2006/relationships/hyperlink" Target="https://pbs.twimg.com/profile_images/1872667112474390528/rUpWCgr4_400x400.jpg" TargetMode="External"/><Relationship Id="rId1658" Type="http://schemas.openxmlformats.org/officeDocument/2006/relationships/hyperlink" Target="https://www.cookie.fun/chains/solana.svg" TargetMode="External"/><Relationship Id="rId1865" Type="http://schemas.openxmlformats.org/officeDocument/2006/relationships/hyperlink" Target="https://pbs.twimg.com/profile_images/1806079994000478208/PyfujI-a_normal.jpg" TargetMode="External"/><Relationship Id="rId1213" Type="http://schemas.openxmlformats.org/officeDocument/2006/relationships/hyperlink" Target="https://pbs.twimg.com/profile_images/1864599613854056448/ZeVySPIK_400x400.jpg" TargetMode="External"/><Relationship Id="rId1420" Type="http://schemas.openxmlformats.org/officeDocument/2006/relationships/hyperlink" Target="https://www.cookie.fun/agent/klaus" TargetMode="External"/><Relationship Id="rId1518" Type="http://schemas.openxmlformats.org/officeDocument/2006/relationships/hyperlink" Target="https://x.com/_ilmoi/status/1878027128832147782" TargetMode="External"/><Relationship Id="rId1725" Type="http://schemas.openxmlformats.org/officeDocument/2006/relationships/hyperlink" Target="https://www.cookie.fun/agent/koala-ai" TargetMode="External"/><Relationship Id="rId17" Type="http://schemas.openxmlformats.org/officeDocument/2006/relationships/hyperlink" Target="https://pbs.twimg.com/profile_images/1868298971837255680/cN-ikO7h_normal.jpg" TargetMode="External"/><Relationship Id="rId166" Type="http://schemas.openxmlformats.org/officeDocument/2006/relationships/hyperlink" Target="https://x.com/kceeonyekachi1/status/1877486107618574524" TargetMode="External"/><Relationship Id="rId373" Type="http://schemas.openxmlformats.org/officeDocument/2006/relationships/hyperlink" Target="https://www.cookie.fun/agent/kween" TargetMode="External"/><Relationship Id="rId580" Type="http://schemas.openxmlformats.org/officeDocument/2006/relationships/hyperlink" Target="https://x.com/LeviNotAckerman/status/1878682585062334907" TargetMode="External"/><Relationship Id="rId1" Type="http://schemas.openxmlformats.org/officeDocument/2006/relationships/hyperlink" Target="https://www.cookie.fun/agent/aixbt" TargetMode="External"/><Relationship Id="rId233" Type="http://schemas.openxmlformats.org/officeDocument/2006/relationships/hyperlink" Target="https://pbs.twimg.com/profile_images/1422538477900423170/tRsq0F8Y_normal.png" TargetMode="External"/><Relationship Id="rId440" Type="http://schemas.openxmlformats.org/officeDocument/2006/relationships/hyperlink" Target="https://x.com/Route2FI/status/1878093414115242143" TargetMode="External"/><Relationship Id="rId678" Type="http://schemas.openxmlformats.org/officeDocument/2006/relationships/hyperlink" Target="https://x.com/mungimungimungi/status/1877426444755771527" TargetMode="External"/><Relationship Id="rId885" Type="http://schemas.openxmlformats.org/officeDocument/2006/relationships/hyperlink" Target="https://x.com/XDeGods/status/1879222025509867760" TargetMode="External"/><Relationship Id="rId1070" Type="http://schemas.openxmlformats.org/officeDocument/2006/relationships/hyperlink" Target="https://pbs.twimg.com/profile_images/1423875044598456321/SVjwd6Bb_normal.jpg" TargetMode="External"/><Relationship Id="rId300" Type="http://schemas.openxmlformats.org/officeDocument/2006/relationships/hyperlink" Target="https://x.com/gem_insider/status/1877309350353490122" TargetMode="External"/><Relationship Id="rId538" Type="http://schemas.openxmlformats.org/officeDocument/2006/relationships/hyperlink" Target="https://pbs.twimg.com/profile_images/1866136095576010752/WXMB4ek2_normal.jpg" TargetMode="External"/><Relationship Id="rId745" Type="http://schemas.openxmlformats.org/officeDocument/2006/relationships/hyperlink" Target="https://x.com/ReadOnMe3/status/1877296401501323678" TargetMode="External"/><Relationship Id="rId952" Type="http://schemas.openxmlformats.org/officeDocument/2006/relationships/hyperlink" Target="https://pbs.twimg.com/profile_images/1851899017690587136/bRhRc56w_normal.jpg" TargetMode="External"/><Relationship Id="rId1168" Type="http://schemas.openxmlformats.org/officeDocument/2006/relationships/hyperlink" Target="https://x.com/yoshi_jdcomm/status/1878484440701190624" TargetMode="External"/><Relationship Id="rId1375" Type="http://schemas.openxmlformats.org/officeDocument/2006/relationships/hyperlink" Target="https://x.com/AndreWGMI/status/1878026929028112693" TargetMode="External"/><Relationship Id="rId1582" Type="http://schemas.openxmlformats.org/officeDocument/2006/relationships/hyperlink" Target="https://www.cookie.fun/agent/size" TargetMode="External"/><Relationship Id="rId81" Type="http://schemas.openxmlformats.org/officeDocument/2006/relationships/hyperlink" Target="https://pbs.twimg.com/profile_images/1862852807830777856/vfYYzndo_normal.jpg" TargetMode="External"/><Relationship Id="rId605" Type="http://schemas.openxmlformats.org/officeDocument/2006/relationships/hyperlink" Target="https://pbs.twimg.com/profile_images/1833387356159647744/3PxzMm1T_normal.jpg" TargetMode="External"/><Relationship Id="rId812" Type="http://schemas.openxmlformats.org/officeDocument/2006/relationships/hyperlink" Target="https://www.cookie.fun/chains/solana.svg" TargetMode="External"/><Relationship Id="rId1028" Type="http://schemas.openxmlformats.org/officeDocument/2006/relationships/hyperlink" Target="https://www.cookie.fun/agent/predo" TargetMode="External"/><Relationship Id="rId1235" Type="http://schemas.openxmlformats.org/officeDocument/2006/relationships/hyperlink" Target="https://www.cookie.fun/agent/grok" TargetMode="External"/><Relationship Id="rId1442" Type="http://schemas.openxmlformats.org/officeDocument/2006/relationships/hyperlink" Target="https://pbs.twimg.com/profile_images/1868236098385956864/QoqpbXsu_normal.jpg" TargetMode="External"/><Relationship Id="rId1887" Type="http://schemas.openxmlformats.org/officeDocument/2006/relationships/hyperlink" Target="https://x.com/imperooterxbt/status/1877173815589093807" TargetMode="External"/><Relationship Id="rId1302" Type="http://schemas.openxmlformats.org/officeDocument/2006/relationships/hyperlink" Target="https://www.cookie.fun/agent/punky" TargetMode="External"/><Relationship Id="rId1747" Type="http://schemas.openxmlformats.org/officeDocument/2006/relationships/hyperlink" Target="https://www.cookie.fun/agent/koto" TargetMode="External"/><Relationship Id="rId39" Type="http://schemas.openxmlformats.org/officeDocument/2006/relationships/hyperlink" Target="https://www.cookie.fun/chains/solana.svg" TargetMode="External"/><Relationship Id="rId1607" Type="http://schemas.openxmlformats.org/officeDocument/2006/relationships/hyperlink" Target="https://pbs.twimg.com/profile_images/1754632022939611137/9Twew9N7_normal.jpg" TargetMode="External"/><Relationship Id="rId1814" Type="http://schemas.openxmlformats.org/officeDocument/2006/relationships/hyperlink" Target="https://pbs.twimg.com/profile_images/1820898804834369536/kEO4-xkf_normal.jpg" TargetMode="External"/><Relationship Id="rId188" Type="http://schemas.openxmlformats.org/officeDocument/2006/relationships/hyperlink" Target="https://x.com/LunarCrush/status/1878979848716103870" TargetMode="External"/><Relationship Id="rId395" Type="http://schemas.openxmlformats.org/officeDocument/2006/relationships/hyperlink" Target="https://pbs.twimg.com/profile_images/1783884127831535616/CFogUoHh_normal.jpg" TargetMode="External"/><Relationship Id="rId255" Type="http://schemas.openxmlformats.org/officeDocument/2006/relationships/hyperlink" Target="https://www.cookie.fun/chains/solana.svg" TargetMode="External"/><Relationship Id="rId462" Type="http://schemas.openxmlformats.org/officeDocument/2006/relationships/hyperlink" Target="https://x.com/CryptoNoach/status/1877380122715763108" TargetMode="External"/><Relationship Id="rId1092" Type="http://schemas.openxmlformats.org/officeDocument/2006/relationships/hyperlink" Target="https://x.com/ARCreactorAI/status/1877741510437048650" TargetMode="External"/><Relationship Id="rId1397" Type="http://schemas.openxmlformats.org/officeDocument/2006/relationships/hyperlink" Target="https://pbs.twimg.com/profile_images/1875747557445361665/3IWSaZY-_normal.jpg" TargetMode="External"/><Relationship Id="rId115" Type="http://schemas.openxmlformats.org/officeDocument/2006/relationships/hyperlink" Target="https://pbs.twimg.com/profile_images/1632754444982157318/lFiea3rp_normal.jpg" TargetMode="External"/><Relationship Id="rId322" Type="http://schemas.openxmlformats.org/officeDocument/2006/relationships/hyperlink" Target="https://x.com/iamjosephyoung/status/1878701243973144917" TargetMode="External"/><Relationship Id="rId767" Type="http://schemas.openxmlformats.org/officeDocument/2006/relationships/hyperlink" Target="https://pbs.twimg.com/profile_images/1859327780703309824/xa29TGP-_400x400.jpg" TargetMode="External"/><Relationship Id="rId974" Type="http://schemas.openxmlformats.org/officeDocument/2006/relationships/hyperlink" Target="https://www.cookie.fun/chains/solana.svg" TargetMode="External"/><Relationship Id="rId627" Type="http://schemas.openxmlformats.org/officeDocument/2006/relationships/hyperlink" Target="https://pbs.twimg.com/profile_images/1478130385116672008/kpiOx18X_normal.jpg" TargetMode="External"/><Relationship Id="rId834" Type="http://schemas.openxmlformats.org/officeDocument/2006/relationships/hyperlink" Target="https://pbs.twimg.com/profile_images/1752826759504965632/_BJV6z9l_normal.jpg" TargetMode="External"/><Relationship Id="rId1257" Type="http://schemas.openxmlformats.org/officeDocument/2006/relationships/hyperlink" Target="https://pbs.twimg.com/profile_images/1861853875369594880/zByXHcTT_normal.jpg" TargetMode="External"/><Relationship Id="rId1464" Type="http://schemas.openxmlformats.org/officeDocument/2006/relationships/hyperlink" Target="https://www.cookie.fun/chains/solana.svg" TargetMode="External"/><Relationship Id="rId1671" Type="http://schemas.openxmlformats.org/officeDocument/2006/relationships/hyperlink" Target="https://www.cookie.fun/agent/aika" TargetMode="External"/><Relationship Id="rId901" Type="http://schemas.openxmlformats.org/officeDocument/2006/relationships/hyperlink" Target="https://www.cookie.fun/chains/ethereum.svg" TargetMode="External"/><Relationship Id="rId1117" Type="http://schemas.openxmlformats.org/officeDocument/2006/relationships/hyperlink" Target="https://x.com/BoredElonMusk/status/1878832239959757049" TargetMode="External"/><Relationship Id="rId1324" Type="http://schemas.openxmlformats.org/officeDocument/2006/relationships/hyperlink" Target="https://pbs.twimg.com/profile_images/1874457084835831808/tbQIfCN__normal.jpg" TargetMode="External"/><Relationship Id="rId1531" Type="http://schemas.openxmlformats.org/officeDocument/2006/relationships/hyperlink" Target="https://pbs.twimg.com/profile_images/1853837334141157377/wVDVoNkR_normal.jpg" TargetMode="External"/><Relationship Id="rId1769" Type="http://schemas.openxmlformats.org/officeDocument/2006/relationships/hyperlink" Target="https://pbs.twimg.com/profile_images/1866163885310406656/1VumDxP2_400x400.jpg" TargetMode="External"/><Relationship Id="rId30" Type="http://schemas.openxmlformats.org/officeDocument/2006/relationships/hyperlink" Target="https://x.com/mattdorta/status/1878879696890528226" TargetMode="External"/><Relationship Id="rId1629" Type="http://schemas.openxmlformats.org/officeDocument/2006/relationships/hyperlink" Target="https://www.cookie.fun/chains/base.svg" TargetMode="External"/><Relationship Id="rId1836" Type="http://schemas.openxmlformats.org/officeDocument/2006/relationships/hyperlink" Target="https://x.com/mobislixk/status/1878227942477574622" TargetMode="External"/><Relationship Id="rId1903" Type="http://schemas.openxmlformats.org/officeDocument/2006/relationships/hyperlink" Target="https://pbs.twimg.com/profile_images/1874802792059039744/UlgFozIt_400x400.jpg" TargetMode="External"/><Relationship Id="rId277" Type="http://schemas.openxmlformats.org/officeDocument/2006/relationships/hyperlink" Target="https://www.cookie.fun/agent/clanker" TargetMode="External"/><Relationship Id="rId484" Type="http://schemas.openxmlformats.org/officeDocument/2006/relationships/hyperlink" Target="https://x.com/BiteyeCN/status/1877249880021942569" TargetMode="External"/><Relationship Id="rId137" Type="http://schemas.openxmlformats.org/officeDocument/2006/relationships/hyperlink" Target="https://pbs.twimg.com/profile_images/1874609296119320576/RMXAHHLa_normal.jpg" TargetMode="External"/><Relationship Id="rId344" Type="http://schemas.openxmlformats.org/officeDocument/2006/relationships/hyperlink" Target="https://x.com/CryptoStreamHub/status/1877288309594140795" TargetMode="External"/><Relationship Id="rId691" Type="http://schemas.openxmlformats.org/officeDocument/2006/relationships/hyperlink" Target="https://pbs.twimg.com/profile_images/1752826759504965632/_BJV6z9l_normal.jpg" TargetMode="External"/><Relationship Id="rId789" Type="http://schemas.openxmlformats.org/officeDocument/2006/relationships/hyperlink" Target="https://x.com/crypto_alerting/status/1877309505395884051" TargetMode="External"/><Relationship Id="rId996" Type="http://schemas.openxmlformats.org/officeDocument/2006/relationships/hyperlink" Target="https://www.cookie.fun/chains/solana.svg" TargetMode="External"/><Relationship Id="rId551" Type="http://schemas.openxmlformats.org/officeDocument/2006/relationships/hyperlink" Target="https://x.com/verse_works/status/1878138271810679109" TargetMode="External"/><Relationship Id="rId649" Type="http://schemas.openxmlformats.org/officeDocument/2006/relationships/hyperlink" Target="https://x.com/cryptodeadline/status/1878007910766198908" TargetMode="External"/><Relationship Id="rId856" Type="http://schemas.openxmlformats.org/officeDocument/2006/relationships/hyperlink" Target="https://pbs.twimg.com/profile_images/1830786921200521216/ei_obfWy_normal.jpg" TargetMode="External"/><Relationship Id="rId1181" Type="http://schemas.openxmlformats.org/officeDocument/2006/relationships/hyperlink" Target="https://pbs.twimg.com/profile_images/1875711571680268288/DYrx1CgJ_normal.jpg" TargetMode="External"/><Relationship Id="rId1279" Type="http://schemas.openxmlformats.org/officeDocument/2006/relationships/hyperlink" Target="https://x.com/mamaralic/status/1878223649993335098" TargetMode="External"/><Relationship Id="rId1486" Type="http://schemas.openxmlformats.org/officeDocument/2006/relationships/hyperlink" Target="https://www.cookie.fun/agent/king-of-lies" TargetMode="External"/><Relationship Id="rId204" Type="http://schemas.openxmlformats.org/officeDocument/2006/relationships/hyperlink" Target="https://x.com/esatoshiclub/status/1877303863893471312" TargetMode="External"/><Relationship Id="rId411" Type="http://schemas.openxmlformats.org/officeDocument/2006/relationships/hyperlink" Target="https://www.cookie.fun/chains/solana.svg" TargetMode="External"/><Relationship Id="rId509" Type="http://schemas.openxmlformats.org/officeDocument/2006/relationships/hyperlink" Target="https://pbs.twimg.com/profile_images/1874800519367278592/3UI7A6W8_normal.jpg" TargetMode="External"/><Relationship Id="rId1041" Type="http://schemas.openxmlformats.org/officeDocument/2006/relationships/hyperlink" Target="https://www.cookie.fun/chains/solana.svg" TargetMode="External"/><Relationship Id="rId1139" Type="http://schemas.openxmlformats.org/officeDocument/2006/relationships/hyperlink" Target="https://x.com/ghost93_x/status/1879309308170735831" TargetMode="External"/><Relationship Id="rId1346" Type="http://schemas.openxmlformats.org/officeDocument/2006/relationships/hyperlink" Target="https://x.com/Rosentica/status/1879187999839470032" TargetMode="External"/><Relationship Id="rId1693" Type="http://schemas.openxmlformats.org/officeDocument/2006/relationships/hyperlink" Target="https://x.com/WomanNFT/status/1879180643789307978" TargetMode="External"/><Relationship Id="rId716" Type="http://schemas.openxmlformats.org/officeDocument/2006/relationships/hyperlink" Target="https://pbs.twimg.com/profile_images/1670456392971591681/NKZOtGRm_normal.jpg" TargetMode="External"/><Relationship Id="rId923" Type="http://schemas.openxmlformats.org/officeDocument/2006/relationships/hyperlink" Target="https://pbs.twimg.com/profile_images/1863417281822490624/VVBVwC0R_400x400.jpg" TargetMode="External"/><Relationship Id="rId1553" Type="http://schemas.openxmlformats.org/officeDocument/2006/relationships/hyperlink" Target="https://pbs.twimg.com/profile_images/1609606658199535618/bHidH77E_normal.jpg" TargetMode="External"/><Relationship Id="rId1760" Type="http://schemas.openxmlformats.org/officeDocument/2006/relationships/hyperlink" Target="https://www.cookie.fun/agent/whales-intern" TargetMode="External"/><Relationship Id="rId1858" Type="http://schemas.openxmlformats.org/officeDocument/2006/relationships/hyperlink" Target="https://www.cookie.fun/chains/solana.svg" TargetMode="External"/><Relationship Id="rId52" Type="http://schemas.openxmlformats.org/officeDocument/2006/relationships/hyperlink" Target="https://x.com/lookonchain/status/1877551033460863307" TargetMode="External"/><Relationship Id="rId1206" Type="http://schemas.openxmlformats.org/officeDocument/2006/relationships/hyperlink" Target="https://x.com/gem_insider/status/1879499914797003249" TargetMode="External"/><Relationship Id="rId1413" Type="http://schemas.openxmlformats.org/officeDocument/2006/relationships/hyperlink" Target="https://x.com/JasonNFT/status/1877252581031862687" TargetMode="External"/><Relationship Id="rId1620" Type="http://schemas.openxmlformats.org/officeDocument/2006/relationships/hyperlink" Target="https://x.com/CapoXXIII/status/1877155052713902173" TargetMode="External"/><Relationship Id="rId1718" Type="http://schemas.openxmlformats.org/officeDocument/2006/relationships/hyperlink" Target="https://www.cookie.fun/agent/neko" TargetMode="External"/><Relationship Id="rId299" Type="http://schemas.openxmlformats.org/officeDocument/2006/relationships/hyperlink" Target="https://pbs.twimg.com/profile_images/1554027145420500992/0oOUOv6L_normal.jpg" TargetMode="External"/><Relationship Id="rId159" Type="http://schemas.openxmlformats.org/officeDocument/2006/relationships/hyperlink" Target="https://www.cookie.fun/chains/base.svg" TargetMode="External"/><Relationship Id="rId366" Type="http://schemas.openxmlformats.org/officeDocument/2006/relationships/hyperlink" Target="https://x.com/zhuanfgghjnb/status/1879117945911296348" TargetMode="External"/><Relationship Id="rId573" Type="http://schemas.openxmlformats.org/officeDocument/2006/relationships/hyperlink" Target="https://x.com/matrixthesun/status/1877642357769977955" TargetMode="External"/><Relationship Id="rId780" Type="http://schemas.openxmlformats.org/officeDocument/2006/relationships/hyperlink" Target="https://www.cookie.fun/chains/base.svg" TargetMode="External"/><Relationship Id="rId226" Type="http://schemas.openxmlformats.org/officeDocument/2006/relationships/hyperlink" Target="https://x.com/bycoinhunter/status/1877844094308819152" TargetMode="External"/><Relationship Id="rId433" Type="http://schemas.openxmlformats.org/officeDocument/2006/relationships/hyperlink" Target="https://www.cookie.fun/agent/luna-by-virtuals" TargetMode="External"/><Relationship Id="rId878" Type="http://schemas.openxmlformats.org/officeDocument/2006/relationships/hyperlink" Target="https://www.cookie.fun/chains/solana.svg" TargetMode="External"/><Relationship Id="rId1063" Type="http://schemas.openxmlformats.org/officeDocument/2006/relationships/hyperlink" Target="https://pbs.twimg.com/profile_images/1484675718227374084/KwlUzuE3_normal.jpg" TargetMode="External"/><Relationship Id="rId1270" Type="http://schemas.openxmlformats.org/officeDocument/2006/relationships/hyperlink" Target="https://www.cookie.fun/agent/liminal" TargetMode="External"/><Relationship Id="rId640" Type="http://schemas.openxmlformats.org/officeDocument/2006/relationships/hyperlink" Target="https://pbs.twimg.com/profile_images/1561354964534018049/T9lKN_2c_normal.jpg" TargetMode="External"/><Relationship Id="rId738" Type="http://schemas.openxmlformats.org/officeDocument/2006/relationships/hyperlink" Target="https://pbs.twimg.com/profile_images/1873983306859241479/-jmj71fb_normal.jpg" TargetMode="External"/><Relationship Id="rId945" Type="http://schemas.openxmlformats.org/officeDocument/2006/relationships/hyperlink" Target="https://x.com/NFTBiker/status/1879296049527021734" TargetMode="External"/><Relationship Id="rId1368" Type="http://schemas.openxmlformats.org/officeDocument/2006/relationships/hyperlink" Target="https://pbs.twimg.com/profile_images/1854974578042253312/7JIanElc_normal.jpg" TargetMode="External"/><Relationship Id="rId1575" Type="http://schemas.openxmlformats.org/officeDocument/2006/relationships/hyperlink" Target="https://pbs.twimg.com/profile_images/1852860586838904833/dhAeFN_C_400x400.jpg" TargetMode="External"/><Relationship Id="rId1782" Type="http://schemas.openxmlformats.org/officeDocument/2006/relationships/hyperlink" Target="https://www.cookie.fun/chains/base.svg" TargetMode="External"/><Relationship Id="rId74" Type="http://schemas.openxmlformats.org/officeDocument/2006/relationships/hyperlink" Target="https://pbs.twimg.com/profile_images/1852859162268676096/qtdkg94S_400x400.jpg" TargetMode="External"/><Relationship Id="rId500" Type="http://schemas.openxmlformats.org/officeDocument/2006/relationships/hyperlink" Target="https://x.com/crypthoem/status/1878102613625082012" TargetMode="External"/><Relationship Id="rId805" Type="http://schemas.openxmlformats.org/officeDocument/2006/relationships/hyperlink" Target="https://pbs.twimg.com/profile_images/1352548197835681793/P8tRO3U2_normal.jpg" TargetMode="External"/><Relationship Id="rId1130" Type="http://schemas.openxmlformats.org/officeDocument/2006/relationships/hyperlink" Target="https://pbs.twimg.com/profile_images/1775346225019072513/gWL-bbsT_normal.jpg" TargetMode="External"/><Relationship Id="rId1228" Type="http://schemas.openxmlformats.org/officeDocument/2006/relationships/hyperlink" Target="https://x.com/aGANVogh/status/1878100238075916392" TargetMode="External"/><Relationship Id="rId1435" Type="http://schemas.openxmlformats.org/officeDocument/2006/relationships/hyperlink" Target="https://x.com/Coldie/status/1877059848937869387" TargetMode="External"/><Relationship Id="rId1642" Type="http://schemas.openxmlformats.org/officeDocument/2006/relationships/hyperlink" Target="https://pbs.twimg.com/profile_images/1852388249932541957/sNRChehH_400x400.jpg" TargetMode="External"/><Relationship Id="rId1502" Type="http://schemas.openxmlformats.org/officeDocument/2006/relationships/hyperlink" Target="https://www.cookie.fun/agent/nomai" TargetMode="External"/><Relationship Id="rId1807" Type="http://schemas.openxmlformats.org/officeDocument/2006/relationships/hyperlink" Target="https://x.com/RaoulGMI/status/1877854165340246388" TargetMode="External"/><Relationship Id="rId290" Type="http://schemas.openxmlformats.org/officeDocument/2006/relationships/hyperlink" Target="https://pbs.twimg.com/profile_images/1849948665722359808/uXMAoDxQ_400x400.jpg" TargetMode="External"/><Relationship Id="rId388" Type="http://schemas.openxmlformats.org/officeDocument/2006/relationships/hyperlink" Target="https://x.com/veratheape/status/1878968744472707535" TargetMode="External"/><Relationship Id="rId150" Type="http://schemas.openxmlformats.org/officeDocument/2006/relationships/hyperlink" Target="https://x.com/DamiDefi/status/1877289182391054729" TargetMode="External"/><Relationship Id="rId595" Type="http://schemas.openxmlformats.org/officeDocument/2006/relationships/hyperlink" Target="https://pbs.twimg.com/profile_images/1793152711468449792/Eep6GiEc_normal.jpg" TargetMode="External"/><Relationship Id="rId248" Type="http://schemas.openxmlformats.org/officeDocument/2006/relationships/hyperlink" Target="https://x.com/RealKatoOG/status/1877392868311990507" TargetMode="External"/><Relationship Id="rId455" Type="http://schemas.openxmlformats.org/officeDocument/2006/relationships/hyperlink" Target="https://pbs.twimg.com/profile_images/1762381335791054848/mSMeyQDS_normal.jpg" TargetMode="External"/><Relationship Id="rId662" Type="http://schemas.openxmlformats.org/officeDocument/2006/relationships/hyperlink" Target="https://pbs.twimg.com/profile_images/1821527383888760833/b63M3brg_400x400.jpg" TargetMode="External"/><Relationship Id="rId1085" Type="http://schemas.openxmlformats.org/officeDocument/2006/relationships/hyperlink" Target="https://x.com/0xNefu/status/1877115793156002040" TargetMode="External"/><Relationship Id="rId1292" Type="http://schemas.openxmlformats.org/officeDocument/2006/relationships/hyperlink" Target="https://pbs.twimg.com/profile_images/1480238186009804802/PV-g6QGk_normal.jpg" TargetMode="External"/><Relationship Id="rId108" Type="http://schemas.openxmlformats.org/officeDocument/2006/relationships/hyperlink" Target="https://x.com/Mars_DeFi/status/1878774167618675073" TargetMode="External"/><Relationship Id="rId315" Type="http://schemas.openxmlformats.org/officeDocument/2006/relationships/hyperlink" Target="https://www.cookie.fun/chains/base.svg" TargetMode="External"/><Relationship Id="rId522" Type="http://schemas.openxmlformats.org/officeDocument/2006/relationships/hyperlink" Target="https://pbs.twimg.com/profile_images/1836640650412068867/0EZw0Bg-_normal.jpg" TargetMode="External"/><Relationship Id="rId967" Type="http://schemas.openxmlformats.org/officeDocument/2006/relationships/hyperlink" Target="https://x.com/moneyl0rd/status/1877447178412548437" TargetMode="External"/><Relationship Id="rId1152" Type="http://schemas.openxmlformats.org/officeDocument/2006/relationships/hyperlink" Target="https://www.cookie.fun/chains/solana.svg" TargetMode="External"/><Relationship Id="rId1597" Type="http://schemas.openxmlformats.org/officeDocument/2006/relationships/hyperlink" Target="https://pbs.twimg.com/profile_images/1851294375600668675/3LZ5rkN9_400x400.jpg" TargetMode="External"/><Relationship Id="rId96" Type="http://schemas.openxmlformats.org/officeDocument/2006/relationships/hyperlink" Target="https://x.com/basedkarbon/status/1877081718315708506" TargetMode="External"/><Relationship Id="rId827" Type="http://schemas.openxmlformats.org/officeDocument/2006/relationships/hyperlink" Target="https://pbs.twimg.com/profile_images/1875393071594024960/-KWjHWhP_normal.jpg" TargetMode="External"/><Relationship Id="rId1012" Type="http://schemas.openxmlformats.org/officeDocument/2006/relationships/hyperlink" Target="https://x.com/tuukzs/status/1877544685184426054" TargetMode="External"/><Relationship Id="rId1457" Type="http://schemas.openxmlformats.org/officeDocument/2006/relationships/hyperlink" Target="https://www.cookie.fun/agent/pigeon-tech" TargetMode="External"/><Relationship Id="rId1664" Type="http://schemas.openxmlformats.org/officeDocument/2006/relationships/hyperlink" Target="https://www.cookie.fun/agent/lucy" TargetMode="External"/><Relationship Id="rId1871" Type="http://schemas.openxmlformats.org/officeDocument/2006/relationships/hyperlink" Target="https://www.cookie.fun/chains/solana.svg" TargetMode="External"/><Relationship Id="rId1317" Type="http://schemas.openxmlformats.org/officeDocument/2006/relationships/hyperlink" Target="https://pbs.twimg.com/profile_images/1877097814901071873/FM9Ujjye_normal.jpg" TargetMode="External"/><Relationship Id="rId1524" Type="http://schemas.openxmlformats.org/officeDocument/2006/relationships/hyperlink" Target="https://x.com/DemAzuki/status/1879416988906193011" TargetMode="External"/><Relationship Id="rId1731" Type="http://schemas.openxmlformats.org/officeDocument/2006/relationships/hyperlink" Target="https://pbs.twimg.com/profile_images/1866650369528311808/dQG38Luq_400x400.jpg" TargetMode="External"/><Relationship Id="rId23" Type="http://schemas.openxmlformats.org/officeDocument/2006/relationships/hyperlink" Target="https://pbs.twimg.com/profile_images/1766155710432526336/cXUlVP1F_normal.jpg" TargetMode="External"/><Relationship Id="rId1829" Type="http://schemas.openxmlformats.org/officeDocument/2006/relationships/hyperlink" Target="https://pbs.twimg.com/profile_images/1690130453863260160/IYSjBjDM_normal.jpg" TargetMode="External"/><Relationship Id="rId172" Type="http://schemas.openxmlformats.org/officeDocument/2006/relationships/hyperlink" Target="https://x.com/Degen__Ape__/status/1878713663353491764" TargetMode="External"/><Relationship Id="rId477" Type="http://schemas.openxmlformats.org/officeDocument/2006/relationships/hyperlink" Target="https://pbs.twimg.com/profile_images/1878792979210457088/N2hXteNa_normal.jpg" TargetMode="External"/><Relationship Id="rId684" Type="http://schemas.openxmlformats.org/officeDocument/2006/relationships/hyperlink" Target="https://x.com/ASAPether/status/1878528531782922472" TargetMode="External"/><Relationship Id="rId337" Type="http://schemas.openxmlformats.org/officeDocument/2006/relationships/hyperlink" Target="https://www.cookie.fun/agent/fai" TargetMode="External"/><Relationship Id="rId891" Type="http://schemas.openxmlformats.org/officeDocument/2006/relationships/hyperlink" Target="https://x.com/Cryppocrates/status/1878215761598288125" TargetMode="External"/><Relationship Id="rId989" Type="http://schemas.openxmlformats.org/officeDocument/2006/relationships/hyperlink" Target="https://pbs.twimg.com/profile_images/1864599209778741248/RMgjfx39_normal.jpg" TargetMode="External"/><Relationship Id="rId544" Type="http://schemas.openxmlformats.org/officeDocument/2006/relationships/hyperlink" Target="https://pbs.twimg.com/profile_images/1599816737758879746/L-OdS7YP_normal.jpg" TargetMode="External"/><Relationship Id="rId751" Type="http://schemas.openxmlformats.org/officeDocument/2006/relationships/hyperlink" Target="https://x.com/Web3Alex_/status/1877704422911795567" TargetMode="External"/><Relationship Id="rId849" Type="http://schemas.openxmlformats.org/officeDocument/2006/relationships/hyperlink" Target="https://pbs.twimg.com/profile_images/1778366683888914433/GBWz-Jp__normal.jpg" TargetMode="External"/><Relationship Id="rId1174" Type="http://schemas.openxmlformats.org/officeDocument/2006/relationships/hyperlink" Target="https://pbs.twimg.com/profile_images/1865520870459904000/fvdmeySD_400x400.jpg" TargetMode="External"/><Relationship Id="rId1381" Type="http://schemas.openxmlformats.org/officeDocument/2006/relationships/hyperlink" Target="https://www.cookie.fun/chains/solana.svg" TargetMode="External"/><Relationship Id="rId1479" Type="http://schemas.openxmlformats.org/officeDocument/2006/relationships/hyperlink" Target="https://x.com/matthew_sigel/status/1877333307278442707" TargetMode="External"/><Relationship Id="rId1686" Type="http://schemas.openxmlformats.org/officeDocument/2006/relationships/hyperlink" Target="https://www.cookie.fun/chains/base.svg" TargetMode="External"/><Relationship Id="rId404" Type="http://schemas.openxmlformats.org/officeDocument/2006/relationships/hyperlink" Target="https://x.com/DamiDefi/status/1877444986104590592" TargetMode="External"/><Relationship Id="rId611" Type="http://schemas.openxmlformats.org/officeDocument/2006/relationships/hyperlink" Target="https://www.cookie.fun/agent/simmi" TargetMode="External"/><Relationship Id="rId1034" Type="http://schemas.openxmlformats.org/officeDocument/2006/relationships/hyperlink" Target="https://pbs.twimg.com/profile_images/1775649841562980353/2E0MAPqa_normal.jpg" TargetMode="External"/><Relationship Id="rId1241" Type="http://schemas.openxmlformats.org/officeDocument/2006/relationships/hyperlink" Target="https://pbs.twimg.com/profile_images/1654899568222298112/lt03BIYw_normal.jpg" TargetMode="External"/><Relationship Id="rId1339" Type="http://schemas.openxmlformats.org/officeDocument/2006/relationships/hyperlink" Target="https://x.com/dankvr/status/1878745372719505539" TargetMode="External"/><Relationship Id="rId1893" Type="http://schemas.openxmlformats.org/officeDocument/2006/relationships/hyperlink" Target="https://pbs.twimg.com/profile_images/1876328550187347968/dXRqbM9f_normal.jpg" TargetMode="External"/><Relationship Id="rId709" Type="http://schemas.openxmlformats.org/officeDocument/2006/relationships/hyperlink" Target="https://x.com/BiteyeCN/status/1877249880021942569" TargetMode="External"/><Relationship Id="rId916" Type="http://schemas.openxmlformats.org/officeDocument/2006/relationships/hyperlink" Target="https://x.com/ghost93_x/status/1879033045120172436" TargetMode="External"/><Relationship Id="rId1101" Type="http://schemas.openxmlformats.org/officeDocument/2006/relationships/hyperlink" Target="https://www.cookie.fun/chains/base.svg" TargetMode="External"/><Relationship Id="rId1546" Type="http://schemas.openxmlformats.org/officeDocument/2006/relationships/hyperlink" Target="https://pbs.twimg.com/profile_images/1858571164953833472/UnkKfsAI_normal.jpg" TargetMode="External"/><Relationship Id="rId1753" Type="http://schemas.openxmlformats.org/officeDocument/2006/relationships/hyperlink" Target="https://pbs.twimg.com/profile_images/1859352523867410432/perLBEMi_400x400.jpg" TargetMode="External"/><Relationship Id="rId45" Type="http://schemas.openxmlformats.org/officeDocument/2006/relationships/hyperlink" Target="https://pbs.twimg.com/profile_images/1679453527100518402/XagGubNX_normal.jpg" TargetMode="External"/><Relationship Id="rId1406" Type="http://schemas.openxmlformats.org/officeDocument/2006/relationships/hyperlink" Target="https://x.com/the_smart_ape/status/1877386465639797087" TargetMode="External"/><Relationship Id="rId1613" Type="http://schemas.openxmlformats.org/officeDocument/2006/relationships/hyperlink" Target="https://pbs.twimg.com/profile_images/1864136352956338178/pf91fTWt_400x400.jpg" TargetMode="External"/><Relationship Id="rId1820" Type="http://schemas.openxmlformats.org/officeDocument/2006/relationships/hyperlink" Target="https://www.cookie.fun/agent/zods" TargetMode="External"/><Relationship Id="rId194" Type="http://schemas.openxmlformats.org/officeDocument/2006/relationships/hyperlink" Target="https://pbs.twimg.com/profile_images/1863883494084276224/MhLpfb2V_400x400.jpg" TargetMode="External"/><Relationship Id="rId1918" Type="http://schemas.openxmlformats.org/officeDocument/2006/relationships/hyperlink" Target="https://www.cookie.fun/chains/solana.svg" TargetMode="External"/><Relationship Id="rId261" Type="http://schemas.openxmlformats.org/officeDocument/2006/relationships/hyperlink" Target="https://pbs.twimg.com/profile_images/1674739316759592960/t1-QC5HS_normal.png" TargetMode="External"/><Relationship Id="rId499" Type="http://schemas.openxmlformats.org/officeDocument/2006/relationships/hyperlink" Target="https://pbs.twimg.com/profile_images/1777347995467689984/4nWHCFic_normal.jpg" TargetMode="External"/><Relationship Id="rId359" Type="http://schemas.openxmlformats.org/officeDocument/2006/relationships/hyperlink" Target="https://pbs.twimg.com/profile_images/1874559219052994560/uBBccsAO_normal.jpg" TargetMode="External"/><Relationship Id="rId566" Type="http://schemas.openxmlformats.org/officeDocument/2006/relationships/hyperlink" Target="https://www.cookie.fun/chains/solana.svg" TargetMode="External"/><Relationship Id="rId773" Type="http://schemas.openxmlformats.org/officeDocument/2006/relationships/hyperlink" Target="https://x.com/The__Solstice/status/1878153005507506525" TargetMode="External"/><Relationship Id="rId1196" Type="http://schemas.openxmlformats.org/officeDocument/2006/relationships/hyperlink" Target="https://www.cookie.fun/agent/gigai" TargetMode="External"/><Relationship Id="rId121" Type="http://schemas.openxmlformats.org/officeDocument/2006/relationships/hyperlink" Target="https://www.cookie.fun/agent/goatseus-maximus" TargetMode="External"/><Relationship Id="rId219" Type="http://schemas.openxmlformats.org/officeDocument/2006/relationships/hyperlink" Target="https://www.cookie.fun/chains/solana.svg" TargetMode="External"/><Relationship Id="rId426" Type="http://schemas.openxmlformats.org/officeDocument/2006/relationships/hyperlink" Target="https://x.com/udiWertheimer/status/1877056846747316363" TargetMode="External"/><Relationship Id="rId633" Type="http://schemas.openxmlformats.org/officeDocument/2006/relationships/hyperlink" Target="https://pbs.twimg.com/profile_images/1637218141255131139/IY4gsV5h_normal.jpg" TargetMode="External"/><Relationship Id="rId980" Type="http://schemas.openxmlformats.org/officeDocument/2006/relationships/hyperlink" Target="https://pbs.twimg.com/profile_images/1832865606195924993/OJEEj12O_normal.jpg" TargetMode="External"/><Relationship Id="rId1056" Type="http://schemas.openxmlformats.org/officeDocument/2006/relationships/hyperlink" Target="https://x.com/cryptotutor/status/1877100655233409184" TargetMode="External"/><Relationship Id="rId1263" Type="http://schemas.openxmlformats.org/officeDocument/2006/relationships/hyperlink" Target="https://x.com/reubs_btc/status/1877018982374326470" TargetMode="External"/><Relationship Id="rId840" Type="http://schemas.openxmlformats.org/officeDocument/2006/relationships/hyperlink" Target="https://pbs.twimg.com/profile_images/1752826759504965632/_BJV6z9l_normal.jpg" TargetMode="External"/><Relationship Id="rId938" Type="http://schemas.openxmlformats.org/officeDocument/2006/relationships/hyperlink" Target="https://pbs.twimg.com/profile_images/1865895203699150848/qJlWeE5O_normal.jpg" TargetMode="External"/><Relationship Id="rId1470" Type="http://schemas.openxmlformats.org/officeDocument/2006/relationships/hyperlink" Target="https://pbs.twimg.com/profile_images/1819580009385807872/3G0DQD1r_normal.jpg" TargetMode="External"/><Relationship Id="rId1568" Type="http://schemas.openxmlformats.org/officeDocument/2006/relationships/hyperlink" Target="https://pbs.twimg.com/profile_images/1861112952805564418/rLQIeqhh_400x400.jpg" TargetMode="External"/><Relationship Id="rId1775" Type="http://schemas.openxmlformats.org/officeDocument/2006/relationships/hyperlink" Target="https://pbs.twimg.com/profile_images/1742900420178067456/qoi0yk-x_400x400.jpg" TargetMode="External"/><Relationship Id="rId67" Type="http://schemas.openxmlformats.org/officeDocument/2006/relationships/hyperlink" Target="https://pbs.twimg.com/profile_images/1859616195797823488/qiLRzcjU_normal.jpg" TargetMode="External"/><Relationship Id="rId700" Type="http://schemas.openxmlformats.org/officeDocument/2006/relationships/hyperlink" Target="https://x.com/AltCryptoGems/status/1878831874040385568" TargetMode="External"/><Relationship Id="rId1123" Type="http://schemas.openxmlformats.org/officeDocument/2006/relationships/hyperlink" Target="https://pbs.twimg.com/profile_images/1770509497028530176/gHLGsNBi_400x400.jpg" TargetMode="External"/><Relationship Id="rId1330" Type="http://schemas.openxmlformats.org/officeDocument/2006/relationships/hyperlink" Target="https://www.cookie.fun/chains/arbitrum.svg" TargetMode="External"/><Relationship Id="rId1428" Type="http://schemas.openxmlformats.org/officeDocument/2006/relationships/hyperlink" Target="https://x.com/Defi0xJeff/status/1877304490648547627" TargetMode="External"/><Relationship Id="rId1635" Type="http://schemas.openxmlformats.org/officeDocument/2006/relationships/hyperlink" Target="https://pbs.twimg.com/profile_images/1685118750339604482/0A63xtY__normal.jpg" TargetMode="External"/><Relationship Id="rId1842" Type="http://schemas.openxmlformats.org/officeDocument/2006/relationships/hyperlink" Target="https://pbs.twimg.com/profile_images/1648452089218220034/RbS3lwh8_normal.jpg" TargetMode="External"/><Relationship Id="rId1702" Type="http://schemas.openxmlformats.org/officeDocument/2006/relationships/hyperlink" Target="https://pbs.twimg.com/profile_images/1785526747884314624/d6v3VcN7_normal.jpg" TargetMode="External"/><Relationship Id="rId283" Type="http://schemas.openxmlformats.org/officeDocument/2006/relationships/hyperlink" Target="https://pbs.twimg.com/profile_images/1554027145420500992/0oOUOv6L_normal.jpg" TargetMode="External"/><Relationship Id="rId490" Type="http://schemas.openxmlformats.org/officeDocument/2006/relationships/hyperlink" Target="https://x.com/sjdedic/status/1879383304203636914" TargetMode="External"/><Relationship Id="rId143" Type="http://schemas.openxmlformats.org/officeDocument/2006/relationships/hyperlink" Target="https://pbs.twimg.com/profile_images/1572199012790603778/GF4NXSKr_normal.jpg" TargetMode="External"/><Relationship Id="rId350" Type="http://schemas.openxmlformats.org/officeDocument/2006/relationships/hyperlink" Target="https://pbs.twimg.com/profile_images/1868134007206236161/y82CXpY-_400x400.jpg" TargetMode="External"/><Relationship Id="rId588" Type="http://schemas.openxmlformats.org/officeDocument/2006/relationships/hyperlink" Target="https://pbs.twimg.com/profile_images/1858565382929608706/x-dCc4p__400x400.jpg" TargetMode="External"/><Relationship Id="rId795" Type="http://schemas.openxmlformats.org/officeDocument/2006/relationships/hyperlink" Target="https://x.com/CryptoStreamHub/status/1877653553084244207" TargetMode="External"/><Relationship Id="rId9" Type="http://schemas.openxmlformats.org/officeDocument/2006/relationships/hyperlink" Target="https://pbs.twimg.com/profile_images/1847355632728350720/n0mcDQKk_normal.jpg" TargetMode="External"/><Relationship Id="rId210" Type="http://schemas.openxmlformats.org/officeDocument/2006/relationships/hyperlink" Target="https://x.com/gem_insider/status/1878075378402767009" TargetMode="External"/><Relationship Id="rId448" Type="http://schemas.openxmlformats.org/officeDocument/2006/relationships/hyperlink" Target="https://x.com/gem_insider/status/1879131095389687994" TargetMode="External"/><Relationship Id="rId655" Type="http://schemas.openxmlformats.org/officeDocument/2006/relationships/hyperlink" Target="https://x.com/DeFiDecoder_/status/1878454996699607131" TargetMode="External"/><Relationship Id="rId862" Type="http://schemas.openxmlformats.org/officeDocument/2006/relationships/hyperlink" Target="https://pbs.twimg.com/profile_images/1878208698994094080/LPvw2NWt_normal.jpg" TargetMode="External"/><Relationship Id="rId1078" Type="http://schemas.openxmlformats.org/officeDocument/2006/relationships/hyperlink" Target="https://www.cookie.fun/chains/solana.svg" TargetMode="External"/><Relationship Id="rId1285" Type="http://schemas.openxmlformats.org/officeDocument/2006/relationships/hyperlink" Target="https://pbs.twimg.com/profile_images/1653754789241446401/whh0PdFN_normal.jpg" TargetMode="External"/><Relationship Id="rId1492" Type="http://schemas.openxmlformats.org/officeDocument/2006/relationships/hyperlink" Target="https://pbs.twimg.com/profile_images/1609217215517057026/4gmiLe8o_normal.jpg" TargetMode="External"/><Relationship Id="rId308" Type="http://schemas.openxmlformats.org/officeDocument/2006/relationships/hyperlink" Target="https://x.com/Louround_/status/1878395066105946184" TargetMode="External"/><Relationship Id="rId515" Type="http://schemas.openxmlformats.org/officeDocument/2006/relationships/hyperlink" Target="https://pbs.twimg.com/profile_images/1870235513065496576/jQTWuOY5_normal.jpg" TargetMode="External"/><Relationship Id="rId722" Type="http://schemas.openxmlformats.org/officeDocument/2006/relationships/hyperlink" Target="https://pbs.twimg.com/profile_images/1829954676172754944/AY0XOTPa_normal.jpg" TargetMode="External"/><Relationship Id="rId1145" Type="http://schemas.openxmlformats.org/officeDocument/2006/relationships/hyperlink" Target="https://www.cookie.fun/chains/base.svg" TargetMode="External"/><Relationship Id="rId1352" Type="http://schemas.openxmlformats.org/officeDocument/2006/relationships/hyperlink" Target="https://www.cookie.fun/agent/velvet-unicorn" TargetMode="External"/><Relationship Id="rId1797" Type="http://schemas.openxmlformats.org/officeDocument/2006/relationships/hyperlink" Target="https://www.cookie.fun/agent/roastmaster9000" TargetMode="External"/><Relationship Id="rId89" Type="http://schemas.openxmlformats.org/officeDocument/2006/relationships/hyperlink" Target="https://pbs.twimg.com/profile_images/1874777546144796672/vVqnY8lv_normal.jpg" TargetMode="External"/><Relationship Id="rId1005" Type="http://schemas.openxmlformats.org/officeDocument/2006/relationships/hyperlink" Target="https://x.com/jakegallen_/status/1877099974078464265" TargetMode="External"/><Relationship Id="rId1212" Type="http://schemas.openxmlformats.org/officeDocument/2006/relationships/hyperlink" Target="https://www.cookie.fun/agent/the-butlerian" TargetMode="External"/><Relationship Id="rId1657" Type="http://schemas.openxmlformats.org/officeDocument/2006/relationships/hyperlink" Target="https://pbs.twimg.com/profile_images/1867615855808303104/LuW7RqE6_400x400.jpg" TargetMode="External"/><Relationship Id="rId1864" Type="http://schemas.openxmlformats.org/officeDocument/2006/relationships/hyperlink" Target="https://x.com/CryptoCurb/status/1879045545781874925" TargetMode="External"/><Relationship Id="rId1517" Type="http://schemas.openxmlformats.org/officeDocument/2006/relationships/hyperlink" Target="https://www.cookie.fun/chains/base.svg" TargetMode="External"/><Relationship Id="rId1724" Type="http://schemas.openxmlformats.org/officeDocument/2006/relationships/hyperlink" Target="https://pbs.twimg.com/profile_images/1847271808124465152/Ev6OjJQ-_normal.jpg" TargetMode="External"/><Relationship Id="rId16" Type="http://schemas.openxmlformats.org/officeDocument/2006/relationships/hyperlink" Target="https://x.com/blknoiz06/status/1878905880823116068" TargetMode="External"/><Relationship Id="rId165" Type="http://schemas.openxmlformats.org/officeDocument/2006/relationships/hyperlink" Target="https://pbs.twimg.com/profile_images/1761532928452894720/N6A-Up8e_normal.jpg" TargetMode="External"/><Relationship Id="rId372" Type="http://schemas.openxmlformats.org/officeDocument/2006/relationships/hyperlink" Target="https://x.com/PixOnChain/status/1877512488754810945" TargetMode="External"/><Relationship Id="rId677" Type="http://schemas.openxmlformats.org/officeDocument/2006/relationships/hyperlink" Target="https://pbs.twimg.com/profile_images/1807955712611655680/VoSxLh_d_normal.jpg" TargetMode="External"/><Relationship Id="rId232" Type="http://schemas.openxmlformats.org/officeDocument/2006/relationships/hyperlink" Target="https://x.com/CoinbaseAssets/status/1879309993716973789" TargetMode="External"/><Relationship Id="rId884" Type="http://schemas.openxmlformats.org/officeDocument/2006/relationships/hyperlink" Target="https://pbs.twimg.com/profile_images/1765921509879537664/dAebweUc_normal.jpg" TargetMode="External"/><Relationship Id="rId537" Type="http://schemas.openxmlformats.org/officeDocument/2006/relationships/hyperlink" Target="https://x.com/iWantCoinNews/status/1877706302857654317" TargetMode="External"/><Relationship Id="rId744" Type="http://schemas.openxmlformats.org/officeDocument/2006/relationships/hyperlink" Target="https://www.cookie.fun/chains/solana.svg" TargetMode="External"/><Relationship Id="rId951" Type="http://schemas.openxmlformats.org/officeDocument/2006/relationships/hyperlink" Target="https://x.com/keigowda/status/1877047910954602728" TargetMode="External"/><Relationship Id="rId1167" Type="http://schemas.openxmlformats.org/officeDocument/2006/relationships/hyperlink" Target="https://pbs.twimg.com/profile_images/1866470568545091584/3RhmGAyL_normal.jpg" TargetMode="External"/><Relationship Id="rId1374" Type="http://schemas.openxmlformats.org/officeDocument/2006/relationships/hyperlink" Target="https://www.cookie.fun/chains/solana.svg" TargetMode="External"/><Relationship Id="rId1581" Type="http://schemas.openxmlformats.org/officeDocument/2006/relationships/hyperlink" Target="https://www.cookie.fun/chains/solana.svg" TargetMode="External"/><Relationship Id="rId1679" Type="http://schemas.openxmlformats.org/officeDocument/2006/relationships/hyperlink" Target="https://pbs.twimg.com/profile_images/1859571970515349504/B32EAU1y_400x400.jpg" TargetMode="External"/><Relationship Id="rId80" Type="http://schemas.openxmlformats.org/officeDocument/2006/relationships/hyperlink" Target="https://x.com/0xENAS/status/1879019235193831498" TargetMode="External"/><Relationship Id="rId604" Type="http://schemas.openxmlformats.org/officeDocument/2006/relationships/hyperlink" Target="https://x.com/sjdedic/status/1879383304203636914" TargetMode="External"/><Relationship Id="rId811" Type="http://schemas.openxmlformats.org/officeDocument/2006/relationships/hyperlink" Target="https://pbs.twimg.com/profile_images/1876026103866736640/kGkyjKbA_400x400.jpg" TargetMode="External"/><Relationship Id="rId1027" Type="http://schemas.openxmlformats.org/officeDocument/2006/relationships/hyperlink" Target="https://www.cookie.fun/chains/base.svg" TargetMode="External"/><Relationship Id="rId1234" Type="http://schemas.openxmlformats.org/officeDocument/2006/relationships/hyperlink" Target="https://www.cookie.fun/chains/solana.svg" TargetMode="External"/><Relationship Id="rId1441" Type="http://schemas.openxmlformats.org/officeDocument/2006/relationships/hyperlink" Target="https://x.com/SatsMoonSoon/status/1877827986885382165" TargetMode="External"/><Relationship Id="rId1886" Type="http://schemas.openxmlformats.org/officeDocument/2006/relationships/hyperlink" Target="https://www.cookie.fun/chains/solana.svg" TargetMode="External"/><Relationship Id="rId909" Type="http://schemas.openxmlformats.org/officeDocument/2006/relationships/hyperlink" Target="https://pbs.twimg.com/profile_images/1805216347191681024/dKIY_znG_normal.jpg" TargetMode="External"/><Relationship Id="rId1301" Type="http://schemas.openxmlformats.org/officeDocument/2006/relationships/hyperlink" Target="https://pbs.twimg.com/profile_images/1834157145299763200/Fh1b6K9r_normal.jpg" TargetMode="External"/><Relationship Id="rId1539" Type="http://schemas.openxmlformats.org/officeDocument/2006/relationships/hyperlink" Target="https://www.cookie.fun/chains/base.svg" TargetMode="External"/><Relationship Id="rId1746" Type="http://schemas.openxmlformats.org/officeDocument/2006/relationships/hyperlink" Target="https://pbs.twimg.com/profile_images/1836206264667529216/Hnup_YWx_normal.jpg" TargetMode="External"/><Relationship Id="rId38" Type="http://schemas.openxmlformats.org/officeDocument/2006/relationships/hyperlink" Target="https://pbs.twimg.com/profile_images/1855895551688196096/7VZQ0qhB_400x400.jpg" TargetMode="External"/><Relationship Id="rId1606" Type="http://schemas.openxmlformats.org/officeDocument/2006/relationships/hyperlink" Target="https://x.com/0xLawl/status/1878839427583394034" TargetMode="External"/><Relationship Id="rId1813" Type="http://schemas.openxmlformats.org/officeDocument/2006/relationships/hyperlink" Target="https://x.com/marvellousdefi_/status/1878207966303641675" TargetMode="External"/><Relationship Id="rId187" Type="http://schemas.openxmlformats.org/officeDocument/2006/relationships/hyperlink" Target="https://pbs.twimg.com/profile_images/1352548197835681793/P8tRO3U2_normal.jpg" TargetMode="External"/><Relationship Id="rId394" Type="http://schemas.openxmlformats.org/officeDocument/2006/relationships/hyperlink" Target="https://x.com/CryptoVonDoom/status/1879021428974190948" TargetMode="External"/><Relationship Id="rId254" Type="http://schemas.openxmlformats.org/officeDocument/2006/relationships/hyperlink" Target="https://pbs.twimg.com/profile_images/1859206358094036993/pCC29QeL_400x400.jpg" TargetMode="External"/><Relationship Id="rId699" Type="http://schemas.openxmlformats.org/officeDocument/2006/relationships/hyperlink" Target="https://www.cookie.fun/chains/ethereum.svg" TargetMode="External"/><Relationship Id="rId1091" Type="http://schemas.openxmlformats.org/officeDocument/2006/relationships/hyperlink" Target="https://pbs.twimg.com/profile_images/1811058570013855746/2EtuRWdi_normal.png" TargetMode="External"/><Relationship Id="rId114" Type="http://schemas.openxmlformats.org/officeDocument/2006/relationships/hyperlink" Target="https://x.com/ysiu/status/1877569236819726811" TargetMode="External"/><Relationship Id="rId461" Type="http://schemas.openxmlformats.org/officeDocument/2006/relationships/hyperlink" Target="https://pbs.twimg.com/profile_images/1654487711653265410/9Fzvqbhr_normal.jpg" TargetMode="External"/><Relationship Id="rId559" Type="http://schemas.openxmlformats.org/officeDocument/2006/relationships/hyperlink" Target="https://x.com/cryptomanran/status/1877747447704826366" TargetMode="External"/><Relationship Id="rId766" Type="http://schemas.openxmlformats.org/officeDocument/2006/relationships/hyperlink" Target="https://www.cookie.fun/agent/jarvis" TargetMode="External"/><Relationship Id="rId1189" Type="http://schemas.openxmlformats.org/officeDocument/2006/relationships/hyperlink" Target="https://x.com/thegaboeth/status/1877018465833226677" TargetMode="External"/><Relationship Id="rId1396" Type="http://schemas.openxmlformats.org/officeDocument/2006/relationships/hyperlink" Target="https://x.com/bittybitbit86/status/1877360406630387770" TargetMode="External"/><Relationship Id="rId321" Type="http://schemas.openxmlformats.org/officeDocument/2006/relationships/hyperlink" Target="https://pbs.twimg.com/profile_images/1831182575689240576/7HmOAeIK_normal.jpg" TargetMode="External"/><Relationship Id="rId419" Type="http://schemas.openxmlformats.org/officeDocument/2006/relationships/hyperlink" Target="https://pbs.twimg.com/profile_images/1840255506734084096/mGTze2Jf_normal.jpg" TargetMode="External"/><Relationship Id="rId626" Type="http://schemas.openxmlformats.org/officeDocument/2006/relationships/hyperlink" Target="https://x.com/gammichan/status/1878931440790052908" TargetMode="External"/><Relationship Id="rId973" Type="http://schemas.openxmlformats.org/officeDocument/2006/relationships/hyperlink" Target="https://pbs.twimg.com/profile_images/1866450771761344512/bzxFJWq5_400x400.jpg" TargetMode="External"/><Relationship Id="rId1049" Type="http://schemas.openxmlformats.org/officeDocument/2006/relationships/hyperlink" Target="https://x.com/RickBakas/status/1877026024950575520" TargetMode="External"/><Relationship Id="rId1256" Type="http://schemas.openxmlformats.org/officeDocument/2006/relationships/hyperlink" Target="https://x.com/lightofrahim/status/1877743527968285138" TargetMode="External"/><Relationship Id="rId833" Type="http://schemas.openxmlformats.org/officeDocument/2006/relationships/hyperlink" Target="https://x.com/ghost93_x/status/1877784258296635686" TargetMode="External"/><Relationship Id="rId1116" Type="http://schemas.openxmlformats.org/officeDocument/2006/relationships/hyperlink" Target="https://pbs.twimg.com/profile_images/1855365770408345600/dtsAqkWe_normal.jpg" TargetMode="External"/><Relationship Id="rId1463" Type="http://schemas.openxmlformats.org/officeDocument/2006/relationships/hyperlink" Target="https://pbs.twimg.com/profile_images/1844883740192870413/11g4CQmz_400x400.jpg" TargetMode="External"/><Relationship Id="rId1670" Type="http://schemas.openxmlformats.org/officeDocument/2006/relationships/hyperlink" Target="https://pbs.twimg.com/profile_images/1816519907045236736/yD6iA3KJ_normal.jpg" TargetMode="External"/><Relationship Id="rId1768" Type="http://schemas.openxmlformats.org/officeDocument/2006/relationships/hyperlink" Target="https://www.cookie.fun/agent/aaahhmm" TargetMode="External"/><Relationship Id="rId900" Type="http://schemas.openxmlformats.org/officeDocument/2006/relationships/hyperlink" Target="https://pbs.twimg.com/profile_images/1831439621898518528/xzaN4Y_8_400x400.jpg" TargetMode="External"/><Relationship Id="rId1323" Type="http://schemas.openxmlformats.org/officeDocument/2006/relationships/hyperlink" Target="https://x.com/JimiCohen/status/1879000735548838000" TargetMode="External"/><Relationship Id="rId1530" Type="http://schemas.openxmlformats.org/officeDocument/2006/relationships/hyperlink" Target="https://x.com/Rager/status/1877797871933673548" TargetMode="External"/><Relationship Id="rId1628" Type="http://schemas.openxmlformats.org/officeDocument/2006/relationships/hyperlink" Target="https://pbs.twimg.com/profile_images/1787808074981310464/LNqtP1ik_400x400.jpg" TargetMode="External"/><Relationship Id="rId1835" Type="http://schemas.openxmlformats.org/officeDocument/2006/relationships/hyperlink" Target="https://www.cookie.fun/chains/solana.svg" TargetMode="External"/><Relationship Id="rId1902" Type="http://schemas.openxmlformats.org/officeDocument/2006/relationships/hyperlink" Target="https://www.cookie.fun/agent/h4ck-terminal" TargetMode="External"/><Relationship Id="rId276" Type="http://schemas.openxmlformats.org/officeDocument/2006/relationships/hyperlink" Target="https://x.com/Web3Adam/status/1878857685225046351" TargetMode="External"/><Relationship Id="rId483" Type="http://schemas.openxmlformats.org/officeDocument/2006/relationships/hyperlink" Target="https://www.cookie.fun/chains/solana.svg" TargetMode="External"/><Relationship Id="rId690" Type="http://schemas.openxmlformats.org/officeDocument/2006/relationships/hyperlink" Target="https://x.com/ghost93_x/status/1878538350250123305" TargetMode="External"/><Relationship Id="rId136" Type="http://schemas.openxmlformats.org/officeDocument/2006/relationships/hyperlink" Target="https://x.com/Chain_GPT/status/1877690185489523183" TargetMode="External"/><Relationship Id="rId343" Type="http://schemas.openxmlformats.org/officeDocument/2006/relationships/hyperlink" Target="https://pbs.twimg.com/profile_images/1875466513945128960/vPr-yQi-_normal.jpg" TargetMode="External"/><Relationship Id="rId550" Type="http://schemas.openxmlformats.org/officeDocument/2006/relationships/hyperlink" Target="https://pbs.twimg.com/profile_images/1842904842659835905/P0AhjTyQ_normal.jpg" TargetMode="External"/><Relationship Id="rId788" Type="http://schemas.openxmlformats.org/officeDocument/2006/relationships/hyperlink" Target="https://pbs.twimg.com/profile_images/1701768132027707392/YyfQR5Cw_normal.png" TargetMode="External"/><Relationship Id="rId995" Type="http://schemas.openxmlformats.org/officeDocument/2006/relationships/hyperlink" Target="https://pbs.twimg.com/profile_images/1856102351741894656/vASzKIfT_400x400.jpg" TargetMode="External"/><Relationship Id="rId1180" Type="http://schemas.openxmlformats.org/officeDocument/2006/relationships/hyperlink" Target="https://x.com/anquetil/status/1879320640664338535" TargetMode="External"/><Relationship Id="rId203" Type="http://schemas.openxmlformats.org/officeDocument/2006/relationships/hyperlink" Target="https://pbs.twimg.com/profile_images/1765817423054123009/OivvC-Af_normal.jpg" TargetMode="External"/><Relationship Id="rId648" Type="http://schemas.openxmlformats.org/officeDocument/2006/relationships/hyperlink" Target="https://www.cookie.fun/chains/base.svg" TargetMode="External"/><Relationship Id="rId855" Type="http://schemas.openxmlformats.org/officeDocument/2006/relationships/hyperlink" Target="https://x.com/The__Solstice/status/1878003798859554874" TargetMode="External"/><Relationship Id="rId1040" Type="http://schemas.openxmlformats.org/officeDocument/2006/relationships/hyperlink" Target="https://pbs.twimg.com/profile_images/1848179744300244992/U41e9Trv_400x400.jpg" TargetMode="External"/><Relationship Id="rId1278" Type="http://schemas.openxmlformats.org/officeDocument/2006/relationships/hyperlink" Target="https://pbs.twimg.com/profile_images/1499111220577767430/C9ltXeH2_normal.jpg" TargetMode="External"/><Relationship Id="rId1485" Type="http://schemas.openxmlformats.org/officeDocument/2006/relationships/hyperlink" Target="https://x.com/DeeZe/status/1878805998586180062" TargetMode="External"/><Relationship Id="rId1692" Type="http://schemas.openxmlformats.org/officeDocument/2006/relationships/hyperlink" Target="https://pbs.twimg.com/profile_images/1683578172690792449/0lcIMqcf_normal.jpg" TargetMode="External"/><Relationship Id="rId410" Type="http://schemas.openxmlformats.org/officeDocument/2006/relationships/hyperlink" Target="https://pbs.twimg.com/profile_images/1869187254213820416/jQbvlIXX_400x400.jpg" TargetMode="External"/><Relationship Id="rId508" Type="http://schemas.openxmlformats.org/officeDocument/2006/relationships/hyperlink" Target="https://x.com/0xsuperpat/status/1878794765778718768" TargetMode="External"/><Relationship Id="rId715" Type="http://schemas.openxmlformats.org/officeDocument/2006/relationships/hyperlink" Target="https://x.com/0xCaptainLevi/status/1877397319613608301" TargetMode="External"/><Relationship Id="rId922" Type="http://schemas.openxmlformats.org/officeDocument/2006/relationships/hyperlink" Target="https://www.cookie.fun/agent/seraph-ai" TargetMode="External"/><Relationship Id="rId1138" Type="http://schemas.openxmlformats.org/officeDocument/2006/relationships/hyperlink" Target="https://pbs.twimg.com/profile_images/1824342038613254144/02OCCw1c_normal.jpg" TargetMode="External"/><Relationship Id="rId1345" Type="http://schemas.openxmlformats.org/officeDocument/2006/relationships/hyperlink" Target="https://pbs.twimg.com/profile_images/1752826759504965632/_BJV6z9l_normal.jpg" TargetMode="External"/><Relationship Id="rId1552" Type="http://schemas.openxmlformats.org/officeDocument/2006/relationships/hyperlink" Target="https://x.com/Smokeyjoethepi1/status/1877273784664653937" TargetMode="External"/><Relationship Id="rId1205" Type="http://schemas.openxmlformats.org/officeDocument/2006/relationships/hyperlink" Target="https://www.cookie.fun/chains/base.svg" TargetMode="External"/><Relationship Id="rId1857" Type="http://schemas.openxmlformats.org/officeDocument/2006/relationships/hyperlink" Target="https://pbs.twimg.com/profile_images/1858694437225787393/5k-Oj-yq_400x400.jpg" TargetMode="External"/><Relationship Id="rId51" Type="http://schemas.openxmlformats.org/officeDocument/2006/relationships/hyperlink" Target="https://www.cookie.fun/chains/solana.svg" TargetMode="External"/><Relationship Id="rId1412" Type="http://schemas.openxmlformats.org/officeDocument/2006/relationships/hyperlink" Target="https://pbs.twimg.com/profile_images/1795607289283366912/KI2AGBBX_normal.jpg" TargetMode="External"/><Relationship Id="rId1717" Type="http://schemas.openxmlformats.org/officeDocument/2006/relationships/hyperlink" Target="https://www.cookie.fun/chains/solana.svg" TargetMode="External"/><Relationship Id="rId298" Type="http://schemas.openxmlformats.org/officeDocument/2006/relationships/hyperlink" Target="https://x.com/BiteyeCN/status/1877249880021942569" TargetMode="External"/><Relationship Id="rId158" Type="http://schemas.openxmlformats.org/officeDocument/2006/relationships/hyperlink" Target="https://pbs.twimg.com/profile_images/1867839899635769344/1ysmAfQI_400x400.jpg" TargetMode="External"/><Relationship Id="rId365" Type="http://schemas.openxmlformats.org/officeDocument/2006/relationships/hyperlink" Target="https://pbs.twimg.com/profile_images/1679453527100518402/XagGubNX_normal.jpg" TargetMode="External"/><Relationship Id="rId572" Type="http://schemas.openxmlformats.org/officeDocument/2006/relationships/hyperlink" Target="https://pbs.twimg.com/profile_images/1768029358315171840/ZbsKj_pI_normal.jpg" TargetMode="External"/><Relationship Id="rId225" Type="http://schemas.openxmlformats.org/officeDocument/2006/relationships/hyperlink" Target="https://pbs.twimg.com/profile_images/1772836615313817600/SYj2QKwO_normal.jpg" TargetMode="External"/><Relationship Id="rId432" Type="http://schemas.openxmlformats.org/officeDocument/2006/relationships/hyperlink" Target="https://x.com/whomptuh/status/1877874185227342114" TargetMode="External"/><Relationship Id="rId877" Type="http://schemas.openxmlformats.org/officeDocument/2006/relationships/hyperlink" Target="https://pbs.twimg.com/profile_images/1865224384744681472/2pnacw8N_400x400.jpg" TargetMode="External"/><Relationship Id="rId1062" Type="http://schemas.openxmlformats.org/officeDocument/2006/relationships/hyperlink" Target="https://x.com/cryptotutor/status/1877293253902376985" TargetMode="External"/><Relationship Id="rId737" Type="http://schemas.openxmlformats.org/officeDocument/2006/relationships/hyperlink" Target="https://x.com/kucoincom/status/1878661100369309822" TargetMode="External"/><Relationship Id="rId944" Type="http://schemas.openxmlformats.org/officeDocument/2006/relationships/hyperlink" Target="https://pbs.twimg.com/profile_images/1815426158172798983/8XxWaQRA_normal.jpg" TargetMode="External"/><Relationship Id="rId1367" Type="http://schemas.openxmlformats.org/officeDocument/2006/relationships/hyperlink" Target="https://x.com/AviFelman/status/1879267969802674447" TargetMode="External"/><Relationship Id="rId1574" Type="http://schemas.openxmlformats.org/officeDocument/2006/relationships/hyperlink" Target="https://www.cookie.fun/agent/mmtic" TargetMode="External"/><Relationship Id="rId1781" Type="http://schemas.openxmlformats.org/officeDocument/2006/relationships/hyperlink" Target="https://pbs.twimg.com/profile_images/1858697083152461827/evlhKu8J_400x400.jpg" TargetMode="External"/><Relationship Id="rId73" Type="http://schemas.openxmlformats.org/officeDocument/2006/relationships/hyperlink" Target="https://www.cookie.fun/agent/zerebro" TargetMode="External"/><Relationship Id="rId804" Type="http://schemas.openxmlformats.org/officeDocument/2006/relationships/hyperlink" Target="https://x.com/gem_insider/status/1879106433997824460" TargetMode="External"/><Relationship Id="rId1227" Type="http://schemas.openxmlformats.org/officeDocument/2006/relationships/hyperlink" Target="https://www.cookie.fun/chains/base.svg" TargetMode="External"/><Relationship Id="rId1434" Type="http://schemas.openxmlformats.org/officeDocument/2006/relationships/hyperlink" Target="https://www.cookie.fun/chains/solana.svg" TargetMode="External"/><Relationship Id="rId1641" Type="http://schemas.openxmlformats.org/officeDocument/2006/relationships/hyperlink" Target="https://www.cookie.fun/agent/blormmy" TargetMode="External"/><Relationship Id="rId1879" Type="http://schemas.openxmlformats.org/officeDocument/2006/relationships/hyperlink" Target="https://pbs.twimg.com/profile_images/1864115753399558144/X7yzmqnf_400x400.jpg" TargetMode="External"/><Relationship Id="rId1501" Type="http://schemas.openxmlformats.org/officeDocument/2006/relationships/hyperlink" Target="https://pbs.twimg.com/profile_images/1774604272270712832/krirv0iJ_normal.jpg" TargetMode="External"/><Relationship Id="rId1739" Type="http://schemas.openxmlformats.org/officeDocument/2006/relationships/hyperlink" Target="https://www.cookie.fun/chains/solana.svg" TargetMode="External"/><Relationship Id="rId1806" Type="http://schemas.openxmlformats.org/officeDocument/2006/relationships/hyperlink" Target="https://www.cookie.fun/chains/solana.svg" TargetMode="External"/><Relationship Id="rId387" Type="http://schemas.openxmlformats.org/officeDocument/2006/relationships/hyperlink" Target="https://www.cookie.fun/chains/solana.svg" TargetMode="External"/><Relationship Id="rId594" Type="http://schemas.openxmlformats.org/officeDocument/2006/relationships/hyperlink" Target="https://x.com/vvickym2/status/1877639636769730720" TargetMode="External"/><Relationship Id="rId247" Type="http://schemas.openxmlformats.org/officeDocument/2006/relationships/hyperlink" Target="https://pbs.twimg.com/profile_images/1874983006630195200/zQ6Vsyhl_normal.jpg" TargetMode="External"/><Relationship Id="rId899" Type="http://schemas.openxmlformats.org/officeDocument/2006/relationships/hyperlink" Target="https://www.cookie.fun/agent/morph" TargetMode="External"/><Relationship Id="rId1084" Type="http://schemas.openxmlformats.org/officeDocument/2006/relationships/hyperlink" Target="https://pbs.twimg.com/profile_images/1878136072775118848/kfqFBXgr_normal.jpg" TargetMode="External"/><Relationship Id="rId107" Type="http://schemas.openxmlformats.org/officeDocument/2006/relationships/hyperlink" Target="https://pbs.twimg.com/profile_images/1478130385116672008/kpiOx18X_normal.jpg" TargetMode="External"/><Relationship Id="rId454" Type="http://schemas.openxmlformats.org/officeDocument/2006/relationships/hyperlink" Target="https://x.com/0xSleuth_/status/1877652720494243882" TargetMode="External"/><Relationship Id="rId661" Type="http://schemas.openxmlformats.org/officeDocument/2006/relationships/hyperlink" Target="https://www.cookie.fun/agent/zalpha" TargetMode="External"/><Relationship Id="rId759" Type="http://schemas.openxmlformats.org/officeDocument/2006/relationships/hyperlink" Target="https://x.com/rasmr_eth/status/1878851313729233304" TargetMode="External"/><Relationship Id="rId966" Type="http://schemas.openxmlformats.org/officeDocument/2006/relationships/hyperlink" Target="https://pbs.twimg.com/profile_images/1854319673396850694/bt7bFsP0_normal.jpg" TargetMode="External"/><Relationship Id="rId1291" Type="http://schemas.openxmlformats.org/officeDocument/2006/relationships/hyperlink" Target="https://x.com/Stitvuli/status/1879344279132438864" TargetMode="External"/><Relationship Id="rId1389" Type="http://schemas.openxmlformats.org/officeDocument/2006/relationships/hyperlink" Target="https://pbs.twimg.com/profile_images/1852755001892089856/TiiSj8R3_400x400.jpg" TargetMode="External"/><Relationship Id="rId1596" Type="http://schemas.openxmlformats.org/officeDocument/2006/relationships/hyperlink" Target="https://www.cookie.fun/agent/bossu" TargetMode="External"/><Relationship Id="rId314" Type="http://schemas.openxmlformats.org/officeDocument/2006/relationships/hyperlink" Target="https://pbs.twimg.com/profile_images/1864120521006436353/ow2J66gu_400x400.jpg" TargetMode="External"/><Relationship Id="rId521" Type="http://schemas.openxmlformats.org/officeDocument/2006/relationships/hyperlink" Target="https://x.com/huuep/status/1877401835545456764" TargetMode="External"/><Relationship Id="rId619" Type="http://schemas.openxmlformats.org/officeDocument/2006/relationships/hyperlink" Target="https://pbs.twimg.com/profile_images/1738860733771780096/eYaFzxgO_normal.png" TargetMode="External"/><Relationship Id="rId1151" Type="http://schemas.openxmlformats.org/officeDocument/2006/relationships/hyperlink" Target="https://pbs.twimg.com/profile_images/1859856989641207808/7VcZYkbh_400x400.jpg" TargetMode="External"/><Relationship Id="rId1249" Type="http://schemas.openxmlformats.org/officeDocument/2006/relationships/hyperlink" Target="https://x.com/LgDoucet/status/1877806974210887816" TargetMode="External"/><Relationship Id="rId95" Type="http://schemas.openxmlformats.org/officeDocument/2006/relationships/hyperlink" Target="https://pbs.twimg.com/profile_images/1877091306062884865/4DReVrnp_normal.jpg" TargetMode="External"/><Relationship Id="rId826" Type="http://schemas.openxmlformats.org/officeDocument/2006/relationships/hyperlink" Target="https://x.com/CoinbaseDuck/status/1879221916843770367" TargetMode="External"/><Relationship Id="rId1011" Type="http://schemas.openxmlformats.org/officeDocument/2006/relationships/hyperlink" Target="https://www.cookie.fun/chains/solana.svg" TargetMode="External"/><Relationship Id="rId1109" Type="http://schemas.openxmlformats.org/officeDocument/2006/relationships/hyperlink" Target="https://pbs.twimg.com/profile_images/1713426276546211840/5sacGaex_normal.png" TargetMode="External"/><Relationship Id="rId1456" Type="http://schemas.openxmlformats.org/officeDocument/2006/relationships/hyperlink" Target="https://www.cookie.fun/chains/solana.svg" TargetMode="External"/><Relationship Id="rId1663" Type="http://schemas.openxmlformats.org/officeDocument/2006/relationships/hyperlink" Target="https://pbs.twimg.com/profile_images/1696225706768740353/ta6goKxa_normal.jpg" TargetMode="External"/><Relationship Id="rId1870" Type="http://schemas.openxmlformats.org/officeDocument/2006/relationships/hyperlink" Target="https://pbs.twimg.com/profile_images/1852077426924457984/iARsWplA_400x400.jpg" TargetMode="External"/><Relationship Id="rId1316" Type="http://schemas.openxmlformats.org/officeDocument/2006/relationships/hyperlink" Target="https://x.com/EB7/status/1877506919159545944" TargetMode="External"/><Relationship Id="rId1523" Type="http://schemas.openxmlformats.org/officeDocument/2006/relationships/hyperlink" Target="https://pbs.twimg.com/profile_images/1862309010172444672/qxNpvzcW_normal.jpg" TargetMode="External"/><Relationship Id="rId1730" Type="http://schemas.openxmlformats.org/officeDocument/2006/relationships/hyperlink" Target="https://www.cookie.fun/agent/lana" TargetMode="External"/><Relationship Id="rId22" Type="http://schemas.openxmlformats.org/officeDocument/2006/relationships/hyperlink" Target="https://x.com/notthreadguy/status/1878971190502683056" TargetMode="External"/><Relationship Id="rId1828" Type="http://schemas.openxmlformats.org/officeDocument/2006/relationships/hyperlink" Target="https://x.com/RadNFTV/status/1877419605750153684" TargetMode="External"/><Relationship Id="rId171" Type="http://schemas.openxmlformats.org/officeDocument/2006/relationships/hyperlink" Target="https://www.cookie.fun/chains/base.svg" TargetMode="External"/><Relationship Id="rId269" Type="http://schemas.openxmlformats.org/officeDocument/2006/relationships/hyperlink" Target="https://pbs.twimg.com/profile_images/1877097814901071873/FM9Ujjye_normal.jpg" TargetMode="External"/><Relationship Id="rId476" Type="http://schemas.openxmlformats.org/officeDocument/2006/relationships/hyperlink" Target="https://x.com/OGDfarmer/status/1877895046608936991" TargetMode="External"/><Relationship Id="rId683" Type="http://schemas.openxmlformats.org/officeDocument/2006/relationships/hyperlink" Target="https://pbs.twimg.com/profile_images/1876491110555488256/uwXwjqCF_normal.jpg" TargetMode="External"/><Relationship Id="rId890" Type="http://schemas.openxmlformats.org/officeDocument/2006/relationships/hyperlink" Target="https://www.cookie.fun/chains/solana.svg" TargetMode="External"/><Relationship Id="rId129" Type="http://schemas.openxmlformats.org/officeDocument/2006/relationships/hyperlink" Target="https://pbs.twimg.com/profile_images/1679189748680630273/3FPwpRqu_normal.jpg" TargetMode="External"/><Relationship Id="rId336" Type="http://schemas.openxmlformats.org/officeDocument/2006/relationships/hyperlink" Target="https://x.com/Cryppocrates/status/1877935772260610300" TargetMode="External"/><Relationship Id="rId543" Type="http://schemas.openxmlformats.org/officeDocument/2006/relationships/hyperlink" Target="https://x.com/verse_works/status/1877827620739698875" TargetMode="External"/><Relationship Id="rId988" Type="http://schemas.openxmlformats.org/officeDocument/2006/relationships/hyperlink" Target="https://x.com/KaminoCrypto/status/1879437420133073144" TargetMode="External"/><Relationship Id="rId1173" Type="http://schemas.openxmlformats.org/officeDocument/2006/relationships/hyperlink" Target="https://www.cookie.fun/agent/higher" TargetMode="External"/><Relationship Id="rId1380" Type="http://schemas.openxmlformats.org/officeDocument/2006/relationships/hyperlink" Target="https://pbs.twimg.com/profile_images/1849959582111596544/CaQNoXD1_400x400.jpg" TargetMode="External"/><Relationship Id="rId403" Type="http://schemas.openxmlformats.org/officeDocument/2006/relationships/hyperlink" Target="https://pbs.twimg.com/profile_images/1352548197835681793/P8tRO3U2_normal.jpg" TargetMode="External"/><Relationship Id="rId750" Type="http://schemas.openxmlformats.org/officeDocument/2006/relationships/hyperlink" Target="https://pbs.twimg.com/profile_images/1877633171413467136/91OOzFSV_normal.jpg" TargetMode="External"/><Relationship Id="rId848" Type="http://schemas.openxmlformats.org/officeDocument/2006/relationships/hyperlink" Target="https://x.com/NftPerks/status/1877697573919592457" TargetMode="External"/><Relationship Id="rId1033" Type="http://schemas.openxmlformats.org/officeDocument/2006/relationships/hyperlink" Target="https://x.com/TheBoggartt/status/1877401939266122028" TargetMode="External"/><Relationship Id="rId1478" Type="http://schemas.openxmlformats.org/officeDocument/2006/relationships/hyperlink" Target="https://pbs.twimg.com/profile_images/1861197115172757504/1wmUZzBR_normal.jpg" TargetMode="External"/><Relationship Id="rId1685" Type="http://schemas.openxmlformats.org/officeDocument/2006/relationships/hyperlink" Target="https://pbs.twimg.com/profile_images/1861812218624458752/6I1bbCdC_400x400.jpg" TargetMode="External"/><Relationship Id="rId1892" Type="http://schemas.openxmlformats.org/officeDocument/2006/relationships/hyperlink" Target="https://x.com/Cobratate/status/1877403108428378470" TargetMode="External"/><Relationship Id="rId610" Type="http://schemas.openxmlformats.org/officeDocument/2006/relationships/hyperlink" Target="https://x.com/betashop/status/1878124501465985233" TargetMode="External"/><Relationship Id="rId708" Type="http://schemas.openxmlformats.org/officeDocument/2006/relationships/hyperlink" Target="https://www.cookie.fun/chains/solana.svg" TargetMode="External"/><Relationship Id="rId915" Type="http://schemas.openxmlformats.org/officeDocument/2006/relationships/hyperlink" Target="https://pbs.twimg.com/profile_images/1478130385116672008/kpiOx18X_normal.jpg" TargetMode="External"/><Relationship Id="rId1240" Type="http://schemas.openxmlformats.org/officeDocument/2006/relationships/hyperlink" Target="https://x.com/OptimusBull_/status/1877104687461093551" TargetMode="External"/><Relationship Id="rId1338" Type="http://schemas.openxmlformats.org/officeDocument/2006/relationships/hyperlink" Target="https://pbs.twimg.com/profile_images/1795944646754861056/BvLWDVYq_normal.jpg" TargetMode="External"/><Relationship Id="rId1545" Type="http://schemas.openxmlformats.org/officeDocument/2006/relationships/hyperlink" Target="https://x.com/Chilearmy123/status/1877523253960335474" TargetMode="External"/><Relationship Id="rId1100" Type="http://schemas.openxmlformats.org/officeDocument/2006/relationships/hyperlink" Target="https://pbs.twimg.com/profile_images/1872364601129795584/xHubzCL8_400x400.jpg" TargetMode="External"/><Relationship Id="rId1405" Type="http://schemas.openxmlformats.org/officeDocument/2006/relationships/hyperlink" Target="https://www.cookie.fun/chains/base.svg" TargetMode="External"/><Relationship Id="rId1752" Type="http://schemas.openxmlformats.org/officeDocument/2006/relationships/hyperlink" Target="https://www.cookie.fun/agent/kogin" TargetMode="External"/><Relationship Id="rId44" Type="http://schemas.openxmlformats.org/officeDocument/2006/relationships/hyperlink" Target="https://x.com/tong0x/status/1878973798814503272" TargetMode="External"/><Relationship Id="rId1612" Type="http://schemas.openxmlformats.org/officeDocument/2006/relationships/hyperlink" Target="https://www.cookie.fun/agent/kira-kuru" TargetMode="External"/><Relationship Id="rId1917" Type="http://schemas.openxmlformats.org/officeDocument/2006/relationships/hyperlink" Target="https://pbs.twimg.com/profile_images/1847019981898121216/vq1W3Kqf_400x400.jpg" TargetMode="External"/><Relationship Id="rId193" Type="http://schemas.openxmlformats.org/officeDocument/2006/relationships/hyperlink" Target="https://www.cookie.fun/agent/vader-ai" TargetMode="External"/><Relationship Id="rId498" Type="http://schemas.openxmlformats.org/officeDocument/2006/relationships/hyperlink" Target="https://x.com/0xminibb/status/1878453051633418483" TargetMode="External"/><Relationship Id="rId260" Type="http://schemas.openxmlformats.org/officeDocument/2006/relationships/hyperlink" Target="https://x.com/SherifDefi/status/1878827180081443013" TargetMode="External"/><Relationship Id="rId120" Type="http://schemas.openxmlformats.org/officeDocument/2006/relationships/hyperlink" Target="https://x.com/rektmando/status/1877363883960058103" TargetMode="External"/><Relationship Id="rId358" Type="http://schemas.openxmlformats.org/officeDocument/2006/relationships/hyperlink" Target="https://x.com/Ronin_Network/status/1878969495261229204" TargetMode="External"/><Relationship Id="rId565" Type="http://schemas.openxmlformats.org/officeDocument/2006/relationships/hyperlink" Target="https://pbs.twimg.com/profile_images/1877564123715670016/Y9P9SPH4_400x400.jpg" TargetMode="External"/><Relationship Id="rId772" Type="http://schemas.openxmlformats.org/officeDocument/2006/relationships/hyperlink" Target="https://pbs.twimg.com/profile_images/1869334335079489536/i3Qd_1b__normal.jpg" TargetMode="External"/><Relationship Id="rId1195" Type="http://schemas.openxmlformats.org/officeDocument/2006/relationships/hyperlink" Target="https://x.com/notthreadguy/status/1877549918010933604" TargetMode="External"/><Relationship Id="rId218" Type="http://schemas.openxmlformats.org/officeDocument/2006/relationships/hyperlink" Target="https://pbs.twimg.com/profile_images/1848450775397142529/HqRYsyQM_400x400.jpg" TargetMode="External"/><Relationship Id="rId425" Type="http://schemas.openxmlformats.org/officeDocument/2006/relationships/hyperlink" Target="https://pbs.twimg.com/profile_images/1781921611165118464/stP8Ssgk_normal.jpg" TargetMode="External"/><Relationship Id="rId632" Type="http://schemas.openxmlformats.org/officeDocument/2006/relationships/hyperlink" Target="https://x.com/JoshMcGruff/status/1879335313497264579" TargetMode="External"/><Relationship Id="rId1055" Type="http://schemas.openxmlformats.org/officeDocument/2006/relationships/hyperlink" Target="https://www.cookie.fun/chains/solana.svg" TargetMode="External"/><Relationship Id="rId1262" Type="http://schemas.openxmlformats.org/officeDocument/2006/relationships/hyperlink" Target="https://pbs.twimg.com/profile_images/1861067699628986368/U5K_0wia_normal.jpg" TargetMode="External"/><Relationship Id="rId937" Type="http://schemas.openxmlformats.org/officeDocument/2006/relationships/hyperlink" Target="https://x.com/kikanicolela/status/1878421696052388275" TargetMode="External"/><Relationship Id="rId1122" Type="http://schemas.openxmlformats.org/officeDocument/2006/relationships/hyperlink" Target="https://www.cookie.fun/agent/gam3s-gg" TargetMode="External"/><Relationship Id="rId1567" Type="http://schemas.openxmlformats.org/officeDocument/2006/relationships/hyperlink" Target="https://www.cookie.fun/agent/radio" TargetMode="External"/><Relationship Id="rId1774" Type="http://schemas.openxmlformats.org/officeDocument/2006/relationships/hyperlink" Target="https://www.cookie.fun/agent/kiboshib" TargetMode="External"/><Relationship Id="rId66" Type="http://schemas.openxmlformats.org/officeDocument/2006/relationships/hyperlink" Target="https://x.com/osf_rekt/status/1879180178364248516" TargetMode="External"/><Relationship Id="rId1427" Type="http://schemas.openxmlformats.org/officeDocument/2006/relationships/hyperlink" Target="https://www.cookie.fun/chains/solana.svg" TargetMode="External"/><Relationship Id="rId1634" Type="http://schemas.openxmlformats.org/officeDocument/2006/relationships/hyperlink" Target="https://x.com/Jklaub81/status/1879365229639041441" TargetMode="External"/><Relationship Id="rId1841" Type="http://schemas.openxmlformats.org/officeDocument/2006/relationships/hyperlink" Target="https://x.com/jaapyft/status/1878487981071495170" TargetMode="External"/><Relationship Id="rId1701" Type="http://schemas.openxmlformats.org/officeDocument/2006/relationships/hyperlink" Target="https://x.com/phunk2243/status/1879323081627603183" TargetMode="External"/><Relationship Id="rId282" Type="http://schemas.openxmlformats.org/officeDocument/2006/relationships/hyperlink" Target="https://x.com/BiteyeCN/status/1877249880021942569" TargetMode="External"/><Relationship Id="rId587" Type="http://schemas.openxmlformats.org/officeDocument/2006/relationships/hyperlink" Target="https://www.cookie.fun/agent/wai" TargetMode="External"/><Relationship Id="rId8" Type="http://schemas.openxmlformats.org/officeDocument/2006/relationships/hyperlink" Target="https://x.com/kickzeth/status/1877989602524373397" TargetMode="External"/><Relationship Id="rId142" Type="http://schemas.openxmlformats.org/officeDocument/2006/relationships/hyperlink" Target="https://x.com/DefiIgnas/status/1878778342226501945" TargetMode="External"/><Relationship Id="rId447" Type="http://schemas.openxmlformats.org/officeDocument/2006/relationships/hyperlink" Target="https://www.cookie.fun/chains/base.svg" TargetMode="External"/><Relationship Id="rId794" Type="http://schemas.openxmlformats.org/officeDocument/2006/relationships/hyperlink" Target="https://pbs.twimg.com/profile_images/1607722344432242689/m1XRdYV7_normal.jpg" TargetMode="External"/><Relationship Id="rId1077" Type="http://schemas.openxmlformats.org/officeDocument/2006/relationships/hyperlink" Target="https://pbs.twimg.com/profile_images/1840811789753397249/ikjx9Pug_400x400.png" TargetMode="External"/><Relationship Id="rId654" Type="http://schemas.openxmlformats.org/officeDocument/2006/relationships/hyperlink" Target="https://pbs.twimg.com/profile_images/1642829233809489922/GF1F9OZC_normal.jpg" TargetMode="External"/><Relationship Id="rId861" Type="http://schemas.openxmlformats.org/officeDocument/2006/relationships/hyperlink" Target="https://x.com/skyyman69/status/1877690100869480922" TargetMode="External"/><Relationship Id="rId959" Type="http://schemas.openxmlformats.org/officeDocument/2006/relationships/hyperlink" Target="https://pbs.twimg.com/profile_images/1873586640331091969/yrQ3nUwG_400x400.jpg" TargetMode="External"/><Relationship Id="rId1284" Type="http://schemas.openxmlformats.org/officeDocument/2006/relationships/hyperlink" Target="https://x.com/aGANVogh/status/1878894970381426756" TargetMode="External"/><Relationship Id="rId1491" Type="http://schemas.openxmlformats.org/officeDocument/2006/relationships/hyperlink" Target="https://x.com/tradinglord/status/1877970703720264045" TargetMode="External"/><Relationship Id="rId1589" Type="http://schemas.openxmlformats.org/officeDocument/2006/relationships/hyperlink" Target="https://www.cookie.fun/agent/roasted" TargetMode="External"/><Relationship Id="rId307" Type="http://schemas.openxmlformats.org/officeDocument/2006/relationships/hyperlink" Target="https://pbs.twimg.com/profile_images/1557234672434049024/uoN1L0bo_normal.jpg" TargetMode="External"/><Relationship Id="rId514" Type="http://schemas.openxmlformats.org/officeDocument/2006/relationships/hyperlink" Target="https://x.com/SebyGWeb3/status/1879446978536657082" TargetMode="External"/><Relationship Id="rId721" Type="http://schemas.openxmlformats.org/officeDocument/2006/relationships/hyperlink" Target="https://x.com/mrpunkdoteth/status/1878474033966301419" TargetMode="External"/><Relationship Id="rId1144" Type="http://schemas.openxmlformats.org/officeDocument/2006/relationships/hyperlink" Target="https://pbs.twimg.com/profile_images/1863648719004110849/mIqZqIMV_400x400.jpg" TargetMode="External"/><Relationship Id="rId1351" Type="http://schemas.openxmlformats.org/officeDocument/2006/relationships/hyperlink" Target="https://pbs.twimg.com/profile_images/1877338697797971968/UlV0Tuu8_normal.jpg" TargetMode="External"/><Relationship Id="rId1449" Type="http://schemas.openxmlformats.org/officeDocument/2006/relationships/hyperlink" Target="https://www.cookie.fun/chains/solana.svg" TargetMode="External"/><Relationship Id="rId1796" Type="http://schemas.openxmlformats.org/officeDocument/2006/relationships/hyperlink" Target="https://pbs.twimg.com/profile_images/1755983593925378048/kYutau0B_normal.jpg" TargetMode="External"/><Relationship Id="rId88" Type="http://schemas.openxmlformats.org/officeDocument/2006/relationships/hyperlink" Target="https://x.com/JumperExchange/status/1877795378826821921" TargetMode="External"/><Relationship Id="rId819" Type="http://schemas.openxmlformats.org/officeDocument/2006/relationships/hyperlink" Target="https://x.com/0xcryptowizard/status/1877198751263060352" TargetMode="External"/><Relationship Id="rId1004" Type="http://schemas.openxmlformats.org/officeDocument/2006/relationships/hyperlink" Target="https://pbs.twimg.com/profile_images/1561354964534018049/T9lKN_2c_normal.jpg" TargetMode="External"/><Relationship Id="rId1211" Type="http://schemas.openxmlformats.org/officeDocument/2006/relationships/hyperlink" Target="https://pbs.twimg.com/profile_images/1560219928740888577/gbTc6iRK_normal.jpg" TargetMode="External"/><Relationship Id="rId1656" Type="http://schemas.openxmlformats.org/officeDocument/2006/relationships/hyperlink" Target="https://www.cookie.fun/agent/bongo-ai" TargetMode="External"/><Relationship Id="rId1863" Type="http://schemas.openxmlformats.org/officeDocument/2006/relationships/hyperlink" Target="https://www.cookie.fun/chains/solana.svg" TargetMode="External"/><Relationship Id="rId1309" Type="http://schemas.openxmlformats.org/officeDocument/2006/relationships/hyperlink" Target="https://pbs.twimg.com/profile_images/1863031279479840768/FuVR6qEf_400x400.jpg" TargetMode="External"/><Relationship Id="rId1516" Type="http://schemas.openxmlformats.org/officeDocument/2006/relationships/hyperlink" Target="https://pbs.twimg.com/profile_images/1865702842658353153/_5DNApE2_400x400.jpg" TargetMode="External"/><Relationship Id="rId1723" Type="http://schemas.openxmlformats.org/officeDocument/2006/relationships/hyperlink" Target="https://x.com/agnesrium/status/1878673536753267023" TargetMode="External"/><Relationship Id="rId15" Type="http://schemas.openxmlformats.org/officeDocument/2006/relationships/hyperlink" Target="https://www.cookie.fun/chains/solana.svg" TargetMode="External"/><Relationship Id="rId164" Type="http://schemas.openxmlformats.org/officeDocument/2006/relationships/hyperlink" Target="https://x.com/CryptoKaduna/status/1877011025209287094" TargetMode="External"/><Relationship Id="rId371" Type="http://schemas.openxmlformats.org/officeDocument/2006/relationships/hyperlink" Target="https://pbs.twimg.com/profile_images/1871743259619536896/4IEOn9xW_normal.jpg" TargetMode="External"/><Relationship Id="rId469" Type="http://schemas.openxmlformats.org/officeDocument/2006/relationships/hyperlink" Target="https://www.cookie.fun/agent/autonomous-virtual-beings" TargetMode="External"/><Relationship Id="rId676" Type="http://schemas.openxmlformats.org/officeDocument/2006/relationships/hyperlink" Target="https://x.com/mungimungimungi/status/1878145609758355860" TargetMode="External"/><Relationship Id="rId883" Type="http://schemas.openxmlformats.org/officeDocument/2006/relationships/hyperlink" Target="https://x.com/XDeGods/status/1878754041465094536" TargetMode="External"/><Relationship Id="rId1099" Type="http://schemas.openxmlformats.org/officeDocument/2006/relationships/hyperlink" Target="https://www.cookie.fun/agent/cha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759"/>
  <sheetViews>
    <sheetView tabSelected="1" topLeftCell="S1" workbookViewId="0">
      <selection activeCell="U15" sqref="U15"/>
    </sheetView>
  </sheetViews>
  <sheetFormatPr defaultColWidth="12.6640625" defaultRowHeight="15.75" customHeight="1" x14ac:dyDescent="0.25"/>
  <cols>
    <col min="1" max="1" width="8.33203125" customWidth="1"/>
    <col min="2" max="2" width="51" customWidth="1"/>
    <col min="3" max="3" width="9.21875" customWidth="1"/>
    <col min="4" max="4" width="78.109375" customWidth="1"/>
    <col min="5" max="5" width="32.77734375" customWidth="1"/>
    <col min="7" max="7" width="17.109375" customWidth="1"/>
    <col min="22" max="22" width="61.77734375" bestFit="1" customWidth="1"/>
    <col min="23" max="23" width="84.6640625" bestFit="1" customWidth="1"/>
  </cols>
  <sheetData>
    <row r="1" spans="1:3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spans="1:30" ht="15.75" customHeight="1" x14ac:dyDescent="0.3">
      <c r="A2" s="4">
        <v>246</v>
      </c>
      <c r="B2" s="5" t="s">
        <v>30</v>
      </c>
      <c r="C2" s="6" t="s">
        <v>31</v>
      </c>
      <c r="D2" s="5" t="s">
        <v>32</v>
      </c>
      <c r="E2" s="5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>
        <f>120%</f>
        <v>1.2</v>
      </c>
      <c r="M2" s="6" t="s">
        <v>40</v>
      </c>
      <c r="N2" s="6">
        <f>120%</f>
        <v>1.2</v>
      </c>
      <c r="O2" s="6" t="s">
        <v>41</v>
      </c>
      <c r="P2" s="6" t="s">
        <v>42</v>
      </c>
      <c r="Q2" s="6" t="s">
        <v>9262</v>
      </c>
      <c r="R2" s="6" t="s">
        <v>43</v>
      </c>
      <c r="S2" s="6">
        <v>42</v>
      </c>
      <c r="T2" s="6" t="s">
        <v>44</v>
      </c>
      <c r="U2" s="6">
        <f>0.38%</f>
        <v>3.8E-3</v>
      </c>
      <c r="V2" s="6"/>
      <c r="W2" s="6"/>
      <c r="X2" s="6"/>
      <c r="Y2" s="6"/>
      <c r="Z2" s="6"/>
      <c r="AA2" s="6"/>
      <c r="AB2" s="6"/>
      <c r="AC2" s="6"/>
      <c r="AD2" s="7"/>
    </row>
    <row r="3" spans="1:30" ht="15.75" customHeight="1" x14ac:dyDescent="0.3">
      <c r="A3" s="4">
        <v>247</v>
      </c>
      <c r="B3" s="5" t="s">
        <v>45</v>
      </c>
      <c r="C3" s="6" t="s">
        <v>46</v>
      </c>
      <c r="D3" s="5" t="s">
        <v>47</v>
      </c>
      <c r="E3" s="5" t="s">
        <v>48</v>
      </c>
      <c r="F3" s="6" t="s">
        <v>49</v>
      </c>
      <c r="G3" s="6" t="s">
        <v>50</v>
      </c>
      <c r="H3" s="6" t="s">
        <v>36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6" t="s">
        <v>54</v>
      </c>
      <c r="O3" s="6" t="s">
        <v>56</v>
      </c>
      <c r="P3" s="6" t="s">
        <v>57</v>
      </c>
      <c r="Q3" s="6">
        <f>0.011</f>
        <v>1.0999999999999999E-2</v>
      </c>
      <c r="R3" s="6" t="s">
        <v>58</v>
      </c>
      <c r="S3" s="6">
        <v>8</v>
      </c>
      <c r="T3" s="6">
        <v>587</v>
      </c>
      <c r="U3" s="6">
        <f>110%</f>
        <v>1.1000000000000001</v>
      </c>
      <c r="V3" s="6"/>
      <c r="W3" s="6"/>
      <c r="X3" s="6"/>
      <c r="Y3" s="6"/>
      <c r="Z3" s="6"/>
      <c r="AA3" s="6"/>
      <c r="AB3" s="6"/>
      <c r="AC3" s="6"/>
      <c r="AD3" s="7"/>
    </row>
    <row r="4" spans="1:30" ht="15.75" customHeight="1" x14ac:dyDescent="0.3">
      <c r="A4" s="4">
        <v>248</v>
      </c>
      <c r="B4" s="5" t="s">
        <v>59</v>
      </c>
      <c r="C4" s="6" t="s">
        <v>60</v>
      </c>
      <c r="D4" s="5" t="s">
        <v>61</v>
      </c>
      <c r="E4" s="5" t="s">
        <v>33</v>
      </c>
      <c r="F4" s="6" t="s">
        <v>62</v>
      </c>
      <c r="G4" s="6" t="s">
        <v>63</v>
      </c>
      <c r="H4" s="6" t="s">
        <v>36</v>
      </c>
      <c r="I4" s="8">
        <v>-0.51</v>
      </c>
      <c r="J4" s="6" t="s">
        <v>64</v>
      </c>
      <c r="K4" s="6" t="s">
        <v>65</v>
      </c>
      <c r="L4" s="6">
        <f>19%</f>
        <v>0.19</v>
      </c>
      <c r="M4" s="6" t="s">
        <v>66</v>
      </c>
      <c r="N4" s="6">
        <f>19%</f>
        <v>0.19</v>
      </c>
      <c r="O4" s="6" t="s">
        <v>67</v>
      </c>
      <c r="P4" s="6" t="s">
        <v>68</v>
      </c>
      <c r="Q4" s="6">
        <f>0.011</f>
        <v>1.0999999999999999E-2</v>
      </c>
      <c r="R4" s="6" t="s">
        <v>69</v>
      </c>
      <c r="S4" s="6">
        <v>46</v>
      </c>
      <c r="T4" s="6" t="s">
        <v>70</v>
      </c>
      <c r="U4" s="6">
        <f>0.5%</f>
        <v>5.0000000000000001E-3</v>
      </c>
      <c r="V4" s="6"/>
      <c r="W4" s="6"/>
      <c r="X4" s="6"/>
      <c r="Y4" s="6"/>
      <c r="Z4" s="6"/>
      <c r="AA4" s="6"/>
      <c r="AB4" s="6"/>
      <c r="AC4" s="6"/>
      <c r="AD4" s="7"/>
    </row>
    <row r="5" spans="1:30" ht="15.75" customHeight="1" x14ac:dyDescent="0.3">
      <c r="A5" s="4">
        <v>249</v>
      </c>
      <c r="B5" s="5" t="s">
        <v>71</v>
      </c>
      <c r="C5" s="6" t="s">
        <v>72</v>
      </c>
      <c r="D5" s="5" t="s">
        <v>73</v>
      </c>
      <c r="E5" s="5" t="s">
        <v>48</v>
      </c>
      <c r="F5" s="6" t="s">
        <v>74</v>
      </c>
      <c r="G5" s="6" t="s">
        <v>75</v>
      </c>
      <c r="H5" s="6" t="s">
        <v>36</v>
      </c>
      <c r="I5" s="6" t="s">
        <v>76</v>
      </c>
      <c r="J5" s="6" t="s">
        <v>77</v>
      </c>
      <c r="K5" s="6" t="s">
        <v>78</v>
      </c>
      <c r="L5" s="8">
        <v>-0.17</v>
      </c>
      <c r="M5" s="6" t="s">
        <v>79</v>
      </c>
      <c r="N5" s="8">
        <v>-0.17</v>
      </c>
      <c r="O5" s="6" t="s">
        <v>80</v>
      </c>
      <c r="P5" s="6" t="s">
        <v>81</v>
      </c>
      <c r="Q5" s="6">
        <f>21%</f>
        <v>0.21</v>
      </c>
      <c r="R5" s="6" t="s">
        <v>82</v>
      </c>
      <c r="S5" s="6">
        <v>11</v>
      </c>
      <c r="T5" s="6" t="s">
        <v>83</v>
      </c>
      <c r="U5" s="6">
        <f>0.092%</f>
        <v>9.2000000000000003E-4</v>
      </c>
      <c r="V5" s="6"/>
      <c r="W5" s="6"/>
      <c r="X5" s="6"/>
      <c r="Y5" s="6"/>
      <c r="Z5" s="6"/>
      <c r="AA5" s="6"/>
      <c r="AB5" s="6"/>
      <c r="AC5" s="6"/>
      <c r="AD5" s="7"/>
    </row>
    <row r="6" spans="1:30" ht="15.75" customHeight="1" x14ac:dyDescent="0.3">
      <c r="A6" s="4">
        <v>250</v>
      </c>
      <c r="B6" s="5" t="s">
        <v>84</v>
      </c>
      <c r="C6" s="6" t="s">
        <v>85</v>
      </c>
      <c r="D6" s="5" t="s">
        <v>86</v>
      </c>
      <c r="E6" s="5" t="s">
        <v>48</v>
      </c>
      <c r="F6" s="6" t="s">
        <v>87</v>
      </c>
      <c r="G6" s="6" t="s">
        <v>88</v>
      </c>
      <c r="H6" s="6" t="s">
        <v>36</v>
      </c>
      <c r="I6" s="6" t="s">
        <v>89</v>
      </c>
      <c r="J6" s="6" t="s">
        <v>90</v>
      </c>
      <c r="K6" s="6" t="s">
        <v>91</v>
      </c>
      <c r="L6" s="8">
        <v>-0.4</v>
      </c>
      <c r="M6" s="6" t="s">
        <v>92</v>
      </c>
      <c r="N6" s="8">
        <v>-0.4</v>
      </c>
      <c r="O6" s="6" t="s">
        <v>93</v>
      </c>
      <c r="P6" s="6" t="s">
        <v>94</v>
      </c>
      <c r="Q6" s="6">
        <f>13%</f>
        <v>0.13</v>
      </c>
      <c r="R6" s="6" t="s">
        <v>95</v>
      </c>
      <c r="S6" s="6">
        <v>221</v>
      </c>
      <c r="T6" s="6" t="s">
        <v>96</v>
      </c>
      <c r="U6" s="8">
        <v>-0.12</v>
      </c>
      <c r="V6" s="5" t="s">
        <v>97</v>
      </c>
      <c r="W6" s="5" t="s">
        <v>98</v>
      </c>
      <c r="X6" s="5" t="s">
        <v>99</v>
      </c>
      <c r="Y6" s="5" t="s">
        <v>100</v>
      </c>
      <c r="Z6" s="6"/>
      <c r="AA6" s="6"/>
      <c r="AB6" s="6"/>
      <c r="AC6" s="6"/>
      <c r="AD6" s="7"/>
    </row>
    <row r="7" spans="1:30" ht="15.75" customHeight="1" x14ac:dyDescent="0.3">
      <c r="A7" s="4">
        <v>251</v>
      </c>
      <c r="B7" s="5" t="s">
        <v>101</v>
      </c>
      <c r="C7" s="6" t="s">
        <v>102</v>
      </c>
      <c r="D7" s="5" t="s">
        <v>103</v>
      </c>
      <c r="E7" s="5" t="s">
        <v>48</v>
      </c>
      <c r="F7" s="6" t="s">
        <v>104</v>
      </c>
      <c r="G7" s="6" t="s">
        <v>105</v>
      </c>
      <c r="H7" s="6" t="s">
        <v>36</v>
      </c>
      <c r="I7" s="6" t="s">
        <v>106</v>
      </c>
      <c r="J7" s="6" t="s">
        <v>107</v>
      </c>
      <c r="K7" s="6" t="s">
        <v>108</v>
      </c>
      <c r="L7" s="8">
        <v>-0.24</v>
      </c>
      <c r="M7" s="6" t="s">
        <v>109</v>
      </c>
      <c r="N7" s="8">
        <v>-0.24</v>
      </c>
      <c r="O7" s="6" t="s">
        <v>110</v>
      </c>
      <c r="P7" s="6" t="s">
        <v>111</v>
      </c>
      <c r="Q7" s="6">
        <f>0.0068</f>
        <v>6.7999999999999996E-3</v>
      </c>
      <c r="R7" s="6">
        <v>96</v>
      </c>
      <c r="S7" s="6">
        <v>0</v>
      </c>
      <c r="T7" s="6" t="s">
        <v>112</v>
      </c>
      <c r="U7" s="6">
        <f>45%</f>
        <v>0.45</v>
      </c>
      <c r="V7" s="6"/>
      <c r="W7" s="6"/>
      <c r="X7" s="6"/>
      <c r="Y7" s="6"/>
      <c r="Z7" s="6"/>
      <c r="AA7" s="6"/>
      <c r="AB7" s="6"/>
      <c r="AC7" s="6"/>
      <c r="AD7" s="7"/>
    </row>
    <row r="8" spans="1:30" ht="15.75" customHeight="1" x14ac:dyDescent="0.3">
      <c r="A8" s="4">
        <v>252</v>
      </c>
      <c r="B8" s="5" t="s">
        <v>113</v>
      </c>
      <c r="C8" s="6" t="s">
        <v>114</v>
      </c>
      <c r="D8" s="5" t="s">
        <v>115</v>
      </c>
      <c r="E8" s="5" t="s">
        <v>48</v>
      </c>
      <c r="F8" s="6" t="s">
        <v>116</v>
      </c>
      <c r="G8" s="6" t="s">
        <v>117</v>
      </c>
      <c r="H8" s="6" t="s">
        <v>36</v>
      </c>
      <c r="I8" s="8">
        <v>-0.93</v>
      </c>
      <c r="J8" s="6" t="s">
        <v>118</v>
      </c>
      <c r="K8" s="6" t="s">
        <v>119</v>
      </c>
      <c r="L8" s="6">
        <f>60%</f>
        <v>0.6</v>
      </c>
      <c r="M8" s="6" t="s">
        <v>120</v>
      </c>
      <c r="N8" s="6">
        <f>60%</f>
        <v>0.6</v>
      </c>
      <c r="O8" s="6" t="s">
        <v>121</v>
      </c>
      <c r="P8" s="6" t="s">
        <v>122</v>
      </c>
      <c r="Q8" s="6">
        <f>0.0024</f>
        <v>2.3999999999999998E-3</v>
      </c>
      <c r="R8" s="6" t="s">
        <v>123</v>
      </c>
      <c r="S8" s="6">
        <v>88</v>
      </c>
      <c r="T8" s="6" t="s">
        <v>124</v>
      </c>
      <c r="U8" s="6">
        <f>0.078%</f>
        <v>7.7999999999999999E-4</v>
      </c>
      <c r="V8" s="6"/>
      <c r="W8" s="6"/>
      <c r="X8" s="6"/>
      <c r="Y8" s="6"/>
      <c r="Z8" s="6"/>
      <c r="AA8" s="6"/>
      <c r="AB8" s="6"/>
      <c r="AC8" s="6"/>
      <c r="AD8" s="7"/>
    </row>
    <row r="9" spans="1:30" ht="15.75" customHeight="1" x14ac:dyDescent="0.3">
      <c r="A9" s="4">
        <v>253</v>
      </c>
      <c r="B9" s="5" t="s">
        <v>125</v>
      </c>
      <c r="C9" s="6" t="s">
        <v>126</v>
      </c>
      <c r="D9" s="5" t="s">
        <v>127</v>
      </c>
      <c r="E9" s="5" t="s">
        <v>48</v>
      </c>
      <c r="F9" s="6" t="s">
        <v>128</v>
      </c>
      <c r="G9" s="6" t="s">
        <v>129</v>
      </c>
      <c r="H9" s="6" t="s">
        <v>36</v>
      </c>
      <c r="I9" s="6" t="s">
        <v>130</v>
      </c>
      <c r="J9" s="6" t="s">
        <v>131</v>
      </c>
      <c r="K9" s="6" t="s">
        <v>132</v>
      </c>
      <c r="L9" s="8">
        <v>-0.77</v>
      </c>
      <c r="M9" s="6" t="s">
        <v>133</v>
      </c>
      <c r="N9" s="8">
        <v>-0.77</v>
      </c>
      <c r="O9" s="6" t="s">
        <v>134</v>
      </c>
      <c r="P9" s="6" t="s">
        <v>135</v>
      </c>
      <c r="Q9" s="8">
        <v>-0.37</v>
      </c>
      <c r="R9" s="6">
        <v>695</v>
      </c>
      <c r="S9" s="6">
        <v>6</v>
      </c>
      <c r="T9" s="6" t="s">
        <v>136</v>
      </c>
      <c r="U9" s="8">
        <v>-0.5</v>
      </c>
      <c r="V9" s="6"/>
      <c r="W9" s="6"/>
      <c r="X9" s="6"/>
      <c r="Y9" s="6"/>
      <c r="Z9" s="6"/>
      <c r="AA9" s="6"/>
      <c r="AB9" s="6"/>
      <c r="AC9" s="6"/>
      <c r="AD9" s="7"/>
    </row>
    <row r="10" spans="1:30" ht="15.75" customHeight="1" x14ac:dyDescent="0.3">
      <c r="A10" s="4">
        <v>254</v>
      </c>
      <c r="B10" s="5" t="s">
        <v>137</v>
      </c>
      <c r="C10" s="6" t="s">
        <v>31</v>
      </c>
      <c r="D10" s="5" t="s">
        <v>138</v>
      </c>
      <c r="E10" s="5" t="s">
        <v>33</v>
      </c>
      <c r="F10" s="6" t="s">
        <v>139</v>
      </c>
      <c r="G10" s="6" t="s">
        <v>140</v>
      </c>
      <c r="H10" s="6" t="s">
        <v>36</v>
      </c>
      <c r="I10" s="8">
        <v>-0.41</v>
      </c>
      <c r="J10" s="6" t="s">
        <v>141</v>
      </c>
      <c r="K10" s="6" t="s">
        <v>142</v>
      </c>
      <c r="L10" s="8">
        <v>-0.11</v>
      </c>
      <c r="M10" s="6" t="s">
        <v>143</v>
      </c>
      <c r="N10" s="8">
        <v>-0.12</v>
      </c>
      <c r="O10" s="6" t="s">
        <v>144</v>
      </c>
      <c r="P10" s="6" t="s">
        <v>145</v>
      </c>
      <c r="Q10" s="6">
        <f>0.0068</f>
        <v>6.7999999999999996E-3</v>
      </c>
      <c r="R10" s="6">
        <v>419</v>
      </c>
      <c r="S10" s="6">
        <v>0</v>
      </c>
      <c r="T10" s="6" t="s">
        <v>146</v>
      </c>
      <c r="U10" s="6">
        <f>30%</f>
        <v>0.3</v>
      </c>
      <c r="V10" s="6"/>
      <c r="W10" s="6"/>
      <c r="X10" s="6"/>
      <c r="Y10" s="6"/>
      <c r="Z10" s="6"/>
      <c r="AA10" s="6"/>
      <c r="AB10" s="6"/>
      <c r="AC10" s="6"/>
      <c r="AD10" s="7"/>
    </row>
    <row r="11" spans="1:30" ht="15.75" customHeight="1" x14ac:dyDescent="0.3">
      <c r="A11" s="4">
        <v>255</v>
      </c>
      <c r="B11" s="5" t="s">
        <v>147</v>
      </c>
      <c r="C11" s="6" t="s">
        <v>148</v>
      </c>
      <c r="D11" s="5" t="s">
        <v>149</v>
      </c>
      <c r="E11" s="5" t="s">
        <v>33</v>
      </c>
      <c r="F11" s="6" t="s">
        <v>150</v>
      </c>
      <c r="G11" s="6" t="s">
        <v>151</v>
      </c>
      <c r="H11" s="6" t="s">
        <v>36</v>
      </c>
      <c r="I11" s="6" t="s">
        <v>152</v>
      </c>
      <c r="J11" s="6" t="s">
        <v>153</v>
      </c>
      <c r="K11" s="6" t="s">
        <v>154</v>
      </c>
      <c r="L11" s="6">
        <f>59%</f>
        <v>0.59</v>
      </c>
      <c r="M11" s="6" t="s">
        <v>155</v>
      </c>
      <c r="N11" s="6">
        <f>59%</f>
        <v>0.59</v>
      </c>
      <c r="O11" s="6" t="s">
        <v>156</v>
      </c>
      <c r="P11" s="6" t="s">
        <v>157</v>
      </c>
      <c r="Q11" s="6">
        <f>4.2%</f>
        <v>4.2000000000000003E-2</v>
      </c>
      <c r="R11" s="6" t="s">
        <v>158</v>
      </c>
      <c r="S11" s="6">
        <v>28</v>
      </c>
      <c r="T11" s="6" t="s">
        <v>159</v>
      </c>
      <c r="U11" s="6">
        <f>69%</f>
        <v>0.69</v>
      </c>
      <c r="V11" s="6"/>
      <c r="W11" s="6"/>
      <c r="X11" s="6"/>
      <c r="Y11" s="6"/>
      <c r="Z11" s="6"/>
      <c r="AA11" s="6"/>
      <c r="AB11" s="6"/>
      <c r="AC11" s="6"/>
      <c r="AD11" s="7"/>
    </row>
    <row r="12" spans="1:30" ht="15.75" customHeight="1" x14ac:dyDescent="0.3">
      <c r="A12" s="4">
        <v>256</v>
      </c>
      <c r="B12" s="5" t="s">
        <v>160</v>
      </c>
      <c r="C12" s="6" t="s">
        <v>72</v>
      </c>
      <c r="D12" s="5" t="s">
        <v>161</v>
      </c>
      <c r="E12" s="5" t="s">
        <v>162</v>
      </c>
      <c r="F12" s="6" t="s">
        <v>163</v>
      </c>
      <c r="G12" s="6" t="s">
        <v>164</v>
      </c>
      <c r="H12" s="6" t="s">
        <v>36</v>
      </c>
      <c r="I12" s="6" t="s">
        <v>165</v>
      </c>
      <c r="J12" s="6" t="s">
        <v>166</v>
      </c>
      <c r="K12" s="6" t="s">
        <v>167</v>
      </c>
      <c r="L12" s="6">
        <f>81%</f>
        <v>0.81</v>
      </c>
      <c r="M12" s="6" t="s">
        <v>168</v>
      </c>
      <c r="N12" s="6">
        <f>81%</f>
        <v>0.81</v>
      </c>
      <c r="O12" s="6" t="s">
        <v>169</v>
      </c>
      <c r="P12" s="6" t="s">
        <v>170</v>
      </c>
      <c r="Q12" s="6">
        <f>0.011</f>
        <v>1.0999999999999999E-2</v>
      </c>
      <c r="R12" s="6">
        <v>209</v>
      </c>
      <c r="S12" s="6">
        <v>1</v>
      </c>
      <c r="T12" s="6" t="s">
        <v>171</v>
      </c>
      <c r="U12" s="6">
        <f>64%</f>
        <v>0.64</v>
      </c>
      <c r="V12" s="6"/>
      <c r="W12" s="6"/>
      <c r="X12" s="6"/>
      <c r="Y12" s="6"/>
      <c r="Z12" s="6"/>
      <c r="AA12" s="6"/>
      <c r="AB12" s="6"/>
      <c r="AC12" s="6"/>
      <c r="AD12" s="7"/>
    </row>
    <row r="13" spans="1:30" ht="15.75" customHeight="1" x14ac:dyDescent="0.3">
      <c r="A13" s="4">
        <v>257</v>
      </c>
      <c r="B13" s="5" t="s">
        <v>172</v>
      </c>
      <c r="C13" s="6" t="s">
        <v>173</v>
      </c>
      <c r="D13" s="5" t="s">
        <v>174</v>
      </c>
      <c r="E13" s="5" t="s">
        <v>48</v>
      </c>
      <c r="F13" s="6" t="s">
        <v>175</v>
      </c>
      <c r="G13" s="6" t="s">
        <v>176</v>
      </c>
      <c r="H13" s="6" t="s">
        <v>36</v>
      </c>
      <c r="I13" s="8">
        <v>-0.41</v>
      </c>
      <c r="J13" s="6" t="s">
        <v>177</v>
      </c>
      <c r="K13" s="6" t="s">
        <v>178</v>
      </c>
      <c r="L13" s="6">
        <f>38%</f>
        <v>0.38</v>
      </c>
      <c r="M13" s="6" t="s">
        <v>179</v>
      </c>
      <c r="N13" s="6">
        <f>38%</f>
        <v>0.38</v>
      </c>
      <c r="O13" s="6" t="s">
        <v>180</v>
      </c>
      <c r="P13" s="6" t="s">
        <v>181</v>
      </c>
      <c r="Q13" s="6">
        <f>0.0068</f>
        <v>6.7999999999999996E-3</v>
      </c>
      <c r="R13" s="6" t="s">
        <v>182</v>
      </c>
      <c r="S13" s="6">
        <v>45</v>
      </c>
      <c r="T13" s="6" t="s">
        <v>183</v>
      </c>
      <c r="U13" s="8">
        <v>-0.44</v>
      </c>
      <c r="V13" s="6"/>
      <c r="W13" s="6"/>
      <c r="X13" s="6"/>
      <c r="Y13" s="6"/>
      <c r="Z13" s="6"/>
      <c r="AA13" s="6"/>
      <c r="AB13" s="6"/>
      <c r="AC13" s="6"/>
      <c r="AD13" s="7"/>
    </row>
    <row r="14" spans="1:30" ht="15.75" customHeight="1" x14ac:dyDescent="0.3">
      <c r="A14" s="4">
        <v>258</v>
      </c>
      <c r="B14" s="5" t="s">
        <v>184</v>
      </c>
      <c r="C14" s="6" t="s">
        <v>185</v>
      </c>
      <c r="D14" s="5" t="s">
        <v>186</v>
      </c>
      <c r="E14" s="5" t="s">
        <v>48</v>
      </c>
      <c r="F14" s="6" t="s">
        <v>187</v>
      </c>
      <c r="G14" s="6" t="s">
        <v>188</v>
      </c>
      <c r="H14" s="6" t="s">
        <v>36</v>
      </c>
      <c r="I14" s="6" t="s">
        <v>9262</v>
      </c>
      <c r="J14" s="6" t="s">
        <v>189</v>
      </c>
      <c r="K14" s="6" t="s">
        <v>190</v>
      </c>
      <c r="L14" s="6">
        <f>330%</f>
        <v>3.3</v>
      </c>
      <c r="M14" s="6" t="s">
        <v>191</v>
      </c>
      <c r="N14" s="6">
        <f>330%</f>
        <v>3.3</v>
      </c>
      <c r="O14" s="6" t="s">
        <v>192</v>
      </c>
      <c r="P14" s="6" t="s">
        <v>193</v>
      </c>
      <c r="Q14" s="6">
        <f>0.011</f>
        <v>1.0999999999999999E-2</v>
      </c>
      <c r="R14" s="6">
        <v>519</v>
      </c>
      <c r="S14" s="6">
        <v>9</v>
      </c>
      <c r="T14" s="6">
        <v>949</v>
      </c>
      <c r="U14" s="6">
        <f>180%</f>
        <v>1.8</v>
      </c>
      <c r="V14" s="6"/>
      <c r="W14" s="6"/>
      <c r="X14" s="6"/>
      <c r="Y14" s="6"/>
      <c r="Z14" s="6"/>
      <c r="AA14" s="6"/>
      <c r="AB14" s="6"/>
      <c r="AC14" s="6"/>
      <c r="AD14" s="7"/>
    </row>
    <row r="15" spans="1:30" ht="15.75" customHeight="1" x14ac:dyDescent="0.3">
      <c r="A15" s="4">
        <v>259</v>
      </c>
      <c r="B15" s="5" t="s">
        <v>194</v>
      </c>
      <c r="C15" s="6" t="s">
        <v>72</v>
      </c>
      <c r="D15" s="5" t="s">
        <v>195</v>
      </c>
      <c r="E15" s="5" t="s">
        <v>196</v>
      </c>
      <c r="F15" s="6" t="s">
        <v>197</v>
      </c>
      <c r="G15" s="6" t="s">
        <v>198</v>
      </c>
      <c r="H15" s="6" t="s">
        <v>36</v>
      </c>
      <c r="I15" s="8">
        <v>-0.36</v>
      </c>
      <c r="J15" s="6" t="s">
        <v>199</v>
      </c>
      <c r="K15" s="6" t="s">
        <v>200</v>
      </c>
      <c r="L15" s="6" t="s">
        <v>201</v>
      </c>
      <c r="M15" s="6" t="s">
        <v>202</v>
      </c>
      <c r="N15" s="6" t="s">
        <v>201</v>
      </c>
      <c r="O15" s="6" t="s">
        <v>203</v>
      </c>
      <c r="P15" s="6" t="s">
        <v>204</v>
      </c>
      <c r="Q15" s="6">
        <f>0.011</f>
        <v>1.0999999999999999E-2</v>
      </c>
      <c r="R15" s="6" t="s">
        <v>205</v>
      </c>
      <c r="S15" s="6">
        <v>3</v>
      </c>
      <c r="T15" s="6">
        <v>299</v>
      </c>
      <c r="U15" s="6" t="s">
        <v>9262</v>
      </c>
      <c r="V15" s="6"/>
      <c r="W15" s="6"/>
      <c r="X15" s="6"/>
      <c r="Y15" s="6"/>
      <c r="Z15" s="6"/>
      <c r="AA15" s="6"/>
      <c r="AB15" s="6"/>
      <c r="AC15" s="6"/>
      <c r="AD15" s="7"/>
    </row>
    <row r="16" spans="1:30" ht="15.75" customHeight="1" x14ac:dyDescent="0.3">
      <c r="A16" s="4">
        <v>260</v>
      </c>
      <c r="B16" s="5" t="s">
        <v>206</v>
      </c>
      <c r="C16" s="6" t="s">
        <v>173</v>
      </c>
      <c r="D16" s="5" t="s">
        <v>207</v>
      </c>
      <c r="E16" s="5" t="s">
        <v>162</v>
      </c>
      <c r="F16" s="6" t="s">
        <v>208</v>
      </c>
      <c r="G16" s="6" t="s">
        <v>209</v>
      </c>
      <c r="H16" s="6" t="s">
        <v>36</v>
      </c>
      <c r="I16" s="6" t="s">
        <v>210</v>
      </c>
      <c r="J16" s="6" t="s">
        <v>211</v>
      </c>
      <c r="K16" s="6" t="s">
        <v>212</v>
      </c>
      <c r="L16" s="6">
        <f>0.52%</f>
        <v>5.1999999999999998E-3</v>
      </c>
      <c r="M16" s="6" t="s">
        <v>213</v>
      </c>
      <c r="N16" s="6">
        <f>0.52%</f>
        <v>5.1999999999999998E-3</v>
      </c>
      <c r="O16" s="6" t="s">
        <v>214</v>
      </c>
      <c r="P16" s="6" t="s">
        <v>215</v>
      </c>
      <c r="Q16" s="6">
        <f>44%</f>
        <v>0.44</v>
      </c>
      <c r="R16" s="6" t="s">
        <v>216</v>
      </c>
      <c r="S16" s="6">
        <v>22</v>
      </c>
      <c r="T16" s="6">
        <v>569</v>
      </c>
      <c r="U16" s="6" t="s">
        <v>217</v>
      </c>
      <c r="V16" s="6"/>
      <c r="W16" s="6"/>
      <c r="X16" s="6"/>
      <c r="Y16" s="6"/>
      <c r="Z16" s="6"/>
      <c r="AA16" s="6"/>
      <c r="AB16" s="6"/>
      <c r="AC16" s="6"/>
      <c r="AD16" s="7"/>
    </row>
    <row r="17" spans="1:30" ht="15.75" customHeight="1" x14ac:dyDescent="0.3">
      <c r="A17" s="4">
        <v>261</v>
      </c>
      <c r="B17" s="5" t="s">
        <v>218</v>
      </c>
      <c r="C17" s="6" t="s">
        <v>219</v>
      </c>
      <c r="D17" s="5" t="s">
        <v>220</v>
      </c>
      <c r="E17" s="5" t="s">
        <v>221</v>
      </c>
      <c r="F17" s="6" t="s">
        <v>222</v>
      </c>
      <c r="G17" s="6" t="s">
        <v>223</v>
      </c>
      <c r="H17" s="6" t="s">
        <v>36</v>
      </c>
      <c r="I17" s="6" t="s">
        <v>224</v>
      </c>
      <c r="J17" s="6" t="s">
        <v>225</v>
      </c>
      <c r="K17" s="6" t="s">
        <v>226</v>
      </c>
      <c r="L17" s="8">
        <v>-0.21</v>
      </c>
      <c r="M17" s="6" t="s">
        <v>227</v>
      </c>
      <c r="N17" s="8">
        <v>-0.21</v>
      </c>
      <c r="O17" s="6" t="s">
        <v>228</v>
      </c>
      <c r="P17" s="6" t="s">
        <v>229</v>
      </c>
      <c r="Q17" s="8">
        <v>-0.46</v>
      </c>
      <c r="R17" s="6" t="s">
        <v>230</v>
      </c>
      <c r="S17" s="6">
        <v>59</v>
      </c>
      <c r="T17" s="6">
        <v>987</v>
      </c>
      <c r="U17" s="8">
        <v>-0.45</v>
      </c>
      <c r="V17" s="6"/>
      <c r="W17" s="6"/>
      <c r="X17" s="6"/>
      <c r="Y17" s="6"/>
      <c r="Z17" s="6"/>
      <c r="AA17" s="6"/>
      <c r="AB17" s="6"/>
      <c r="AC17" s="6"/>
      <c r="AD17" s="7"/>
    </row>
    <row r="18" spans="1:30" ht="15.75" customHeight="1" x14ac:dyDescent="0.3">
      <c r="A18" s="4">
        <v>262</v>
      </c>
      <c r="B18" s="5" t="s">
        <v>231</v>
      </c>
      <c r="C18" s="6" t="s">
        <v>102</v>
      </c>
      <c r="D18" s="5" t="s">
        <v>232</v>
      </c>
      <c r="E18" s="5" t="s">
        <v>48</v>
      </c>
      <c r="F18" s="6" t="s">
        <v>233</v>
      </c>
      <c r="G18" s="6" t="s">
        <v>234</v>
      </c>
      <c r="H18" s="6" t="s">
        <v>36</v>
      </c>
      <c r="I18" s="6" t="s">
        <v>235</v>
      </c>
      <c r="J18" s="6" t="s">
        <v>236</v>
      </c>
      <c r="K18" s="6" t="s">
        <v>237</v>
      </c>
      <c r="L18" s="6" t="s">
        <v>238</v>
      </c>
      <c r="M18" s="6" t="s">
        <v>239</v>
      </c>
      <c r="N18" s="6" t="s">
        <v>238</v>
      </c>
      <c r="O18" s="6" t="s">
        <v>240</v>
      </c>
      <c r="P18" s="6" t="s">
        <v>241</v>
      </c>
      <c r="Q18" s="8">
        <v>-0.13</v>
      </c>
      <c r="R18" s="6" t="s">
        <v>242</v>
      </c>
      <c r="S18" s="6">
        <v>70</v>
      </c>
      <c r="T18" s="6">
        <v>807</v>
      </c>
      <c r="U18" s="8">
        <v>-0.13</v>
      </c>
      <c r="V18" s="5" t="s">
        <v>243</v>
      </c>
      <c r="W18" s="5" t="s">
        <v>244</v>
      </c>
      <c r="X18" s="6"/>
      <c r="Y18" s="6"/>
      <c r="Z18" s="6"/>
      <c r="AA18" s="6"/>
      <c r="AB18" s="6"/>
      <c r="AC18" s="6"/>
      <c r="AD18" s="7"/>
    </row>
    <row r="19" spans="1:30" ht="15.75" customHeight="1" x14ac:dyDescent="0.3">
      <c r="A19" s="4">
        <v>263</v>
      </c>
      <c r="B19" s="5" t="s">
        <v>245</v>
      </c>
      <c r="C19" s="6" t="s">
        <v>60</v>
      </c>
      <c r="D19" s="5" t="s">
        <v>246</v>
      </c>
      <c r="E19" s="5" t="s">
        <v>33</v>
      </c>
      <c r="F19" s="6" t="s">
        <v>247</v>
      </c>
      <c r="G19" s="6" t="s">
        <v>248</v>
      </c>
      <c r="H19" s="6" t="s">
        <v>36</v>
      </c>
      <c r="I19" s="6" t="s">
        <v>249</v>
      </c>
      <c r="J19" s="6" t="s">
        <v>250</v>
      </c>
      <c r="K19" s="6" t="s">
        <v>251</v>
      </c>
      <c r="L19" s="6">
        <f>30%</f>
        <v>0.3</v>
      </c>
      <c r="M19" s="6" t="s">
        <v>252</v>
      </c>
      <c r="N19" s="6">
        <f>30%</f>
        <v>0.3</v>
      </c>
      <c r="O19" s="6" t="s">
        <v>253</v>
      </c>
      <c r="P19" s="6" t="s">
        <v>254</v>
      </c>
      <c r="Q19" s="6">
        <f>170%</f>
        <v>1.7</v>
      </c>
      <c r="R19" s="6">
        <v>443</v>
      </c>
      <c r="S19" s="6">
        <v>9</v>
      </c>
      <c r="T19" s="6">
        <v>649</v>
      </c>
      <c r="U19" s="8">
        <v>-0.95</v>
      </c>
      <c r="V19" s="6"/>
      <c r="W19" s="6"/>
      <c r="X19" s="6"/>
      <c r="Y19" s="6"/>
      <c r="Z19" s="6"/>
      <c r="AA19" s="6"/>
      <c r="AB19" s="6"/>
      <c r="AC19" s="6"/>
      <c r="AD19" s="7"/>
    </row>
    <row r="20" spans="1:30" ht="15.75" customHeight="1" x14ac:dyDescent="0.3">
      <c r="A20" s="4">
        <v>264</v>
      </c>
      <c r="B20" s="5" t="s">
        <v>255</v>
      </c>
      <c r="C20" s="6" t="s">
        <v>102</v>
      </c>
      <c r="D20" s="5" t="s">
        <v>256</v>
      </c>
      <c r="E20" s="5" t="s">
        <v>33</v>
      </c>
      <c r="F20" s="6" t="s">
        <v>257</v>
      </c>
      <c r="G20" s="6" t="s">
        <v>258</v>
      </c>
      <c r="H20" s="6" t="s">
        <v>36</v>
      </c>
      <c r="I20" s="8">
        <v>-0.72</v>
      </c>
      <c r="J20" s="6" t="s">
        <v>259</v>
      </c>
      <c r="K20" s="6" t="s">
        <v>260</v>
      </c>
      <c r="L20" s="8">
        <v>-0.36</v>
      </c>
      <c r="M20" s="6" t="s">
        <v>261</v>
      </c>
      <c r="N20" s="8">
        <v>-0.36</v>
      </c>
      <c r="O20" s="6" t="s">
        <v>262</v>
      </c>
      <c r="P20" s="6" t="s">
        <v>263</v>
      </c>
      <c r="Q20" s="6">
        <f>0.0086</f>
        <v>8.6E-3</v>
      </c>
      <c r="R20" s="6" t="s">
        <v>264</v>
      </c>
      <c r="S20" s="6">
        <v>7</v>
      </c>
      <c r="T20" s="6" t="s">
        <v>265</v>
      </c>
      <c r="U20" s="6">
        <f>7.9%</f>
        <v>7.9000000000000001E-2</v>
      </c>
      <c r="V20" s="6"/>
      <c r="W20" s="6"/>
      <c r="X20" s="6"/>
      <c r="Y20" s="6"/>
      <c r="Z20" s="6"/>
      <c r="AA20" s="6"/>
      <c r="AB20" s="6"/>
      <c r="AC20" s="6"/>
      <c r="AD20" s="7"/>
    </row>
    <row r="21" spans="1:30" ht="15.75" customHeight="1" x14ac:dyDescent="0.3">
      <c r="A21" s="4">
        <v>265</v>
      </c>
      <c r="B21" s="5" t="s">
        <v>266</v>
      </c>
      <c r="C21" s="6" t="s">
        <v>267</v>
      </c>
      <c r="D21" s="5" t="s">
        <v>268</v>
      </c>
      <c r="E21" s="5" t="s">
        <v>33</v>
      </c>
      <c r="F21" s="6" t="s">
        <v>269</v>
      </c>
      <c r="G21" s="6" t="s">
        <v>270</v>
      </c>
      <c r="H21" s="6" t="s">
        <v>36</v>
      </c>
      <c r="I21" s="6" t="s">
        <v>271</v>
      </c>
      <c r="J21" s="6" t="s">
        <v>272</v>
      </c>
      <c r="K21" s="6" t="s">
        <v>273</v>
      </c>
      <c r="L21" s="6">
        <f>26%</f>
        <v>0.26</v>
      </c>
      <c r="M21" s="6" t="s">
        <v>274</v>
      </c>
      <c r="N21" s="6">
        <f>26%</f>
        <v>0.26</v>
      </c>
      <c r="O21" s="6" t="s">
        <v>275</v>
      </c>
      <c r="P21" s="6" t="s">
        <v>276</v>
      </c>
      <c r="Q21" s="6">
        <f>8.4%</f>
        <v>8.4000000000000005E-2</v>
      </c>
      <c r="R21" s="6" t="s">
        <v>277</v>
      </c>
      <c r="S21" s="6">
        <v>49</v>
      </c>
      <c r="T21" s="6" t="s">
        <v>278</v>
      </c>
      <c r="U21" s="8">
        <v>-0.8</v>
      </c>
      <c r="V21" s="6"/>
      <c r="W21" s="6"/>
      <c r="X21" s="6"/>
      <c r="Y21" s="6"/>
      <c r="Z21" s="6"/>
      <c r="AA21" s="6"/>
      <c r="AB21" s="6"/>
      <c r="AC21" s="6"/>
      <c r="AD21" s="7"/>
    </row>
    <row r="22" spans="1:30" ht="15.75" customHeight="1" x14ac:dyDescent="0.3">
      <c r="A22" s="4">
        <v>266</v>
      </c>
      <c r="B22" s="5" t="s">
        <v>279</v>
      </c>
      <c r="C22" s="6" t="s">
        <v>102</v>
      </c>
      <c r="D22" s="5" t="s">
        <v>280</v>
      </c>
      <c r="E22" s="5" t="s">
        <v>33</v>
      </c>
      <c r="F22" s="6" t="s">
        <v>281</v>
      </c>
      <c r="G22" s="6" t="s">
        <v>282</v>
      </c>
      <c r="H22" s="6" t="s">
        <v>36</v>
      </c>
      <c r="I22" s="6" t="s">
        <v>283</v>
      </c>
      <c r="J22" s="6" t="s">
        <v>284</v>
      </c>
      <c r="K22" s="6" t="s">
        <v>285</v>
      </c>
      <c r="L22" s="6">
        <f>1.6%</f>
        <v>1.6E-2</v>
      </c>
      <c r="M22" s="6" t="s">
        <v>286</v>
      </c>
      <c r="N22" s="6">
        <f>1.6%</f>
        <v>1.6E-2</v>
      </c>
      <c r="O22" s="6" t="s">
        <v>287</v>
      </c>
      <c r="P22" s="6" t="s">
        <v>288</v>
      </c>
      <c r="Q22" s="8">
        <v>-0.85</v>
      </c>
      <c r="R22" s="6">
        <v>553</v>
      </c>
      <c r="S22" s="6">
        <v>11</v>
      </c>
      <c r="T22" s="6" t="s">
        <v>289</v>
      </c>
      <c r="U22" s="8">
        <v>-0.85</v>
      </c>
      <c r="V22" s="6"/>
      <c r="W22" s="6"/>
      <c r="X22" s="6"/>
      <c r="Y22" s="6"/>
      <c r="Z22" s="6"/>
      <c r="AA22" s="6"/>
      <c r="AB22" s="6"/>
      <c r="AC22" s="6"/>
      <c r="AD22" s="7"/>
    </row>
    <row r="23" spans="1:30" ht="15.75" customHeight="1" x14ac:dyDescent="0.3">
      <c r="A23" s="4">
        <v>267</v>
      </c>
      <c r="B23" s="5" t="s">
        <v>290</v>
      </c>
      <c r="C23" s="6" t="s">
        <v>291</v>
      </c>
      <c r="D23" s="5" t="s">
        <v>292</v>
      </c>
      <c r="E23" s="5" t="s">
        <v>48</v>
      </c>
      <c r="F23" s="6" t="s">
        <v>293</v>
      </c>
      <c r="G23" s="6" t="s">
        <v>294</v>
      </c>
      <c r="H23" s="6" t="s">
        <v>36</v>
      </c>
      <c r="I23" s="6" t="s">
        <v>295</v>
      </c>
      <c r="J23" s="6" t="s">
        <v>296</v>
      </c>
      <c r="K23" s="6" t="s">
        <v>297</v>
      </c>
      <c r="L23" s="8">
        <v>-0.18</v>
      </c>
      <c r="M23" s="6" t="s">
        <v>298</v>
      </c>
      <c r="N23" s="8">
        <v>-0.18</v>
      </c>
      <c r="O23" s="6" t="s">
        <v>299</v>
      </c>
      <c r="P23" s="6" t="s">
        <v>300</v>
      </c>
      <c r="Q23" s="8">
        <v>-0.54</v>
      </c>
      <c r="R23" s="6" t="s">
        <v>301</v>
      </c>
      <c r="S23" s="6">
        <v>128</v>
      </c>
      <c r="T23" s="6" t="s">
        <v>302</v>
      </c>
      <c r="U23" s="8">
        <v>-0.59</v>
      </c>
      <c r="V23" s="6"/>
      <c r="W23" s="6"/>
      <c r="X23" s="6"/>
      <c r="Y23" s="6"/>
      <c r="Z23" s="6"/>
      <c r="AA23" s="6"/>
      <c r="AB23" s="6"/>
      <c r="AC23" s="6"/>
      <c r="AD23" s="7"/>
    </row>
    <row r="24" spans="1:30" ht="15.75" customHeight="1" x14ac:dyDescent="0.3">
      <c r="A24" s="4">
        <v>268</v>
      </c>
      <c r="B24" s="5" t="s">
        <v>303</v>
      </c>
      <c r="C24" s="6" t="s">
        <v>304</v>
      </c>
      <c r="D24" s="5" t="s">
        <v>305</v>
      </c>
      <c r="E24" s="5" t="s">
        <v>48</v>
      </c>
      <c r="F24" s="6" t="s">
        <v>306</v>
      </c>
      <c r="G24" s="6" t="s">
        <v>307</v>
      </c>
      <c r="H24" s="6" t="s">
        <v>36</v>
      </c>
      <c r="I24" s="6" t="s">
        <v>308</v>
      </c>
      <c r="J24" s="6" t="s">
        <v>309</v>
      </c>
      <c r="K24" s="6" t="s">
        <v>310</v>
      </c>
      <c r="L24" s="8">
        <v>-0.16</v>
      </c>
      <c r="M24" s="6" t="s">
        <v>311</v>
      </c>
      <c r="N24" s="8">
        <v>-0.16</v>
      </c>
      <c r="O24" s="6" t="s">
        <v>312</v>
      </c>
      <c r="P24" s="6" t="s">
        <v>313</v>
      </c>
      <c r="Q24" s="6">
        <f>62%</f>
        <v>0.62</v>
      </c>
      <c r="R24" s="6">
        <v>882</v>
      </c>
      <c r="S24" s="6">
        <v>24</v>
      </c>
      <c r="T24" s="6" t="s">
        <v>314</v>
      </c>
      <c r="U24" s="6" t="s">
        <v>217</v>
      </c>
      <c r="V24" s="5" t="s">
        <v>315</v>
      </c>
      <c r="W24" s="5" t="s">
        <v>316</v>
      </c>
      <c r="X24" s="6"/>
      <c r="Y24" s="6"/>
      <c r="Z24" s="6"/>
      <c r="AA24" s="6"/>
      <c r="AB24" s="6"/>
      <c r="AC24" s="6"/>
      <c r="AD24" s="7"/>
    </row>
    <row r="25" spans="1:30" ht="15.75" customHeight="1" x14ac:dyDescent="0.3">
      <c r="A25" s="4">
        <v>269</v>
      </c>
      <c r="B25" s="5" t="s">
        <v>317</v>
      </c>
      <c r="C25" s="6" t="s">
        <v>219</v>
      </c>
      <c r="D25" s="5" t="s">
        <v>318</v>
      </c>
      <c r="E25" s="5" t="s">
        <v>33</v>
      </c>
      <c r="F25" s="6" t="s">
        <v>319</v>
      </c>
      <c r="G25" s="6" t="s">
        <v>320</v>
      </c>
      <c r="H25" s="6" t="s">
        <v>36</v>
      </c>
      <c r="I25" s="6" t="s">
        <v>152</v>
      </c>
      <c r="J25" s="6" t="s">
        <v>321</v>
      </c>
      <c r="K25" s="6" t="s">
        <v>322</v>
      </c>
      <c r="L25" s="6">
        <f>66%</f>
        <v>0.66</v>
      </c>
      <c r="M25" s="6" t="s">
        <v>323</v>
      </c>
      <c r="N25" s="6">
        <f>66%</f>
        <v>0.66</v>
      </c>
      <c r="O25" s="6" t="s">
        <v>324</v>
      </c>
      <c r="P25" s="6" t="s">
        <v>325</v>
      </c>
      <c r="Q25" s="6">
        <f>310%</f>
        <v>3.1</v>
      </c>
      <c r="R25" s="6" t="s">
        <v>326</v>
      </c>
      <c r="S25" s="6">
        <v>45</v>
      </c>
      <c r="T25" s="6" t="s">
        <v>327</v>
      </c>
      <c r="U25" s="6">
        <f>0.42%</f>
        <v>4.1999999999999997E-3</v>
      </c>
      <c r="V25" s="6"/>
      <c r="W25" s="6"/>
      <c r="X25" s="6"/>
      <c r="Y25" s="6"/>
      <c r="Z25" s="6"/>
      <c r="AA25" s="6"/>
      <c r="AB25" s="6"/>
      <c r="AC25" s="6"/>
      <c r="AD25" s="7"/>
    </row>
    <row r="26" spans="1:30" ht="15.75" customHeight="1" x14ac:dyDescent="0.3">
      <c r="A26" s="4">
        <v>270</v>
      </c>
      <c r="B26" s="5" t="s">
        <v>328</v>
      </c>
      <c r="C26" s="6" t="s">
        <v>102</v>
      </c>
      <c r="D26" s="5" t="s">
        <v>329</v>
      </c>
      <c r="E26" s="5" t="s">
        <v>48</v>
      </c>
      <c r="F26" s="6" t="s">
        <v>330</v>
      </c>
      <c r="G26" s="6" t="s">
        <v>331</v>
      </c>
      <c r="H26" s="6" t="s">
        <v>36</v>
      </c>
      <c r="I26" s="6" t="s">
        <v>152</v>
      </c>
      <c r="J26" s="6" t="s">
        <v>332</v>
      </c>
      <c r="K26" s="6" t="s">
        <v>333</v>
      </c>
      <c r="L26" s="6">
        <f>0.97%</f>
        <v>9.7000000000000003E-3</v>
      </c>
      <c r="M26" s="6" t="s">
        <v>334</v>
      </c>
      <c r="N26" s="6">
        <f>0.97%</f>
        <v>9.7000000000000003E-3</v>
      </c>
      <c r="O26" s="6" t="s">
        <v>335</v>
      </c>
      <c r="P26" s="6" t="s">
        <v>336</v>
      </c>
      <c r="Q26" s="6"/>
      <c r="R26" s="6" t="s">
        <v>337</v>
      </c>
      <c r="S26" s="6">
        <v>45</v>
      </c>
      <c r="T26" s="6" t="s">
        <v>338</v>
      </c>
      <c r="U26" s="8">
        <v>-0.61</v>
      </c>
      <c r="V26" s="6"/>
      <c r="W26" s="6"/>
      <c r="X26" s="6"/>
      <c r="Y26" s="6"/>
      <c r="Z26" s="6"/>
      <c r="AA26" s="6"/>
      <c r="AB26" s="6"/>
      <c r="AC26" s="6"/>
      <c r="AD26" s="7"/>
    </row>
    <row r="27" spans="1:30" ht="15.6" x14ac:dyDescent="0.3">
      <c r="A27" s="4">
        <v>271</v>
      </c>
      <c r="B27" s="5" t="s">
        <v>339</v>
      </c>
      <c r="C27" s="6" t="s">
        <v>72</v>
      </c>
      <c r="D27" s="5" t="s">
        <v>340</v>
      </c>
      <c r="E27" s="5" t="s">
        <v>33</v>
      </c>
      <c r="F27" s="6" t="s">
        <v>341</v>
      </c>
      <c r="G27" s="6" t="s">
        <v>342</v>
      </c>
      <c r="H27" s="6" t="s">
        <v>36</v>
      </c>
      <c r="I27" s="8">
        <v>-0.62</v>
      </c>
      <c r="J27" s="6" t="s">
        <v>343</v>
      </c>
      <c r="K27" s="6" t="s">
        <v>344</v>
      </c>
      <c r="L27" s="8">
        <v>-0.34</v>
      </c>
      <c r="M27" s="6" t="s">
        <v>345</v>
      </c>
      <c r="N27" s="8">
        <v>-0.34</v>
      </c>
      <c r="O27" s="6" t="s">
        <v>346</v>
      </c>
      <c r="P27" s="6" t="s">
        <v>347</v>
      </c>
      <c r="Q27" s="6">
        <f>0.0066</f>
        <v>6.6E-3</v>
      </c>
      <c r="R27" s="6">
        <v>209</v>
      </c>
      <c r="S27" s="6">
        <v>5</v>
      </c>
      <c r="T27" s="6">
        <v>372</v>
      </c>
      <c r="U27" s="8">
        <v>-0.92</v>
      </c>
      <c r="V27" s="5" t="s">
        <v>348</v>
      </c>
      <c r="W27" s="5" t="s">
        <v>349</v>
      </c>
      <c r="X27" s="6"/>
      <c r="Y27" s="6"/>
      <c r="Z27" s="6"/>
      <c r="AA27" s="6"/>
      <c r="AB27" s="6"/>
      <c r="AC27" s="6"/>
      <c r="AD27" s="7"/>
    </row>
    <row r="28" spans="1:30" ht="15.6" x14ac:dyDescent="0.3">
      <c r="A28" s="4">
        <v>272</v>
      </c>
      <c r="B28" s="5" t="s">
        <v>350</v>
      </c>
      <c r="C28" s="6" t="s">
        <v>72</v>
      </c>
      <c r="D28" s="5" t="s">
        <v>351</v>
      </c>
      <c r="E28" s="5" t="s">
        <v>33</v>
      </c>
      <c r="F28" s="6" t="s">
        <v>352</v>
      </c>
      <c r="G28" s="6" t="s">
        <v>353</v>
      </c>
      <c r="H28" s="6" t="s">
        <v>36</v>
      </c>
      <c r="I28" s="8">
        <v>-0.43</v>
      </c>
      <c r="J28" s="6" t="s">
        <v>354</v>
      </c>
      <c r="K28" s="6" t="s">
        <v>355</v>
      </c>
      <c r="L28" s="8">
        <v>-0.17</v>
      </c>
      <c r="M28" s="6" t="s">
        <v>356</v>
      </c>
      <c r="N28" s="8">
        <v>-0.17</v>
      </c>
      <c r="O28" s="6" t="s">
        <v>357</v>
      </c>
      <c r="P28" s="6" t="s">
        <v>358</v>
      </c>
      <c r="Q28" s="6">
        <f>0.0066</f>
        <v>6.6E-3</v>
      </c>
      <c r="R28" s="6" t="s">
        <v>359</v>
      </c>
      <c r="S28" s="6">
        <v>937</v>
      </c>
      <c r="T28" s="6" t="s">
        <v>360</v>
      </c>
      <c r="U28" s="6">
        <f>140%</f>
        <v>1.4</v>
      </c>
      <c r="V28" s="5" t="s">
        <v>361</v>
      </c>
      <c r="W28" s="5" t="s">
        <v>362</v>
      </c>
      <c r="X28" s="5" t="s">
        <v>363</v>
      </c>
      <c r="Y28" s="5" t="s">
        <v>364</v>
      </c>
      <c r="Z28" s="5" t="s">
        <v>365</v>
      </c>
      <c r="AA28" s="5" t="s">
        <v>362</v>
      </c>
      <c r="AB28" s="5" t="s">
        <v>366</v>
      </c>
      <c r="AC28" s="5" t="s">
        <v>367</v>
      </c>
      <c r="AD28" s="9" t="s">
        <v>368</v>
      </c>
    </row>
    <row r="29" spans="1:30" ht="15.6" x14ac:dyDescent="0.3">
      <c r="A29" s="4">
        <v>273</v>
      </c>
      <c r="B29" s="5" t="s">
        <v>369</v>
      </c>
      <c r="C29" s="6" t="s">
        <v>370</v>
      </c>
      <c r="D29" s="5" t="s">
        <v>371</v>
      </c>
      <c r="E29" s="5" t="s">
        <v>162</v>
      </c>
      <c r="F29" s="6" t="s">
        <v>372</v>
      </c>
      <c r="G29" s="6" t="s">
        <v>373</v>
      </c>
      <c r="H29" s="6" t="s">
        <v>36</v>
      </c>
      <c r="I29" s="8">
        <v>-0.22</v>
      </c>
      <c r="J29" s="6" t="s">
        <v>374</v>
      </c>
      <c r="K29" s="6" t="s">
        <v>375</v>
      </c>
      <c r="L29" s="8">
        <v>-0.32</v>
      </c>
      <c r="M29" s="6" t="s">
        <v>376</v>
      </c>
      <c r="N29" s="8">
        <v>-0.32</v>
      </c>
      <c r="O29" s="6" t="s">
        <v>377</v>
      </c>
      <c r="P29" s="6" t="s">
        <v>378</v>
      </c>
      <c r="Q29" s="6">
        <f>0.0056</f>
        <v>5.5999999999999999E-3</v>
      </c>
      <c r="R29" s="6" t="s">
        <v>379</v>
      </c>
      <c r="S29" s="6">
        <v>97</v>
      </c>
      <c r="T29" s="6">
        <v>526</v>
      </c>
      <c r="U29" s="6" t="s">
        <v>380</v>
      </c>
      <c r="V29" s="6"/>
      <c r="W29" s="6"/>
      <c r="X29" s="6"/>
      <c r="Y29" s="6"/>
      <c r="Z29" s="6"/>
      <c r="AA29" s="6"/>
      <c r="AB29" s="6"/>
      <c r="AC29" s="6"/>
      <c r="AD29" s="7"/>
    </row>
    <row r="30" spans="1:30" ht="15.6" x14ac:dyDescent="0.3">
      <c r="A30" s="4">
        <v>274</v>
      </c>
      <c r="B30" s="5" t="s">
        <v>381</v>
      </c>
      <c r="C30" s="6" t="s">
        <v>31</v>
      </c>
      <c r="D30" s="5" t="s">
        <v>382</v>
      </c>
      <c r="E30" s="5" t="s">
        <v>48</v>
      </c>
      <c r="F30" s="6" t="s">
        <v>383</v>
      </c>
      <c r="G30" s="6" t="s">
        <v>384</v>
      </c>
      <c r="H30" s="6" t="s">
        <v>36</v>
      </c>
      <c r="I30" s="8">
        <v>-0.89</v>
      </c>
      <c r="J30" s="6" t="s">
        <v>385</v>
      </c>
      <c r="K30" s="6" t="s">
        <v>386</v>
      </c>
      <c r="L30" s="6" t="s">
        <v>387</v>
      </c>
      <c r="M30" s="6" t="s">
        <v>388</v>
      </c>
      <c r="N30" s="6" t="s">
        <v>387</v>
      </c>
      <c r="O30" s="6" t="s">
        <v>389</v>
      </c>
      <c r="P30" s="6" t="s">
        <v>390</v>
      </c>
      <c r="Q30" s="6">
        <f>0.0056</f>
        <v>5.5999999999999999E-3</v>
      </c>
      <c r="R30" s="6" t="s">
        <v>391</v>
      </c>
      <c r="S30" s="6">
        <v>50</v>
      </c>
      <c r="T30" s="6" t="s">
        <v>392</v>
      </c>
      <c r="U30" s="8">
        <v>-0.48</v>
      </c>
      <c r="V30" s="6"/>
      <c r="W30" s="6"/>
      <c r="X30" s="6"/>
      <c r="Y30" s="6"/>
      <c r="Z30" s="6"/>
      <c r="AA30" s="6"/>
      <c r="AB30" s="6"/>
      <c r="AC30" s="6"/>
      <c r="AD30" s="7"/>
    </row>
    <row r="31" spans="1:30" ht="15.6" x14ac:dyDescent="0.3">
      <c r="A31" s="4">
        <v>275</v>
      </c>
      <c r="B31" s="5" t="s">
        <v>393</v>
      </c>
      <c r="C31" s="6" t="s">
        <v>72</v>
      </c>
      <c r="D31" s="5" t="s">
        <v>394</v>
      </c>
      <c r="E31" s="5" t="s">
        <v>48</v>
      </c>
      <c r="F31" s="6" t="s">
        <v>395</v>
      </c>
      <c r="G31" s="6" t="s">
        <v>396</v>
      </c>
      <c r="H31" s="6" t="s">
        <v>36</v>
      </c>
      <c r="I31" s="8">
        <v>-0.34</v>
      </c>
      <c r="J31" s="6" t="s">
        <v>397</v>
      </c>
      <c r="K31" s="6" t="s">
        <v>398</v>
      </c>
      <c r="L31" s="6" t="s">
        <v>217</v>
      </c>
      <c r="M31" s="6" t="s">
        <v>399</v>
      </c>
      <c r="N31" s="6" t="s">
        <v>400</v>
      </c>
      <c r="O31" s="6" t="s">
        <v>401</v>
      </c>
      <c r="P31" s="6" t="s">
        <v>402</v>
      </c>
      <c r="Q31" s="6">
        <f>0.0012</f>
        <v>1.1999999999999999E-3</v>
      </c>
      <c r="R31" s="6" t="s">
        <v>403</v>
      </c>
      <c r="S31" s="6">
        <v>69</v>
      </c>
      <c r="T31" s="6" t="s">
        <v>404</v>
      </c>
      <c r="U31" s="6">
        <f>34%</f>
        <v>0.34</v>
      </c>
      <c r="V31" s="6"/>
      <c r="W31" s="6"/>
      <c r="X31" s="6"/>
      <c r="Y31" s="6"/>
      <c r="Z31" s="6"/>
      <c r="AA31" s="6"/>
      <c r="AB31" s="6"/>
      <c r="AC31" s="6"/>
      <c r="AD31" s="7"/>
    </row>
    <row r="32" spans="1:30" ht="15.6" x14ac:dyDescent="0.3">
      <c r="A32" s="4">
        <v>276</v>
      </c>
      <c r="B32" s="5" t="s">
        <v>405</v>
      </c>
      <c r="C32" s="6" t="s">
        <v>406</v>
      </c>
      <c r="D32" s="5" t="s">
        <v>407</v>
      </c>
      <c r="E32" s="5" t="s">
        <v>48</v>
      </c>
      <c r="F32" s="6" t="s">
        <v>408</v>
      </c>
      <c r="G32" s="6" t="s">
        <v>409</v>
      </c>
      <c r="H32" s="6" t="s">
        <v>36</v>
      </c>
      <c r="I32" s="6" t="s">
        <v>410</v>
      </c>
      <c r="J32" s="6" t="s">
        <v>411</v>
      </c>
      <c r="K32" s="6" t="s">
        <v>412</v>
      </c>
      <c r="L32" s="8">
        <v>-0.14000000000000001</v>
      </c>
      <c r="M32" s="6" t="s">
        <v>413</v>
      </c>
      <c r="N32" s="8">
        <v>-0.14000000000000001</v>
      </c>
      <c r="O32" s="6" t="s">
        <v>414</v>
      </c>
      <c r="P32" s="6" t="s">
        <v>415</v>
      </c>
      <c r="Q32" s="6" t="s">
        <v>217</v>
      </c>
      <c r="R32" s="6">
        <v>3</v>
      </c>
      <c r="S32" s="6">
        <v>0</v>
      </c>
      <c r="T32" s="6" t="s">
        <v>416</v>
      </c>
      <c r="U32" s="6" t="s">
        <v>217</v>
      </c>
      <c r="V32" s="6"/>
      <c r="W32" s="6"/>
      <c r="X32" s="6"/>
      <c r="Y32" s="6"/>
      <c r="Z32" s="6"/>
      <c r="AA32" s="6"/>
      <c r="AB32" s="6"/>
      <c r="AC32" s="6"/>
      <c r="AD32" s="7"/>
    </row>
    <row r="33" spans="1:30" ht="15.6" x14ac:dyDescent="0.3">
      <c r="A33" s="4">
        <v>277</v>
      </c>
      <c r="B33" s="5" t="s">
        <v>417</v>
      </c>
      <c r="C33" s="6" t="s">
        <v>148</v>
      </c>
      <c r="D33" s="5" t="s">
        <v>418</v>
      </c>
      <c r="E33" s="5" t="s">
        <v>48</v>
      </c>
      <c r="F33" s="6" t="s">
        <v>419</v>
      </c>
      <c r="G33" s="6" t="s">
        <v>420</v>
      </c>
      <c r="H33" s="6" t="s">
        <v>36</v>
      </c>
      <c r="I33" s="8">
        <v>-0.89</v>
      </c>
      <c r="J33" s="6" t="s">
        <v>421</v>
      </c>
      <c r="K33" s="6" t="s">
        <v>422</v>
      </c>
      <c r="L33" s="8">
        <v>-0.55000000000000004</v>
      </c>
      <c r="M33" s="6" t="s">
        <v>423</v>
      </c>
      <c r="N33" s="8">
        <v>-0.55000000000000004</v>
      </c>
      <c r="O33" s="6" t="s">
        <v>424</v>
      </c>
      <c r="P33" s="6" t="s">
        <v>425</v>
      </c>
      <c r="Q33" s="6">
        <f>0.0056</f>
        <v>5.5999999999999999E-3</v>
      </c>
      <c r="R33" s="6">
        <v>779</v>
      </c>
      <c r="S33" s="6">
        <v>25</v>
      </c>
      <c r="T33" s="6" t="s">
        <v>426</v>
      </c>
      <c r="U33" s="8">
        <v>-0.95</v>
      </c>
      <c r="V33" s="6"/>
      <c r="W33" s="6"/>
      <c r="X33" s="6"/>
      <c r="Y33" s="6"/>
      <c r="Z33" s="6"/>
      <c r="AA33" s="6"/>
      <c r="AB33" s="6"/>
      <c r="AC33" s="6"/>
      <c r="AD33" s="7"/>
    </row>
    <row r="34" spans="1:30" ht="15.6" x14ac:dyDescent="0.3">
      <c r="A34" s="4">
        <v>278</v>
      </c>
      <c r="B34" s="5" t="s">
        <v>427</v>
      </c>
      <c r="C34" s="6" t="s">
        <v>291</v>
      </c>
      <c r="D34" s="5" t="s">
        <v>428</v>
      </c>
      <c r="E34" s="5" t="s">
        <v>48</v>
      </c>
      <c r="F34" s="6" t="s">
        <v>429</v>
      </c>
      <c r="G34" s="6" t="s">
        <v>430</v>
      </c>
      <c r="H34" s="6" t="s">
        <v>36</v>
      </c>
      <c r="I34" s="8">
        <v>-0.28999999999999998</v>
      </c>
      <c r="J34" s="6" t="s">
        <v>431</v>
      </c>
      <c r="K34" s="6" t="s">
        <v>432</v>
      </c>
      <c r="L34" s="6" t="s">
        <v>433</v>
      </c>
      <c r="M34" s="6" t="s">
        <v>434</v>
      </c>
      <c r="N34" s="6" t="s">
        <v>433</v>
      </c>
      <c r="O34" s="6" t="s">
        <v>435</v>
      </c>
      <c r="P34" s="6" t="s">
        <v>436</v>
      </c>
      <c r="Q34" s="6">
        <f>0.0056</f>
        <v>5.5999999999999999E-3</v>
      </c>
      <c r="R34" s="6">
        <v>608</v>
      </c>
      <c r="S34" s="6">
        <v>7</v>
      </c>
      <c r="T34" s="6" t="s">
        <v>437</v>
      </c>
      <c r="U34" s="6">
        <f>1.5%</f>
        <v>1.4999999999999999E-2</v>
      </c>
      <c r="V34" s="6"/>
      <c r="W34" s="6"/>
      <c r="X34" s="6"/>
      <c r="Y34" s="6"/>
      <c r="Z34" s="6"/>
      <c r="AA34" s="6"/>
      <c r="AB34" s="6"/>
      <c r="AC34" s="6"/>
      <c r="AD34" s="7"/>
    </row>
    <row r="35" spans="1:30" ht="15.6" x14ac:dyDescent="0.3">
      <c r="A35" s="4">
        <v>279</v>
      </c>
      <c r="B35" s="5" t="s">
        <v>438</v>
      </c>
      <c r="C35" s="6" t="s">
        <v>291</v>
      </c>
      <c r="D35" s="5" t="s">
        <v>439</v>
      </c>
      <c r="E35" s="5" t="s">
        <v>162</v>
      </c>
      <c r="F35" s="6" t="s">
        <v>440</v>
      </c>
      <c r="G35" s="6" t="s">
        <v>441</v>
      </c>
      <c r="H35" s="6" t="s">
        <v>36</v>
      </c>
      <c r="I35" s="8">
        <v>-0.34</v>
      </c>
      <c r="J35" s="6" t="s">
        <v>442</v>
      </c>
      <c r="K35" s="6" t="s">
        <v>443</v>
      </c>
      <c r="L35" s="8">
        <v>-0.11</v>
      </c>
      <c r="M35" s="6" t="s">
        <v>444</v>
      </c>
      <c r="N35" s="8">
        <v>-0.11</v>
      </c>
      <c r="O35" s="6" t="s">
        <v>445</v>
      </c>
      <c r="P35" s="6" t="s">
        <v>446</v>
      </c>
      <c r="Q35" s="6">
        <f>0.0056</f>
        <v>5.5999999999999999E-3</v>
      </c>
      <c r="R35" s="6" t="s">
        <v>447</v>
      </c>
      <c r="S35" s="6">
        <v>30</v>
      </c>
      <c r="T35" s="6" t="s">
        <v>448</v>
      </c>
      <c r="U35" s="8">
        <v>-0.12</v>
      </c>
      <c r="V35" s="6"/>
      <c r="W35" s="6"/>
      <c r="X35" s="6"/>
      <c r="Y35" s="6"/>
      <c r="Z35" s="6"/>
      <c r="AA35" s="6"/>
      <c r="AB35" s="6"/>
      <c r="AC35" s="6"/>
      <c r="AD35" s="7"/>
    </row>
    <row r="36" spans="1:30" ht="15.6" x14ac:dyDescent="0.3">
      <c r="A36" s="4">
        <v>280</v>
      </c>
      <c r="B36" s="5" t="s">
        <v>449</v>
      </c>
      <c r="C36" s="6" t="s">
        <v>267</v>
      </c>
      <c r="D36" s="5" t="s">
        <v>450</v>
      </c>
      <c r="E36" s="5" t="s">
        <v>48</v>
      </c>
      <c r="F36" s="6" t="s">
        <v>451</v>
      </c>
      <c r="G36" s="6" t="s">
        <v>452</v>
      </c>
      <c r="H36" s="6" t="s">
        <v>36</v>
      </c>
      <c r="I36" s="6" t="s">
        <v>453</v>
      </c>
      <c r="J36" s="6" t="s">
        <v>454</v>
      </c>
      <c r="K36" s="6" t="s">
        <v>455</v>
      </c>
      <c r="L36" s="8">
        <v>-0.21</v>
      </c>
      <c r="M36" s="6" t="s">
        <v>456</v>
      </c>
      <c r="N36" s="8">
        <v>-0.21</v>
      </c>
      <c r="O36" s="6" t="s">
        <v>457</v>
      </c>
      <c r="P36" s="6" t="s">
        <v>458</v>
      </c>
      <c r="Q36" s="6" t="s">
        <v>217</v>
      </c>
      <c r="R36" s="6" t="s">
        <v>459</v>
      </c>
      <c r="S36" s="6">
        <v>189</v>
      </c>
      <c r="T36" s="6" t="s">
        <v>460</v>
      </c>
      <c r="U36" s="6" t="s">
        <v>217</v>
      </c>
      <c r="V36" s="5" t="s">
        <v>461</v>
      </c>
      <c r="W36" s="5" t="s">
        <v>462</v>
      </c>
      <c r="X36" s="5" t="s">
        <v>463</v>
      </c>
      <c r="Y36" s="5" t="s">
        <v>464</v>
      </c>
      <c r="Z36" s="6"/>
      <c r="AA36" s="6"/>
      <c r="AB36" s="6"/>
      <c r="AC36" s="6"/>
      <c r="AD36" s="7"/>
    </row>
    <row r="37" spans="1:30" ht="15.6" x14ac:dyDescent="0.3">
      <c r="A37" s="4">
        <v>281</v>
      </c>
      <c r="B37" s="5" t="s">
        <v>465</v>
      </c>
      <c r="C37" s="6" t="s">
        <v>466</v>
      </c>
      <c r="D37" s="5" t="s">
        <v>467</v>
      </c>
      <c r="E37" s="5" t="s">
        <v>33</v>
      </c>
      <c r="F37" s="6" t="s">
        <v>468</v>
      </c>
      <c r="G37" s="6" t="s">
        <v>469</v>
      </c>
      <c r="H37" s="6" t="s">
        <v>36</v>
      </c>
      <c r="I37" s="6" t="s">
        <v>470</v>
      </c>
      <c r="J37" s="6" t="s">
        <v>411</v>
      </c>
      <c r="K37" s="6" t="s">
        <v>471</v>
      </c>
      <c r="L37" s="6" t="s">
        <v>472</v>
      </c>
      <c r="M37" s="6" t="s">
        <v>473</v>
      </c>
      <c r="N37" s="6" t="s">
        <v>474</v>
      </c>
      <c r="O37" s="6" t="s">
        <v>475</v>
      </c>
      <c r="P37" s="6" t="s">
        <v>476</v>
      </c>
      <c r="Q37" s="6">
        <f>650%</f>
        <v>6.5</v>
      </c>
      <c r="R37" s="6">
        <v>534</v>
      </c>
      <c r="S37" s="6">
        <v>15</v>
      </c>
      <c r="T37" s="6" t="s">
        <v>477</v>
      </c>
      <c r="U37" s="8">
        <v>-0.85</v>
      </c>
      <c r="V37" s="6"/>
      <c r="W37" s="6"/>
      <c r="X37" s="6"/>
      <c r="Y37" s="6"/>
      <c r="Z37" s="6"/>
      <c r="AA37" s="6"/>
      <c r="AB37" s="6"/>
      <c r="AC37" s="6"/>
      <c r="AD37" s="7"/>
    </row>
    <row r="38" spans="1:30" ht="15.6" x14ac:dyDescent="0.3">
      <c r="A38" s="4">
        <v>282</v>
      </c>
      <c r="B38" s="5" t="s">
        <v>478</v>
      </c>
      <c r="C38" s="6" t="s">
        <v>114</v>
      </c>
      <c r="D38" s="5" t="s">
        <v>479</v>
      </c>
      <c r="E38" s="5" t="s">
        <v>48</v>
      </c>
      <c r="F38" s="6" t="s">
        <v>480</v>
      </c>
      <c r="G38" s="6" t="s">
        <v>481</v>
      </c>
      <c r="H38" s="6" t="s">
        <v>36</v>
      </c>
      <c r="I38" s="6" t="s">
        <v>410</v>
      </c>
      <c r="J38" s="6" t="s">
        <v>482</v>
      </c>
      <c r="K38" s="6" t="s">
        <v>483</v>
      </c>
      <c r="L38" s="8">
        <v>-0.43</v>
      </c>
      <c r="M38" s="6" t="s">
        <v>484</v>
      </c>
      <c r="N38" s="8">
        <v>-0.43</v>
      </c>
      <c r="O38" s="6" t="s">
        <v>485</v>
      </c>
      <c r="P38" s="6" t="s">
        <v>486</v>
      </c>
      <c r="Q38" s="6" t="s">
        <v>217</v>
      </c>
      <c r="R38" s="6" t="s">
        <v>487</v>
      </c>
      <c r="S38" s="6">
        <v>89</v>
      </c>
      <c r="T38" s="6" t="s">
        <v>488</v>
      </c>
      <c r="U38" s="6" t="s">
        <v>217</v>
      </c>
      <c r="V38" s="6"/>
      <c r="W38" s="6"/>
      <c r="X38" s="6"/>
      <c r="Y38" s="6"/>
      <c r="Z38" s="6"/>
      <c r="AA38" s="6"/>
      <c r="AB38" s="6"/>
      <c r="AC38" s="6"/>
      <c r="AD38" s="7"/>
    </row>
    <row r="39" spans="1:30" ht="15.6" x14ac:dyDescent="0.3">
      <c r="A39" s="4">
        <v>283</v>
      </c>
      <c r="B39" s="5" t="s">
        <v>489</v>
      </c>
      <c r="C39" s="6" t="s">
        <v>102</v>
      </c>
      <c r="D39" s="5" t="s">
        <v>490</v>
      </c>
      <c r="E39" s="5" t="s">
        <v>48</v>
      </c>
      <c r="F39" s="6" t="s">
        <v>491</v>
      </c>
      <c r="G39" s="6" t="s">
        <v>492</v>
      </c>
      <c r="H39" s="6" t="s">
        <v>36</v>
      </c>
      <c r="I39" s="6" t="s">
        <v>493</v>
      </c>
      <c r="J39" s="6" t="s">
        <v>494</v>
      </c>
      <c r="K39" s="6" t="s">
        <v>495</v>
      </c>
      <c r="L39" s="8">
        <v>-0.17</v>
      </c>
      <c r="M39" s="6" t="s">
        <v>496</v>
      </c>
      <c r="N39" s="8">
        <v>-0.17</v>
      </c>
      <c r="O39" s="6" t="s">
        <v>497</v>
      </c>
      <c r="P39" s="6" t="s">
        <v>498</v>
      </c>
      <c r="Q39" s="6" t="s">
        <v>217</v>
      </c>
      <c r="R39" s="6" t="s">
        <v>499</v>
      </c>
      <c r="S39" s="6">
        <v>249</v>
      </c>
      <c r="T39" s="6" t="s">
        <v>500</v>
      </c>
      <c r="U39" s="6" t="s">
        <v>217</v>
      </c>
      <c r="V39" s="6"/>
      <c r="W39" s="6"/>
      <c r="X39" s="6"/>
      <c r="Y39" s="6"/>
      <c r="Z39" s="6"/>
      <c r="AA39" s="6"/>
      <c r="AB39" s="6"/>
      <c r="AC39" s="6"/>
      <c r="AD39" s="7"/>
    </row>
    <row r="40" spans="1:30" ht="15.6" x14ac:dyDescent="0.3">
      <c r="A40" s="4">
        <v>284</v>
      </c>
      <c r="B40" s="5" t="s">
        <v>501</v>
      </c>
      <c r="C40" s="6" t="s">
        <v>72</v>
      </c>
      <c r="D40" s="5" t="s">
        <v>502</v>
      </c>
      <c r="E40" s="5" t="s">
        <v>48</v>
      </c>
      <c r="F40" s="6" t="s">
        <v>503</v>
      </c>
      <c r="G40" s="6" t="s">
        <v>504</v>
      </c>
      <c r="H40" s="6" t="s">
        <v>36</v>
      </c>
      <c r="I40" s="6" t="s">
        <v>505</v>
      </c>
      <c r="J40" s="6" t="s">
        <v>506</v>
      </c>
      <c r="K40" s="6" t="s">
        <v>507</v>
      </c>
      <c r="L40" s="6">
        <f>140%</f>
        <v>1.4</v>
      </c>
      <c r="M40" s="6" t="s">
        <v>508</v>
      </c>
      <c r="N40" s="6">
        <f>140%</f>
        <v>1.4</v>
      </c>
      <c r="O40" s="6" t="s">
        <v>509</v>
      </c>
      <c r="P40" s="6" t="s">
        <v>510</v>
      </c>
      <c r="Q40" s="6">
        <f>0.0012</f>
        <v>1.1999999999999999E-3</v>
      </c>
      <c r="R40" s="6" t="s">
        <v>511</v>
      </c>
      <c r="S40" s="6">
        <v>133</v>
      </c>
      <c r="T40" s="6" t="s">
        <v>512</v>
      </c>
      <c r="U40" s="6" t="s">
        <v>9262</v>
      </c>
      <c r="V40" s="6"/>
      <c r="W40" s="6"/>
      <c r="X40" s="6"/>
      <c r="Y40" s="6"/>
      <c r="Z40" s="6"/>
      <c r="AA40" s="6"/>
      <c r="AB40" s="6"/>
      <c r="AC40" s="6"/>
      <c r="AD40" s="7"/>
    </row>
    <row r="41" spans="1:30" ht="15.6" x14ac:dyDescent="0.3">
      <c r="A41" s="4">
        <v>285</v>
      </c>
      <c r="B41" s="5" t="s">
        <v>513</v>
      </c>
      <c r="C41" s="6" t="s">
        <v>102</v>
      </c>
      <c r="D41" s="5" t="s">
        <v>514</v>
      </c>
      <c r="E41" s="5" t="s">
        <v>48</v>
      </c>
      <c r="F41" s="6" t="s">
        <v>515</v>
      </c>
      <c r="G41" s="6" t="s">
        <v>516</v>
      </c>
      <c r="H41" s="6" t="s">
        <v>36</v>
      </c>
      <c r="I41" s="8">
        <v>-0.38</v>
      </c>
      <c r="J41" s="6" t="s">
        <v>517</v>
      </c>
      <c r="K41" s="6" t="s">
        <v>518</v>
      </c>
      <c r="L41" s="6" t="s">
        <v>519</v>
      </c>
      <c r="M41" s="6" t="s">
        <v>520</v>
      </c>
      <c r="N41" s="6" t="s">
        <v>519</v>
      </c>
      <c r="O41" s="6" t="s">
        <v>521</v>
      </c>
      <c r="P41" s="6" t="s">
        <v>522</v>
      </c>
      <c r="Q41" s="6">
        <f>0.0012</f>
        <v>1.1999999999999999E-3</v>
      </c>
      <c r="R41" s="6" t="s">
        <v>523</v>
      </c>
      <c r="S41" s="6">
        <v>102</v>
      </c>
      <c r="T41" s="6" t="s">
        <v>524</v>
      </c>
      <c r="U41" s="6">
        <f>9.8%</f>
        <v>9.8000000000000004E-2</v>
      </c>
      <c r="V41" s="6"/>
      <c r="W41" s="6"/>
      <c r="X41" s="6"/>
      <c r="Y41" s="6"/>
      <c r="Z41" s="6"/>
      <c r="AA41" s="6"/>
      <c r="AB41" s="6"/>
      <c r="AC41" s="6"/>
      <c r="AD41" s="7"/>
    </row>
    <row r="42" spans="1:30" ht="15.6" x14ac:dyDescent="0.3">
      <c r="A42" s="4">
        <v>286</v>
      </c>
      <c r="B42" s="5" t="s">
        <v>525</v>
      </c>
      <c r="C42" s="6" t="s">
        <v>46</v>
      </c>
      <c r="D42" s="5" t="s">
        <v>526</v>
      </c>
      <c r="E42" s="5" t="s">
        <v>48</v>
      </c>
      <c r="F42" s="6" t="s">
        <v>527</v>
      </c>
      <c r="G42" s="6" t="s">
        <v>528</v>
      </c>
      <c r="H42" s="6" t="s">
        <v>36</v>
      </c>
      <c r="I42" s="6" t="s">
        <v>529</v>
      </c>
      <c r="J42" s="6" t="s">
        <v>296</v>
      </c>
      <c r="K42" s="6" t="s">
        <v>530</v>
      </c>
      <c r="L42" s="8">
        <v>-0.25</v>
      </c>
      <c r="M42" s="6" t="s">
        <v>531</v>
      </c>
      <c r="N42" s="8">
        <v>-0.25</v>
      </c>
      <c r="O42" s="6" t="s">
        <v>532</v>
      </c>
      <c r="P42" s="6" t="s">
        <v>533</v>
      </c>
      <c r="Q42" s="8">
        <v>-0.45</v>
      </c>
      <c r="R42" s="6" t="s">
        <v>534</v>
      </c>
      <c r="S42" s="6">
        <v>34</v>
      </c>
      <c r="T42" s="6" t="s">
        <v>535</v>
      </c>
      <c r="U42" s="8">
        <v>-0.71</v>
      </c>
      <c r="V42" s="6"/>
      <c r="W42" s="6"/>
      <c r="X42" s="6"/>
      <c r="Y42" s="6"/>
      <c r="Z42" s="6"/>
      <c r="AA42" s="6"/>
      <c r="AB42" s="6"/>
      <c r="AC42" s="6"/>
      <c r="AD42" s="7"/>
    </row>
    <row r="43" spans="1:30" ht="15.6" x14ac:dyDescent="0.3">
      <c r="A43" s="4">
        <v>287</v>
      </c>
      <c r="B43" s="5" t="s">
        <v>536</v>
      </c>
      <c r="C43" s="6" t="s">
        <v>102</v>
      </c>
      <c r="D43" s="5" t="s">
        <v>537</v>
      </c>
      <c r="E43" s="5" t="s">
        <v>48</v>
      </c>
      <c r="F43" s="6" t="s">
        <v>538</v>
      </c>
      <c r="G43" s="6" t="s">
        <v>539</v>
      </c>
      <c r="H43" s="6" t="s">
        <v>36</v>
      </c>
      <c r="I43" s="8">
        <v>-0.72</v>
      </c>
      <c r="J43" s="6" t="s">
        <v>540</v>
      </c>
      <c r="K43" s="6" t="s">
        <v>541</v>
      </c>
      <c r="L43" s="8">
        <v>-0.09</v>
      </c>
      <c r="M43" s="6" t="s">
        <v>542</v>
      </c>
      <c r="N43" s="8">
        <v>-0.09</v>
      </c>
      <c r="O43" s="6" t="s">
        <v>543</v>
      </c>
      <c r="P43" s="6" t="s">
        <v>544</v>
      </c>
      <c r="Q43" s="6">
        <f>0.0012</f>
        <v>1.1999999999999999E-3</v>
      </c>
      <c r="R43" s="6">
        <v>345</v>
      </c>
      <c r="S43" s="6">
        <v>1</v>
      </c>
      <c r="T43" s="6" t="s">
        <v>44</v>
      </c>
      <c r="U43" s="8">
        <v>-0.52</v>
      </c>
      <c r="V43" s="6"/>
      <c r="W43" s="6"/>
      <c r="X43" s="6"/>
      <c r="Y43" s="6"/>
      <c r="Z43" s="6"/>
      <c r="AA43" s="6"/>
      <c r="AB43" s="6"/>
      <c r="AC43" s="6"/>
      <c r="AD43" s="7"/>
    </row>
    <row r="44" spans="1:30" ht="15.6" x14ac:dyDescent="0.3">
      <c r="A44" s="4">
        <v>288</v>
      </c>
      <c r="B44" s="5" t="s">
        <v>545</v>
      </c>
      <c r="C44" s="6" t="s">
        <v>546</v>
      </c>
      <c r="D44" s="5" t="s">
        <v>547</v>
      </c>
      <c r="E44" s="5" t="s">
        <v>48</v>
      </c>
      <c r="F44" s="6" t="s">
        <v>548</v>
      </c>
      <c r="G44" s="6" t="s">
        <v>549</v>
      </c>
      <c r="H44" s="6" t="s">
        <v>36</v>
      </c>
      <c r="I44" s="8">
        <v>-0.13</v>
      </c>
      <c r="J44" s="6" t="s">
        <v>550</v>
      </c>
      <c r="K44" s="6" t="s">
        <v>53</v>
      </c>
      <c r="L44" s="8">
        <v>-0.15</v>
      </c>
      <c r="M44" s="6" t="s">
        <v>551</v>
      </c>
      <c r="N44" s="8">
        <v>-0.15</v>
      </c>
      <c r="O44" s="6" t="s">
        <v>552</v>
      </c>
      <c r="P44" s="6" t="s">
        <v>553</v>
      </c>
      <c r="Q44" s="6">
        <f>0.0012</f>
        <v>1.1999999999999999E-3</v>
      </c>
      <c r="R44" s="6" t="s">
        <v>554</v>
      </c>
      <c r="S44" s="6">
        <v>82</v>
      </c>
      <c r="T44" s="6" t="s">
        <v>555</v>
      </c>
      <c r="U44" s="8">
        <v>-0.31</v>
      </c>
      <c r="V44" s="6"/>
      <c r="W44" s="6"/>
      <c r="X44" s="6"/>
      <c r="Y44" s="6"/>
      <c r="Z44" s="6"/>
      <c r="AA44" s="6"/>
      <c r="AB44" s="6"/>
      <c r="AC44" s="6"/>
      <c r="AD44" s="7"/>
    </row>
    <row r="45" spans="1:30" ht="15.6" x14ac:dyDescent="0.3">
      <c r="A45" s="4">
        <v>289</v>
      </c>
      <c r="B45" s="5" t="s">
        <v>556</v>
      </c>
      <c r="C45" s="6" t="s">
        <v>466</v>
      </c>
      <c r="D45" s="5" t="s">
        <v>557</v>
      </c>
      <c r="E45" s="5" t="s">
        <v>48</v>
      </c>
      <c r="F45" s="6" t="s">
        <v>558</v>
      </c>
      <c r="G45" s="6" t="s">
        <v>559</v>
      </c>
      <c r="H45" s="6" t="s">
        <v>36</v>
      </c>
      <c r="I45" s="8">
        <v>-0.44</v>
      </c>
      <c r="J45" s="6" t="s">
        <v>199</v>
      </c>
      <c r="K45" s="6" t="s">
        <v>560</v>
      </c>
      <c r="L45" s="6">
        <f>7.7%</f>
        <v>7.6999999999999999E-2</v>
      </c>
      <c r="M45" s="6" t="s">
        <v>561</v>
      </c>
      <c r="N45" s="6">
        <f>7.7%</f>
        <v>7.6999999999999999E-2</v>
      </c>
      <c r="O45" s="6" t="s">
        <v>562</v>
      </c>
      <c r="P45" s="6" t="s">
        <v>563</v>
      </c>
      <c r="Q45" s="6">
        <f>0.00044</f>
        <v>4.4000000000000002E-4</v>
      </c>
      <c r="R45" s="6" t="s">
        <v>564</v>
      </c>
      <c r="S45" s="6">
        <v>15</v>
      </c>
      <c r="T45" s="6" t="s">
        <v>565</v>
      </c>
      <c r="U45" s="8">
        <v>-0.88</v>
      </c>
      <c r="V45" s="6"/>
      <c r="W45" s="6"/>
      <c r="X45" s="6"/>
      <c r="Y45" s="6"/>
      <c r="Z45" s="6"/>
      <c r="AA45" s="6"/>
      <c r="AB45" s="6"/>
      <c r="AC45" s="6"/>
      <c r="AD45" s="7"/>
    </row>
    <row r="46" spans="1:30" ht="15.6" x14ac:dyDescent="0.3">
      <c r="A46" s="4">
        <v>290</v>
      </c>
      <c r="B46" s="5" t="s">
        <v>566</v>
      </c>
      <c r="C46" s="6" t="s">
        <v>567</v>
      </c>
      <c r="D46" s="5" t="s">
        <v>568</v>
      </c>
      <c r="E46" s="5" t="s">
        <v>48</v>
      </c>
      <c r="F46" s="6" t="s">
        <v>569</v>
      </c>
      <c r="G46" s="6" t="s">
        <v>570</v>
      </c>
      <c r="H46" s="6" t="s">
        <v>36</v>
      </c>
      <c r="I46" s="6" t="s">
        <v>493</v>
      </c>
      <c r="J46" s="6" t="s">
        <v>571</v>
      </c>
      <c r="K46" s="6" t="s">
        <v>572</v>
      </c>
      <c r="L46" s="6" t="s">
        <v>573</v>
      </c>
      <c r="M46" s="6" t="s">
        <v>574</v>
      </c>
      <c r="N46" s="6" t="s">
        <v>573</v>
      </c>
      <c r="O46" s="6" t="s">
        <v>575</v>
      </c>
      <c r="P46" s="6" t="s">
        <v>576</v>
      </c>
      <c r="Q46" s="8">
        <v>-0.22</v>
      </c>
      <c r="R46" s="6" t="s">
        <v>577</v>
      </c>
      <c r="S46" s="6">
        <v>151</v>
      </c>
      <c r="T46" s="6" t="s">
        <v>578</v>
      </c>
      <c r="U46" s="8">
        <v>-0.25</v>
      </c>
      <c r="V46" s="6"/>
      <c r="W46" s="6"/>
      <c r="X46" s="6"/>
      <c r="Y46" s="6"/>
      <c r="Z46" s="6"/>
      <c r="AA46" s="6"/>
      <c r="AB46" s="6"/>
      <c r="AC46" s="6"/>
      <c r="AD46" s="7"/>
    </row>
    <row r="47" spans="1:30" ht="15.6" x14ac:dyDescent="0.3">
      <c r="A47" s="4">
        <v>291</v>
      </c>
      <c r="B47" s="5" t="s">
        <v>579</v>
      </c>
      <c r="C47" s="6" t="s">
        <v>219</v>
      </c>
      <c r="D47" s="5" t="s">
        <v>580</v>
      </c>
      <c r="E47" s="5" t="s">
        <v>48</v>
      </c>
      <c r="F47" s="6" t="s">
        <v>581</v>
      </c>
      <c r="G47" s="6" t="s">
        <v>582</v>
      </c>
      <c r="H47" s="6" t="s">
        <v>36</v>
      </c>
      <c r="I47" s="6" t="s">
        <v>583</v>
      </c>
      <c r="J47" s="6" t="s">
        <v>584</v>
      </c>
      <c r="K47" s="6" t="s">
        <v>585</v>
      </c>
      <c r="L47" s="8">
        <v>-0.17</v>
      </c>
      <c r="M47" s="6" t="s">
        <v>586</v>
      </c>
      <c r="N47" s="8">
        <v>-0.17</v>
      </c>
      <c r="O47" s="6" t="s">
        <v>587</v>
      </c>
      <c r="P47" s="6" t="s">
        <v>588</v>
      </c>
      <c r="Q47" s="6">
        <f>7.7%</f>
        <v>7.6999999999999999E-2</v>
      </c>
      <c r="R47" s="6" t="s">
        <v>589</v>
      </c>
      <c r="S47" s="6">
        <v>77</v>
      </c>
      <c r="T47" s="6" t="s">
        <v>590</v>
      </c>
      <c r="U47" s="6" t="s">
        <v>591</v>
      </c>
      <c r="V47" s="6"/>
      <c r="W47" s="6"/>
      <c r="X47" s="6"/>
      <c r="Y47" s="6"/>
      <c r="Z47" s="6"/>
      <c r="AA47" s="6"/>
      <c r="AB47" s="6"/>
      <c r="AC47" s="6"/>
      <c r="AD47" s="7"/>
    </row>
    <row r="48" spans="1:30" ht="15.6" x14ac:dyDescent="0.3">
      <c r="A48" s="4">
        <v>292</v>
      </c>
      <c r="B48" s="5" t="s">
        <v>592</v>
      </c>
      <c r="C48" s="6" t="s">
        <v>72</v>
      </c>
      <c r="D48" s="5" t="s">
        <v>593</v>
      </c>
      <c r="E48" s="5" t="s">
        <v>48</v>
      </c>
      <c r="F48" s="6" t="s">
        <v>594</v>
      </c>
      <c r="G48" s="6" t="s">
        <v>595</v>
      </c>
      <c r="H48" s="6" t="s">
        <v>36</v>
      </c>
      <c r="I48" s="8">
        <v>-0.45</v>
      </c>
      <c r="J48" s="6" t="s">
        <v>596</v>
      </c>
      <c r="K48" s="6" t="s">
        <v>285</v>
      </c>
      <c r="L48" s="6">
        <f>2.8%</f>
        <v>2.7999999999999997E-2</v>
      </c>
      <c r="M48" s="6" t="s">
        <v>597</v>
      </c>
      <c r="N48" s="6">
        <f>2.8%</f>
        <v>2.7999999999999997E-2</v>
      </c>
      <c r="O48" s="6" t="s">
        <v>598</v>
      </c>
      <c r="P48" s="6" t="s">
        <v>599</v>
      </c>
      <c r="Q48" s="6">
        <f>0.0056</f>
        <v>5.5999999999999999E-3</v>
      </c>
      <c r="R48" s="6" t="s">
        <v>600</v>
      </c>
      <c r="S48" s="6">
        <v>6</v>
      </c>
      <c r="T48" s="6" t="s">
        <v>601</v>
      </c>
      <c r="U48" s="6">
        <f>10%</f>
        <v>0.1</v>
      </c>
      <c r="V48" s="6"/>
      <c r="W48" s="6"/>
      <c r="X48" s="6"/>
      <c r="Y48" s="6"/>
      <c r="Z48" s="6"/>
      <c r="AA48" s="6"/>
      <c r="AB48" s="6"/>
      <c r="AC48" s="6"/>
      <c r="AD48" s="7"/>
    </row>
    <row r="49" spans="1:30" ht="15.6" x14ac:dyDescent="0.3">
      <c r="A49" s="4">
        <v>293</v>
      </c>
      <c r="B49" s="5" t="s">
        <v>602</v>
      </c>
      <c r="C49" s="6" t="s">
        <v>291</v>
      </c>
      <c r="D49" s="5" t="s">
        <v>603</v>
      </c>
      <c r="E49" s="5" t="s">
        <v>33</v>
      </c>
      <c r="F49" s="6" t="s">
        <v>604</v>
      </c>
      <c r="G49" s="6" t="s">
        <v>605</v>
      </c>
      <c r="H49" s="6" t="s">
        <v>36</v>
      </c>
      <c r="I49" s="6" t="s">
        <v>37</v>
      </c>
      <c r="J49" s="6" t="s">
        <v>606</v>
      </c>
      <c r="K49" s="6" t="s">
        <v>607</v>
      </c>
      <c r="L49" s="8">
        <v>-0.3</v>
      </c>
      <c r="M49" s="6" t="s">
        <v>608</v>
      </c>
      <c r="N49" s="8">
        <v>-0.3</v>
      </c>
      <c r="O49" s="6" t="s">
        <v>609</v>
      </c>
      <c r="P49" s="6" t="s">
        <v>610</v>
      </c>
      <c r="Q49" s="8">
        <v>-0.31</v>
      </c>
      <c r="R49" s="6" t="s">
        <v>611</v>
      </c>
      <c r="S49" s="6">
        <v>648</v>
      </c>
      <c r="T49" s="6" t="s">
        <v>612</v>
      </c>
      <c r="U49" s="8">
        <v>-0.27</v>
      </c>
      <c r="V49" s="6"/>
      <c r="W49" s="6"/>
      <c r="X49" s="6"/>
      <c r="Y49" s="6"/>
      <c r="Z49" s="6"/>
      <c r="AA49" s="6"/>
      <c r="AB49" s="6"/>
      <c r="AC49" s="6"/>
      <c r="AD49" s="7"/>
    </row>
    <row r="50" spans="1:30" ht="15.6" x14ac:dyDescent="0.3">
      <c r="A50" s="4">
        <v>294</v>
      </c>
      <c r="B50" s="5" t="s">
        <v>613</v>
      </c>
      <c r="C50" s="6" t="s">
        <v>304</v>
      </c>
      <c r="D50" s="5" t="s">
        <v>614</v>
      </c>
      <c r="E50" s="5" t="s">
        <v>33</v>
      </c>
      <c r="F50" s="6" t="s">
        <v>615</v>
      </c>
      <c r="G50" s="6" t="s">
        <v>616</v>
      </c>
      <c r="H50" s="6" t="s">
        <v>36</v>
      </c>
      <c r="I50" s="6" t="s">
        <v>617</v>
      </c>
      <c r="J50" s="6" t="s">
        <v>107</v>
      </c>
      <c r="K50" s="6" t="s">
        <v>618</v>
      </c>
      <c r="L50" s="8">
        <v>-0.13</v>
      </c>
      <c r="M50" s="6" t="s">
        <v>619</v>
      </c>
      <c r="N50" s="8">
        <v>-0.13</v>
      </c>
      <c r="O50" s="6" t="s">
        <v>620</v>
      </c>
      <c r="P50" s="6" t="s">
        <v>621</v>
      </c>
      <c r="Q50" s="6">
        <f>53%</f>
        <v>0.53</v>
      </c>
      <c r="R50" s="6" t="s">
        <v>622</v>
      </c>
      <c r="S50" s="6">
        <v>31</v>
      </c>
      <c r="T50" s="6" t="s">
        <v>623</v>
      </c>
      <c r="U50" s="6">
        <f>0.21%</f>
        <v>2.0999999999999999E-3</v>
      </c>
      <c r="V50" s="6"/>
      <c r="W50" s="6"/>
      <c r="X50" s="6"/>
      <c r="Y50" s="6"/>
      <c r="Z50" s="6"/>
      <c r="AA50" s="6"/>
      <c r="AB50" s="6"/>
      <c r="AC50" s="6"/>
      <c r="AD50" s="7"/>
    </row>
    <row r="51" spans="1:30" ht="15.6" x14ac:dyDescent="0.3">
      <c r="A51" s="4">
        <v>295</v>
      </c>
      <c r="B51" s="5" t="s">
        <v>624</v>
      </c>
      <c r="C51" s="6" t="s">
        <v>304</v>
      </c>
      <c r="D51" s="5" t="s">
        <v>625</v>
      </c>
      <c r="E51" s="5" t="s">
        <v>33</v>
      </c>
      <c r="F51" s="6" t="s">
        <v>626</v>
      </c>
      <c r="G51" s="6" t="s">
        <v>627</v>
      </c>
      <c r="H51" s="6" t="s">
        <v>36</v>
      </c>
      <c r="I51" s="8">
        <v>-0.94</v>
      </c>
      <c r="J51" s="6" t="s">
        <v>482</v>
      </c>
      <c r="K51" s="6" t="s">
        <v>628</v>
      </c>
      <c r="L51" s="6">
        <f>520%</f>
        <v>5.2</v>
      </c>
      <c r="M51" s="6" t="s">
        <v>629</v>
      </c>
      <c r="N51" s="6">
        <f>520%</f>
        <v>5.2</v>
      </c>
      <c r="O51" s="6" t="s">
        <v>630</v>
      </c>
      <c r="P51" s="6" t="s">
        <v>631</v>
      </c>
      <c r="Q51" s="6">
        <f>0.0012</f>
        <v>1.1999999999999999E-3</v>
      </c>
      <c r="R51" s="6" t="s">
        <v>632</v>
      </c>
      <c r="S51" s="6">
        <v>6</v>
      </c>
      <c r="T51" s="6">
        <v>514</v>
      </c>
      <c r="U51" s="6" t="s">
        <v>9262</v>
      </c>
      <c r="V51" s="6"/>
      <c r="W51" s="6"/>
      <c r="X51" s="6"/>
      <c r="Y51" s="6"/>
      <c r="Z51" s="6"/>
      <c r="AA51" s="6"/>
      <c r="AB51" s="6"/>
      <c r="AC51" s="6"/>
      <c r="AD51" s="7"/>
    </row>
    <row r="52" spans="1:30" ht="15.6" x14ac:dyDescent="0.3">
      <c r="A52" s="4">
        <v>296</v>
      </c>
      <c r="B52" s="5" t="s">
        <v>633</v>
      </c>
      <c r="C52" s="6" t="s">
        <v>31</v>
      </c>
      <c r="D52" s="5" t="s">
        <v>634</v>
      </c>
      <c r="E52" s="5" t="s">
        <v>48</v>
      </c>
      <c r="F52" s="6" t="s">
        <v>635</v>
      </c>
      <c r="G52" s="6" t="s">
        <v>636</v>
      </c>
      <c r="H52" s="6" t="s">
        <v>36</v>
      </c>
      <c r="I52" s="6" t="s">
        <v>152</v>
      </c>
      <c r="J52" s="6" t="s">
        <v>141</v>
      </c>
      <c r="K52" s="6" t="s">
        <v>637</v>
      </c>
      <c r="L52" s="8">
        <v>-0.57999999999999996</v>
      </c>
      <c r="M52" s="6" t="s">
        <v>638</v>
      </c>
      <c r="N52" s="8">
        <v>-0.57999999999999996</v>
      </c>
      <c r="O52" s="6" t="s">
        <v>639</v>
      </c>
      <c r="P52" s="6" t="s">
        <v>640</v>
      </c>
      <c r="Q52" s="8">
        <v>-0.24</v>
      </c>
      <c r="R52" s="6" t="s">
        <v>641</v>
      </c>
      <c r="S52" s="6">
        <v>18</v>
      </c>
      <c r="T52" s="6" t="s">
        <v>642</v>
      </c>
      <c r="U52" s="8">
        <v>-0.63</v>
      </c>
      <c r="V52" s="6"/>
      <c r="W52" s="6"/>
      <c r="X52" s="6"/>
      <c r="Y52" s="6"/>
      <c r="Z52" s="6"/>
      <c r="AA52" s="6"/>
      <c r="AB52" s="6"/>
      <c r="AC52" s="6"/>
      <c r="AD52" s="7"/>
    </row>
    <row r="53" spans="1:30" ht="15.6" x14ac:dyDescent="0.3">
      <c r="A53" s="4">
        <v>297</v>
      </c>
      <c r="B53" s="5" t="s">
        <v>643</v>
      </c>
      <c r="C53" s="6" t="s">
        <v>291</v>
      </c>
      <c r="D53" s="5" t="s">
        <v>644</v>
      </c>
      <c r="E53" s="5" t="s">
        <v>33</v>
      </c>
      <c r="F53" s="6" t="s">
        <v>645</v>
      </c>
      <c r="G53" s="6" t="s">
        <v>646</v>
      </c>
      <c r="H53" s="6" t="s">
        <v>36</v>
      </c>
      <c r="I53" s="8">
        <v>-0.72</v>
      </c>
      <c r="J53" s="6" t="s">
        <v>647</v>
      </c>
      <c r="K53" s="6" t="s">
        <v>648</v>
      </c>
      <c r="L53" s="6">
        <f>93%</f>
        <v>0.93</v>
      </c>
      <c r="M53" s="6" t="s">
        <v>649</v>
      </c>
      <c r="N53" s="6">
        <f>93%</f>
        <v>0.93</v>
      </c>
      <c r="O53" s="6" t="s">
        <v>650</v>
      </c>
      <c r="P53" s="6" t="s">
        <v>651</v>
      </c>
      <c r="Q53" s="6">
        <f>0.0056</f>
        <v>5.5999999999999999E-3</v>
      </c>
      <c r="R53" s="6">
        <v>782</v>
      </c>
      <c r="S53" s="6">
        <v>5</v>
      </c>
      <c r="T53" s="6" t="s">
        <v>652</v>
      </c>
      <c r="U53" s="6">
        <f>740%</f>
        <v>7.4</v>
      </c>
      <c r="V53" s="6"/>
      <c r="W53" s="6"/>
      <c r="X53" s="6"/>
      <c r="Y53" s="6"/>
      <c r="Z53" s="6"/>
      <c r="AA53" s="6"/>
      <c r="AB53" s="6"/>
      <c r="AC53" s="6"/>
      <c r="AD53" s="7"/>
    </row>
    <row r="54" spans="1:30" ht="15.6" x14ac:dyDescent="0.3">
      <c r="A54" s="4">
        <v>298</v>
      </c>
      <c r="B54" s="5" t="s">
        <v>653</v>
      </c>
      <c r="C54" s="6" t="s">
        <v>291</v>
      </c>
      <c r="D54" s="5" t="s">
        <v>654</v>
      </c>
      <c r="E54" s="5" t="s">
        <v>33</v>
      </c>
      <c r="F54" s="6" t="s">
        <v>655</v>
      </c>
      <c r="G54" s="6" t="s">
        <v>656</v>
      </c>
      <c r="H54" s="6" t="s">
        <v>36</v>
      </c>
      <c r="I54" s="6" t="s">
        <v>657</v>
      </c>
      <c r="J54" s="6" t="s">
        <v>540</v>
      </c>
      <c r="K54" s="6" t="s">
        <v>658</v>
      </c>
      <c r="L54" s="8">
        <v>-0.87</v>
      </c>
      <c r="M54" s="6" t="s">
        <v>659</v>
      </c>
      <c r="N54" s="8">
        <v>-0.87</v>
      </c>
      <c r="O54" s="6" t="s">
        <v>660</v>
      </c>
      <c r="P54" s="6" t="s">
        <v>661</v>
      </c>
      <c r="Q54" s="8">
        <v>-0.43</v>
      </c>
      <c r="R54" s="6">
        <v>406</v>
      </c>
      <c r="S54" s="6">
        <v>3</v>
      </c>
      <c r="T54" s="6">
        <v>782</v>
      </c>
      <c r="U54" s="8">
        <v>-0.73</v>
      </c>
      <c r="V54" s="6"/>
      <c r="W54" s="6"/>
      <c r="X54" s="6"/>
      <c r="Y54" s="6"/>
      <c r="Z54" s="6"/>
      <c r="AA54" s="6"/>
      <c r="AB54" s="6"/>
      <c r="AC54" s="6"/>
      <c r="AD54" s="7"/>
    </row>
    <row r="55" spans="1:30" ht="15.6" x14ac:dyDescent="0.3">
      <c r="A55" s="4">
        <v>299</v>
      </c>
      <c r="B55" s="5" t="s">
        <v>662</v>
      </c>
      <c r="C55" s="6" t="s">
        <v>126</v>
      </c>
      <c r="D55" s="5" t="s">
        <v>663</v>
      </c>
      <c r="E55" s="5" t="s">
        <v>33</v>
      </c>
      <c r="F55" s="6" t="s">
        <v>664</v>
      </c>
      <c r="G55" s="6" t="s">
        <v>665</v>
      </c>
      <c r="H55" s="6" t="s">
        <v>36</v>
      </c>
      <c r="I55" s="6" t="s">
        <v>666</v>
      </c>
      <c r="J55" s="6" t="s">
        <v>667</v>
      </c>
      <c r="K55" s="6" t="s">
        <v>668</v>
      </c>
      <c r="L55" s="6" t="s">
        <v>669</v>
      </c>
      <c r="M55" s="6" t="s">
        <v>670</v>
      </c>
      <c r="N55" s="6" t="s">
        <v>669</v>
      </c>
      <c r="O55" s="6" t="s">
        <v>671</v>
      </c>
      <c r="P55" s="6" t="s">
        <v>672</v>
      </c>
      <c r="Q55" s="6">
        <f>8.7%</f>
        <v>8.6999999999999994E-2</v>
      </c>
      <c r="R55" s="6" t="s">
        <v>673</v>
      </c>
      <c r="S55" s="6">
        <v>29</v>
      </c>
      <c r="T55" s="6" t="s">
        <v>674</v>
      </c>
      <c r="U55" s="6">
        <f>16%</f>
        <v>0.16</v>
      </c>
      <c r="V55" s="6"/>
      <c r="W55" s="6"/>
      <c r="X55" s="6"/>
      <c r="Y55" s="6"/>
      <c r="Z55" s="6"/>
      <c r="AA55" s="6"/>
      <c r="AB55" s="6"/>
      <c r="AC55" s="6"/>
      <c r="AD55" s="7"/>
    </row>
    <row r="56" spans="1:30" ht="15.6" x14ac:dyDescent="0.3">
      <c r="A56" s="4">
        <v>300</v>
      </c>
      <c r="B56" s="5" t="s">
        <v>675</v>
      </c>
      <c r="C56" s="6" t="s">
        <v>46</v>
      </c>
      <c r="D56" s="5" t="s">
        <v>676</v>
      </c>
      <c r="E56" s="5" t="s">
        <v>48</v>
      </c>
      <c r="F56" s="6" t="s">
        <v>677</v>
      </c>
      <c r="G56" s="6" t="s">
        <v>678</v>
      </c>
      <c r="H56" s="6" t="s">
        <v>36</v>
      </c>
      <c r="I56" s="6"/>
      <c r="J56" s="6" t="s">
        <v>38</v>
      </c>
      <c r="K56" s="6" t="s">
        <v>679</v>
      </c>
      <c r="L56" s="6">
        <f>37%</f>
        <v>0.37</v>
      </c>
      <c r="M56" s="6" t="s">
        <v>680</v>
      </c>
      <c r="N56" s="6">
        <f>37%</f>
        <v>0.37</v>
      </c>
      <c r="O56" s="6" t="s">
        <v>681</v>
      </c>
      <c r="P56" s="6" t="s">
        <v>682</v>
      </c>
      <c r="Q56" s="6">
        <f>0.0056</f>
        <v>5.5999999999999999E-3</v>
      </c>
      <c r="R56" s="6">
        <v>615</v>
      </c>
      <c r="S56" s="6">
        <v>8</v>
      </c>
      <c r="T56" s="6">
        <v>533</v>
      </c>
      <c r="U56" s="6">
        <f>300%</f>
        <v>3</v>
      </c>
      <c r="V56" s="6"/>
      <c r="W56" s="6"/>
      <c r="X56" s="6"/>
      <c r="Y56" s="6"/>
      <c r="Z56" s="6"/>
      <c r="AA56" s="6"/>
      <c r="AB56" s="6"/>
      <c r="AC56" s="6"/>
      <c r="AD56" s="7"/>
    </row>
    <row r="57" spans="1:30" ht="15.6" x14ac:dyDescent="0.3">
      <c r="A57" s="4">
        <v>301</v>
      </c>
      <c r="B57" s="5" t="s">
        <v>683</v>
      </c>
      <c r="C57" s="6" t="s">
        <v>31</v>
      </c>
      <c r="D57" s="5" t="s">
        <v>684</v>
      </c>
      <c r="E57" s="5" t="s">
        <v>48</v>
      </c>
      <c r="F57" s="6" t="s">
        <v>685</v>
      </c>
      <c r="G57" s="6" t="s">
        <v>686</v>
      </c>
      <c r="H57" s="6" t="s">
        <v>36</v>
      </c>
      <c r="I57" s="8">
        <v>-0.39</v>
      </c>
      <c r="J57" s="6" t="s">
        <v>687</v>
      </c>
      <c r="K57" s="6" t="s">
        <v>688</v>
      </c>
      <c r="L57" s="6" t="s">
        <v>217</v>
      </c>
      <c r="M57" s="6" t="s">
        <v>689</v>
      </c>
      <c r="N57" s="6">
        <f>2.1%</f>
        <v>2.1000000000000001E-2</v>
      </c>
      <c r="O57" s="6" t="s">
        <v>690</v>
      </c>
      <c r="P57" s="6" t="s">
        <v>691</v>
      </c>
      <c r="Q57" s="6">
        <f>0.0056</f>
        <v>5.5999999999999999E-3</v>
      </c>
      <c r="R57" s="6" t="s">
        <v>692</v>
      </c>
      <c r="S57" s="6">
        <v>0</v>
      </c>
      <c r="T57" s="6" t="s">
        <v>693</v>
      </c>
      <c r="U57" s="6">
        <f>0.74%</f>
        <v>7.4000000000000003E-3</v>
      </c>
      <c r="V57" s="6"/>
      <c r="W57" s="6"/>
      <c r="X57" s="6"/>
      <c r="Y57" s="6"/>
      <c r="Z57" s="6"/>
      <c r="AA57" s="6"/>
      <c r="AB57" s="6"/>
      <c r="AC57" s="6"/>
      <c r="AD57" s="7"/>
    </row>
    <row r="58" spans="1:30" ht="15.6" x14ac:dyDescent="0.3">
      <c r="A58" s="4">
        <v>302</v>
      </c>
      <c r="B58" s="5" t="s">
        <v>694</v>
      </c>
      <c r="C58" s="6" t="s">
        <v>267</v>
      </c>
      <c r="D58" s="5" t="s">
        <v>695</v>
      </c>
      <c r="E58" s="5" t="s">
        <v>33</v>
      </c>
      <c r="F58" s="6" t="s">
        <v>696</v>
      </c>
      <c r="G58" s="6" t="s">
        <v>697</v>
      </c>
      <c r="H58" s="6" t="s">
        <v>36</v>
      </c>
      <c r="I58" s="6">
        <f>5.3%</f>
        <v>5.2999999999999999E-2</v>
      </c>
      <c r="J58" s="6" t="s">
        <v>698</v>
      </c>
      <c r="K58" s="6" t="s">
        <v>699</v>
      </c>
      <c r="L58" s="6">
        <f>170%</f>
        <v>1.7</v>
      </c>
      <c r="M58" s="6" t="s">
        <v>323</v>
      </c>
      <c r="N58" s="6">
        <f>170%</f>
        <v>1.7</v>
      </c>
      <c r="O58" s="6" t="s">
        <v>700</v>
      </c>
      <c r="P58" s="6" t="s">
        <v>701</v>
      </c>
      <c r="Q58" s="6">
        <f>0.0056</f>
        <v>5.5999999999999999E-3</v>
      </c>
      <c r="R58" s="6" t="s">
        <v>702</v>
      </c>
      <c r="S58" s="6">
        <v>45</v>
      </c>
      <c r="T58" s="6" t="s">
        <v>703</v>
      </c>
      <c r="U58" s="6">
        <f>130%</f>
        <v>1.3</v>
      </c>
      <c r="V58" s="6"/>
      <c r="W58" s="6"/>
      <c r="X58" s="6"/>
      <c r="Y58" s="6"/>
      <c r="Z58" s="6"/>
      <c r="AA58" s="6"/>
      <c r="AB58" s="6"/>
      <c r="AC58" s="6"/>
      <c r="AD58" s="7"/>
    </row>
    <row r="59" spans="1:30" ht="15.6" x14ac:dyDescent="0.3">
      <c r="A59" s="4">
        <v>303</v>
      </c>
      <c r="B59" s="5" t="s">
        <v>704</v>
      </c>
      <c r="C59" s="6" t="s">
        <v>370</v>
      </c>
      <c r="D59" s="5" t="s">
        <v>705</v>
      </c>
      <c r="E59" s="5" t="s">
        <v>33</v>
      </c>
      <c r="F59" s="6" t="s">
        <v>706</v>
      </c>
      <c r="G59" s="6" t="s">
        <v>707</v>
      </c>
      <c r="H59" s="6" t="s">
        <v>36</v>
      </c>
      <c r="I59" s="6" t="s">
        <v>708</v>
      </c>
      <c r="J59" s="6" t="s">
        <v>374</v>
      </c>
      <c r="K59" s="6" t="s">
        <v>709</v>
      </c>
      <c r="L59" s="6" t="s">
        <v>710</v>
      </c>
      <c r="M59" s="6" t="s">
        <v>711</v>
      </c>
      <c r="N59" s="6" t="s">
        <v>710</v>
      </c>
      <c r="O59" s="6" t="s">
        <v>712</v>
      </c>
      <c r="P59" s="6" t="s">
        <v>713</v>
      </c>
      <c r="Q59" s="6">
        <f>0.0056</f>
        <v>5.5999999999999999E-3</v>
      </c>
      <c r="R59" s="6">
        <v>77</v>
      </c>
      <c r="S59" s="6">
        <v>5</v>
      </c>
      <c r="T59" s="6" t="s">
        <v>714</v>
      </c>
      <c r="U59" s="6">
        <f>300%</f>
        <v>3</v>
      </c>
      <c r="V59" s="6"/>
      <c r="W59" s="6"/>
      <c r="X59" s="6"/>
      <c r="Y59" s="6"/>
      <c r="Z59" s="6"/>
      <c r="AA59" s="6"/>
      <c r="AB59" s="6"/>
      <c r="AC59" s="6"/>
      <c r="AD59" s="7"/>
    </row>
    <row r="60" spans="1:30" ht="15.6" x14ac:dyDescent="0.3">
      <c r="A60" s="4">
        <v>304</v>
      </c>
      <c r="B60" s="5" t="s">
        <v>715</v>
      </c>
      <c r="C60" s="6" t="s">
        <v>85</v>
      </c>
      <c r="D60" s="5" t="s">
        <v>716</v>
      </c>
      <c r="E60" s="5" t="s">
        <v>48</v>
      </c>
      <c r="F60" s="6" t="s">
        <v>717</v>
      </c>
      <c r="G60" s="6" t="s">
        <v>718</v>
      </c>
      <c r="H60" s="6" t="s">
        <v>36</v>
      </c>
      <c r="I60" s="8">
        <v>-0.76</v>
      </c>
      <c r="J60" s="6" t="s">
        <v>719</v>
      </c>
      <c r="K60" s="6" t="s">
        <v>720</v>
      </c>
      <c r="L60" s="8">
        <v>-0.92</v>
      </c>
      <c r="M60" s="6" t="s">
        <v>721</v>
      </c>
      <c r="N60" s="8">
        <v>-0.92</v>
      </c>
      <c r="O60" s="6" t="s">
        <v>722</v>
      </c>
      <c r="P60" s="6" t="s">
        <v>723</v>
      </c>
      <c r="Q60" s="6">
        <f>0.0012</f>
        <v>1.1999999999999999E-3</v>
      </c>
      <c r="R60" s="6" t="s">
        <v>724</v>
      </c>
      <c r="S60" s="6">
        <v>30</v>
      </c>
      <c r="T60" s="6" t="s">
        <v>725</v>
      </c>
      <c r="U60" s="8">
        <v>-0.24</v>
      </c>
      <c r="V60" s="6"/>
      <c r="W60" s="6"/>
      <c r="X60" s="6"/>
      <c r="Y60" s="6"/>
      <c r="Z60" s="6"/>
      <c r="AA60" s="6"/>
      <c r="AB60" s="6"/>
      <c r="AC60" s="6"/>
      <c r="AD60" s="7"/>
    </row>
    <row r="61" spans="1:30" ht="15.6" x14ac:dyDescent="0.3">
      <c r="A61" s="4">
        <v>305</v>
      </c>
      <c r="B61" s="5" t="s">
        <v>726</v>
      </c>
      <c r="C61" s="6" t="s">
        <v>126</v>
      </c>
      <c r="D61" s="5" t="s">
        <v>727</v>
      </c>
      <c r="E61" s="5" t="s">
        <v>48</v>
      </c>
      <c r="F61" s="6" t="s">
        <v>728</v>
      </c>
      <c r="G61" s="6" t="s">
        <v>729</v>
      </c>
      <c r="H61" s="6" t="s">
        <v>36</v>
      </c>
      <c r="I61" s="6" t="s">
        <v>730</v>
      </c>
      <c r="J61" s="6" t="s">
        <v>731</v>
      </c>
      <c r="K61" s="6" t="s">
        <v>108</v>
      </c>
      <c r="L61" s="6">
        <f>0.28%</f>
        <v>2.8000000000000004E-3</v>
      </c>
      <c r="M61" s="6" t="s">
        <v>732</v>
      </c>
      <c r="N61" s="6">
        <f>0.28%</f>
        <v>2.8000000000000004E-3</v>
      </c>
      <c r="O61" s="6" t="s">
        <v>733</v>
      </c>
      <c r="P61" s="6" t="s">
        <v>734</v>
      </c>
      <c r="Q61" s="6">
        <f>0.0056</f>
        <v>5.5999999999999999E-3</v>
      </c>
      <c r="R61" s="6">
        <v>80</v>
      </c>
      <c r="S61" s="6">
        <v>0</v>
      </c>
      <c r="T61" s="6" t="s">
        <v>735</v>
      </c>
      <c r="U61" s="6">
        <f>9.8%</f>
        <v>9.8000000000000004E-2</v>
      </c>
      <c r="V61" s="6"/>
      <c r="W61" s="6"/>
      <c r="X61" s="6"/>
      <c r="Y61" s="6"/>
      <c r="Z61" s="6"/>
      <c r="AA61" s="6"/>
      <c r="AB61" s="6"/>
      <c r="AC61" s="6"/>
      <c r="AD61" s="7"/>
    </row>
    <row r="62" spans="1:30" ht="15.6" x14ac:dyDescent="0.3">
      <c r="A62" s="4">
        <v>306</v>
      </c>
      <c r="B62" s="5" t="s">
        <v>736</v>
      </c>
      <c r="C62" s="6" t="s">
        <v>304</v>
      </c>
      <c r="D62" s="5" t="s">
        <v>737</v>
      </c>
      <c r="E62" s="5" t="s">
        <v>33</v>
      </c>
      <c r="F62" s="6" t="s">
        <v>738</v>
      </c>
      <c r="G62" s="6" t="s">
        <v>739</v>
      </c>
      <c r="H62" s="6" t="s">
        <v>36</v>
      </c>
      <c r="I62" s="6" t="s">
        <v>295</v>
      </c>
      <c r="J62" s="6" t="s">
        <v>236</v>
      </c>
      <c r="K62" s="6" t="s">
        <v>740</v>
      </c>
      <c r="L62" s="8">
        <v>-0.33</v>
      </c>
      <c r="M62" s="6" t="s">
        <v>741</v>
      </c>
      <c r="N62" s="8">
        <v>-0.33</v>
      </c>
      <c r="O62" s="6" t="s">
        <v>742</v>
      </c>
      <c r="P62" s="6" t="s">
        <v>743</v>
      </c>
      <c r="Q62" s="6">
        <f>4.9%</f>
        <v>4.9000000000000002E-2</v>
      </c>
      <c r="R62" s="6" t="s">
        <v>744</v>
      </c>
      <c r="S62" s="6">
        <v>975</v>
      </c>
      <c r="T62" s="6">
        <v>340</v>
      </c>
      <c r="U62" s="8">
        <v>-0.7</v>
      </c>
      <c r="V62" s="5" t="s">
        <v>745</v>
      </c>
      <c r="W62" s="5" t="s">
        <v>746</v>
      </c>
      <c r="X62" s="5" t="s">
        <v>747</v>
      </c>
      <c r="Y62" s="5" t="s">
        <v>748</v>
      </c>
      <c r="Z62" s="5" t="s">
        <v>749</v>
      </c>
      <c r="AA62" s="5" t="s">
        <v>750</v>
      </c>
      <c r="AB62" s="5" t="s">
        <v>751</v>
      </c>
      <c r="AC62" s="5" t="s">
        <v>752</v>
      </c>
      <c r="AD62" s="9" t="s">
        <v>753</v>
      </c>
    </row>
    <row r="63" spans="1:30" ht="15.6" x14ac:dyDescent="0.3">
      <c r="A63" s="4">
        <v>307</v>
      </c>
      <c r="B63" s="5" t="s">
        <v>754</v>
      </c>
      <c r="C63" s="6" t="s">
        <v>85</v>
      </c>
      <c r="D63" s="5" t="s">
        <v>755</v>
      </c>
      <c r="E63" s="5" t="s">
        <v>48</v>
      </c>
      <c r="F63" s="6" t="s">
        <v>756</v>
      </c>
      <c r="G63" s="6" t="s">
        <v>757</v>
      </c>
      <c r="H63" s="6" t="s">
        <v>36</v>
      </c>
      <c r="I63" s="8">
        <v>-0.98</v>
      </c>
      <c r="J63" s="6" t="s">
        <v>758</v>
      </c>
      <c r="K63" s="6" t="s">
        <v>759</v>
      </c>
      <c r="L63" s="8">
        <v>-0.66</v>
      </c>
      <c r="M63" s="6" t="s">
        <v>760</v>
      </c>
      <c r="N63" s="8">
        <v>-0.66</v>
      </c>
      <c r="O63" s="6" t="s">
        <v>761</v>
      </c>
      <c r="P63" s="6" t="s">
        <v>762</v>
      </c>
      <c r="Q63" s="6">
        <f>0.0056</f>
        <v>5.5999999999999999E-3</v>
      </c>
      <c r="R63" s="6">
        <v>468</v>
      </c>
      <c r="S63" s="6">
        <v>2</v>
      </c>
      <c r="T63" s="6">
        <v>476</v>
      </c>
      <c r="U63" s="6">
        <f>530%</f>
        <v>5.3</v>
      </c>
      <c r="V63" s="5" t="s">
        <v>763</v>
      </c>
      <c r="W63" s="5" t="s">
        <v>764</v>
      </c>
      <c r="X63" s="6"/>
      <c r="Y63" s="6"/>
      <c r="Z63" s="6"/>
      <c r="AA63" s="6"/>
      <c r="AB63" s="6"/>
      <c r="AC63" s="6"/>
      <c r="AD63" s="7"/>
    </row>
    <row r="64" spans="1:30" ht="15.6" x14ac:dyDescent="0.3">
      <c r="A64" s="4">
        <v>308</v>
      </c>
      <c r="B64" s="5" t="s">
        <v>765</v>
      </c>
      <c r="C64" s="6" t="s">
        <v>102</v>
      </c>
      <c r="D64" s="5" t="s">
        <v>766</v>
      </c>
      <c r="E64" s="5" t="s">
        <v>33</v>
      </c>
      <c r="F64" s="6" t="s">
        <v>767</v>
      </c>
      <c r="G64" s="6" t="s">
        <v>768</v>
      </c>
      <c r="H64" s="6" t="s">
        <v>36</v>
      </c>
      <c r="I64" s="8">
        <v>-0.96</v>
      </c>
      <c r="J64" s="6" t="s">
        <v>769</v>
      </c>
      <c r="K64" s="6" t="s">
        <v>770</v>
      </c>
      <c r="L64" s="6">
        <f>1.4%</f>
        <v>1.3999999999999999E-2</v>
      </c>
      <c r="M64" s="6" t="s">
        <v>771</v>
      </c>
      <c r="N64" s="6">
        <f>1.4%</f>
        <v>1.3999999999999999E-2</v>
      </c>
      <c r="O64" s="6" t="s">
        <v>772</v>
      </c>
      <c r="P64" s="6" t="s">
        <v>773</v>
      </c>
      <c r="Q64" s="6">
        <f>0.0056</f>
        <v>5.5999999999999999E-3</v>
      </c>
      <c r="R64" s="6">
        <v>544</v>
      </c>
      <c r="S64" s="6">
        <v>7</v>
      </c>
      <c r="T64" s="6" t="s">
        <v>774</v>
      </c>
      <c r="U64" s="6" t="s">
        <v>9262</v>
      </c>
      <c r="V64" s="6"/>
      <c r="W64" s="6"/>
      <c r="X64" s="6"/>
      <c r="Y64" s="6"/>
      <c r="Z64" s="6"/>
      <c r="AA64" s="6"/>
      <c r="AB64" s="6"/>
      <c r="AC64" s="6"/>
      <c r="AD64" s="7"/>
    </row>
    <row r="65" spans="1:30" ht="15.6" x14ac:dyDescent="0.3">
      <c r="A65" s="4">
        <v>309</v>
      </c>
      <c r="B65" s="5" t="s">
        <v>775</v>
      </c>
      <c r="C65" s="6" t="s">
        <v>102</v>
      </c>
      <c r="D65" s="5" t="s">
        <v>776</v>
      </c>
      <c r="E65" s="5" t="s">
        <v>48</v>
      </c>
      <c r="F65" s="6" t="s">
        <v>777</v>
      </c>
      <c r="G65" s="6" t="s">
        <v>778</v>
      </c>
      <c r="H65" s="6" t="s">
        <v>36</v>
      </c>
      <c r="I65" s="8">
        <v>-0.84</v>
      </c>
      <c r="J65" s="6" t="s">
        <v>606</v>
      </c>
      <c r="K65" s="6" t="s">
        <v>119</v>
      </c>
      <c r="L65" s="8">
        <v>-0.25</v>
      </c>
      <c r="M65" s="6" t="s">
        <v>779</v>
      </c>
      <c r="N65" s="8">
        <v>-0.25</v>
      </c>
      <c r="O65" s="6" t="s">
        <v>780</v>
      </c>
      <c r="P65" s="6" t="s">
        <v>781</v>
      </c>
      <c r="Q65" s="6">
        <f>0.0056</f>
        <v>5.5999999999999999E-3</v>
      </c>
      <c r="R65" s="6" t="s">
        <v>782</v>
      </c>
      <c r="S65" s="6">
        <v>44</v>
      </c>
      <c r="T65" s="6" t="s">
        <v>783</v>
      </c>
      <c r="U65" s="6">
        <f>6.6%</f>
        <v>6.6000000000000003E-2</v>
      </c>
      <c r="V65" s="6"/>
      <c r="W65" s="6"/>
      <c r="X65" s="6"/>
      <c r="Y65" s="6"/>
      <c r="Z65" s="6"/>
      <c r="AA65" s="6"/>
      <c r="AB65" s="6"/>
      <c r="AC65" s="6"/>
      <c r="AD65" s="7"/>
    </row>
    <row r="66" spans="1:30" ht="15.6" x14ac:dyDescent="0.3">
      <c r="A66" s="4">
        <v>310</v>
      </c>
      <c r="B66" s="5" t="s">
        <v>784</v>
      </c>
      <c r="C66" s="6" t="s">
        <v>304</v>
      </c>
      <c r="D66" s="5" t="s">
        <v>785</v>
      </c>
      <c r="E66" s="5" t="s">
        <v>48</v>
      </c>
      <c r="F66" s="6" t="s">
        <v>786</v>
      </c>
      <c r="G66" s="6" t="s">
        <v>787</v>
      </c>
      <c r="H66" s="6" t="s">
        <v>36</v>
      </c>
      <c r="I66" s="8">
        <v>-0.94</v>
      </c>
      <c r="J66" s="6" t="s">
        <v>118</v>
      </c>
      <c r="K66" s="6" t="s">
        <v>788</v>
      </c>
      <c r="L66" s="6">
        <f>7.9%</f>
        <v>7.9000000000000001E-2</v>
      </c>
      <c r="M66" s="6" t="s">
        <v>789</v>
      </c>
      <c r="N66" s="6">
        <f>7.9%</f>
        <v>7.9000000000000001E-2</v>
      </c>
      <c r="O66" s="6" t="s">
        <v>790</v>
      </c>
      <c r="P66" s="6" t="s">
        <v>791</v>
      </c>
      <c r="Q66" s="6">
        <f>0.0056</f>
        <v>5.5999999999999999E-3</v>
      </c>
      <c r="R66" s="6">
        <v>637</v>
      </c>
      <c r="S66" s="6">
        <v>5</v>
      </c>
      <c r="T66" s="6">
        <v>331</v>
      </c>
      <c r="U66" s="8">
        <v>-0.36</v>
      </c>
      <c r="V66" s="5" t="s">
        <v>792</v>
      </c>
      <c r="W66" s="5" t="s">
        <v>793</v>
      </c>
      <c r="X66" s="6"/>
      <c r="Y66" s="6"/>
      <c r="Z66" s="6"/>
      <c r="AA66" s="6"/>
      <c r="AB66" s="6"/>
      <c r="AC66" s="6"/>
      <c r="AD66" s="7"/>
    </row>
    <row r="67" spans="1:30" ht="15.6" x14ac:dyDescent="0.3">
      <c r="A67" s="4">
        <v>311</v>
      </c>
      <c r="B67" s="5" t="s">
        <v>794</v>
      </c>
      <c r="C67" s="6" t="s">
        <v>102</v>
      </c>
      <c r="D67" s="5" t="s">
        <v>795</v>
      </c>
      <c r="E67" s="6"/>
      <c r="F67" s="6" t="s">
        <v>796</v>
      </c>
      <c r="G67" s="6" t="s">
        <v>797</v>
      </c>
      <c r="H67" s="6" t="s">
        <v>36</v>
      </c>
      <c r="I67" s="6" t="s">
        <v>9262</v>
      </c>
      <c r="J67" s="6" t="s">
        <v>798</v>
      </c>
      <c r="K67" s="6" t="s">
        <v>799</v>
      </c>
      <c r="L67" s="6" t="s">
        <v>217</v>
      </c>
      <c r="M67" s="6" t="s">
        <v>800</v>
      </c>
      <c r="N67" s="6" t="s">
        <v>217</v>
      </c>
      <c r="O67" s="6" t="s">
        <v>800</v>
      </c>
      <c r="P67" s="6" t="s">
        <v>217</v>
      </c>
      <c r="Q67" s="6">
        <f>0.0056</f>
        <v>5.5999999999999999E-3</v>
      </c>
      <c r="R67" s="6" t="s">
        <v>801</v>
      </c>
      <c r="S67" s="6">
        <v>1</v>
      </c>
      <c r="T67" s="6" t="s">
        <v>217</v>
      </c>
      <c r="U67" s="6" t="s">
        <v>217</v>
      </c>
      <c r="V67" s="6"/>
      <c r="W67" s="6"/>
      <c r="X67" s="6"/>
      <c r="Y67" s="6"/>
      <c r="Z67" s="6"/>
      <c r="AA67" s="6"/>
      <c r="AB67" s="6"/>
      <c r="AC67" s="6"/>
      <c r="AD67" s="7"/>
    </row>
    <row r="68" spans="1:30" ht="15.6" x14ac:dyDescent="0.3">
      <c r="A68" s="4">
        <v>312</v>
      </c>
      <c r="B68" s="5" t="s">
        <v>802</v>
      </c>
      <c r="C68" s="6" t="s">
        <v>46</v>
      </c>
      <c r="D68" s="5" t="s">
        <v>803</v>
      </c>
      <c r="E68" s="6"/>
      <c r="F68" s="6" t="s">
        <v>804</v>
      </c>
      <c r="G68" s="6" t="s">
        <v>805</v>
      </c>
      <c r="H68" s="6" t="s">
        <v>36</v>
      </c>
      <c r="I68" s="6" t="s">
        <v>806</v>
      </c>
      <c r="J68" s="6" t="s">
        <v>454</v>
      </c>
      <c r="K68" s="6" t="s">
        <v>799</v>
      </c>
      <c r="L68" s="6" t="s">
        <v>217</v>
      </c>
      <c r="M68" s="6" t="s">
        <v>800</v>
      </c>
      <c r="N68" s="6" t="s">
        <v>217</v>
      </c>
      <c r="O68" s="6" t="s">
        <v>800</v>
      </c>
      <c r="P68" s="6" t="s">
        <v>217</v>
      </c>
      <c r="Q68" s="6" t="s">
        <v>217</v>
      </c>
      <c r="R68" s="6" t="s">
        <v>807</v>
      </c>
      <c r="S68" s="6">
        <v>70</v>
      </c>
      <c r="T68" s="6" t="s">
        <v>217</v>
      </c>
      <c r="U68" s="6" t="s">
        <v>217</v>
      </c>
      <c r="V68" s="6"/>
      <c r="W68" s="6"/>
      <c r="X68" s="6"/>
      <c r="Y68" s="6"/>
      <c r="Z68" s="6"/>
      <c r="AA68" s="6"/>
      <c r="AB68" s="6"/>
      <c r="AC68" s="6"/>
      <c r="AD68" s="7"/>
    </row>
    <row r="69" spans="1:30" ht="15.6" x14ac:dyDescent="0.3">
      <c r="A69" s="4">
        <v>313</v>
      </c>
      <c r="B69" s="5" t="s">
        <v>808</v>
      </c>
      <c r="C69" s="6" t="s">
        <v>304</v>
      </c>
      <c r="D69" s="5" t="s">
        <v>809</v>
      </c>
      <c r="E69" s="5" t="s">
        <v>48</v>
      </c>
      <c r="F69" s="6" t="s">
        <v>810</v>
      </c>
      <c r="G69" s="6" t="s">
        <v>811</v>
      </c>
      <c r="H69" s="6" t="s">
        <v>36</v>
      </c>
      <c r="I69" s="8">
        <v>-0.27</v>
      </c>
      <c r="J69" s="6" t="s">
        <v>812</v>
      </c>
      <c r="K69" s="6" t="s">
        <v>813</v>
      </c>
      <c r="L69" s="8">
        <v>-0.17</v>
      </c>
      <c r="M69" s="6" t="s">
        <v>814</v>
      </c>
      <c r="N69" s="8">
        <v>-0.16</v>
      </c>
      <c r="O69" s="6" t="s">
        <v>815</v>
      </c>
      <c r="P69" s="6" t="s">
        <v>816</v>
      </c>
      <c r="Q69" s="6">
        <f>0.0056</f>
        <v>5.5999999999999999E-3</v>
      </c>
      <c r="R69" s="6" t="s">
        <v>817</v>
      </c>
      <c r="S69" s="6">
        <v>61</v>
      </c>
      <c r="T69" s="6" t="s">
        <v>818</v>
      </c>
      <c r="U69" s="8">
        <v>-0.48</v>
      </c>
      <c r="V69" s="6"/>
      <c r="W69" s="6"/>
      <c r="X69" s="6"/>
      <c r="Y69" s="6"/>
      <c r="Z69" s="6"/>
      <c r="AA69" s="6"/>
      <c r="AB69" s="6"/>
      <c r="AC69" s="6"/>
      <c r="AD69" s="7"/>
    </row>
    <row r="70" spans="1:30" ht="15.6" x14ac:dyDescent="0.3">
      <c r="A70" s="4">
        <v>314</v>
      </c>
      <c r="B70" s="5" t="s">
        <v>819</v>
      </c>
      <c r="C70" s="6" t="s">
        <v>820</v>
      </c>
      <c r="D70" s="5" t="s">
        <v>821</v>
      </c>
      <c r="E70" s="5" t="s">
        <v>162</v>
      </c>
      <c r="F70" s="6" t="s">
        <v>822</v>
      </c>
      <c r="G70" s="6" t="s">
        <v>823</v>
      </c>
      <c r="H70" s="8">
        <v>0</v>
      </c>
      <c r="I70" s="6" t="s">
        <v>217</v>
      </c>
      <c r="J70" s="6" t="s">
        <v>824</v>
      </c>
      <c r="K70" s="6" t="s">
        <v>200</v>
      </c>
      <c r="L70" s="8">
        <v>-0.13</v>
      </c>
      <c r="M70" s="6" t="s">
        <v>825</v>
      </c>
      <c r="N70" s="8">
        <v>-0.13</v>
      </c>
      <c r="O70" s="6" t="s">
        <v>826</v>
      </c>
      <c r="P70" s="6" t="s">
        <v>827</v>
      </c>
      <c r="Q70" s="6" t="s">
        <v>217</v>
      </c>
      <c r="R70" s="6" t="s">
        <v>828</v>
      </c>
      <c r="S70" s="6">
        <v>57</v>
      </c>
      <c r="T70" s="6" t="s">
        <v>829</v>
      </c>
      <c r="U70" s="6">
        <f>44%</f>
        <v>0.44</v>
      </c>
      <c r="V70" s="6"/>
      <c r="W70" s="6"/>
      <c r="X70" s="6"/>
      <c r="Y70" s="6"/>
      <c r="Z70" s="6"/>
      <c r="AA70" s="6"/>
      <c r="AB70" s="6"/>
      <c r="AC70" s="6"/>
      <c r="AD70" s="7"/>
    </row>
    <row r="71" spans="1:30" ht="15.6" x14ac:dyDescent="0.3">
      <c r="A71" s="4">
        <v>315</v>
      </c>
      <c r="B71" s="5" t="s">
        <v>830</v>
      </c>
      <c r="C71" s="6" t="s">
        <v>567</v>
      </c>
      <c r="D71" s="5" t="s">
        <v>831</v>
      </c>
      <c r="E71" s="5" t="s">
        <v>48</v>
      </c>
      <c r="F71" s="6" t="s">
        <v>832</v>
      </c>
      <c r="G71" s="6" t="s">
        <v>833</v>
      </c>
      <c r="H71" s="8">
        <v>0</v>
      </c>
      <c r="I71" s="6" t="s">
        <v>834</v>
      </c>
      <c r="J71" s="6" t="s">
        <v>52</v>
      </c>
      <c r="K71" s="6" t="s">
        <v>835</v>
      </c>
      <c r="L71" s="8">
        <v>-0.44</v>
      </c>
      <c r="M71" s="6" t="s">
        <v>836</v>
      </c>
      <c r="N71" s="8">
        <v>-0.44</v>
      </c>
      <c r="O71" s="6" t="s">
        <v>837</v>
      </c>
      <c r="P71" s="6" t="s">
        <v>838</v>
      </c>
      <c r="Q71" s="6"/>
      <c r="R71" s="6" t="s">
        <v>839</v>
      </c>
      <c r="S71" s="6">
        <v>463</v>
      </c>
      <c r="T71" s="6" t="s">
        <v>840</v>
      </c>
      <c r="U71" s="8">
        <v>-0.46</v>
      </c>
      <c r="V71" s="6"/>
      <c r="W71" s="6"/>
      <c r="X71" s="6"/>
      <c r="Y71" s="6"/>
      <c r="Z71" s="6"/>
      <c r="AA71" s="6"/>
      <c r="AB71" s="6"/>
      <c r="AC71" s="6"/>
      <c r="AD71" s="7"/>
    </row>
    <row r="72" spans="1:30" ht="15.6" x14ac:dyDescent="0.3">
      <c r="A72" s="4">
        <v>317</v>
      </c>
      <c r="B72" s="5" t="s">
        <v>841</v>
      </c>
      <c r="C72" s="6" t="s">
        <v>185</v>
      </c>
      <c r="D72" s="5" t="s">
        <v>842</v>
      </c>
      <c r="E72" s="5" t="s">
        <v>48</v>
      </c>
      <c r="F72" s="6" t="s">
        <v>843</v>
      </c>
      <c r="G72" s="6" t="s">
        <v>844</v>
      </c>
      <c r="H72" s="8">
        <v>0</v>
      </c>
      <c r="I72" s="6" t="s">
        <v>845</v>
      </c>
      <c r="J72" s="6" t="s">
        <v>846</v>
      </c>
      <c r="K72" s="6" t="s">
        <v>847</v>
      </c>
      <c r="L72" s="8">
        <v>-0.4</v>
      </c>
      <c r="M72" s="6" t="s">
        <v>848</v>
      </c>
      <c r="N72" s="8">
        <v>-0.4</v>
      </c>
      <c r="O72" s="6" t="s">
        <v>849</v>
      </c>
      <c r="P72" s="6" t="s">
        <v>850</v>
      </c>
      <c r="Q72" s="6" t="s">
        <v>217</v>
      </c>
      <c r="R72" s="6" t="s">
        <v>851</v>
      </c>
      <c r="S72" s="6">
        <v>258</v>
      </c>
      <c r="T72" s="6" t="s">
        <v>852</v>
      </c>
      <c r="U72" s="6" t="s">
        <v>217</v>
      </c>
      <c r="V72" s="6"/>
      <c r="W72" s="6"/>
      <c r="X72" s="6"/>
      <c r="Y72" s="6"/>
      <c r="Z72" s="6"/>
      <c r="AA72" s="6"/>
      <c r="AB72" s="6"/>
      <c r="AC72" s="6"/>
      <c r="AD72" s="7"/>
    </row>
    <row r="73" spans="1:30" ht="15.6" x14ac:dyDescent="0.3">
      <c r="A73" s="4">
        <v>318</v>
      </c>
      <c r="B73" s="5" t="s">
        <v>853</v>
      </c>
      <c r="C73" s="6" t="s">
        <v>291</v>
      </c>
      <c r="D73" s="5" t="s">
        <v>854</v>
      </c>
      <c r="E73" s="5" t="s">
        <v>48</v>
      </c>
      <c r="F73" s="6" t="s">
        <v>855</v>
      </c>
      <c r="G73" s="6" t="s">
        <v>856</v>
      </c>
      <c r="H73" s="8">
        <v>0</v>
      </c>
      <c r="I73" s="8">
        <v>-0.72</v>
      </c>
      <c r="J73" s="6" t="s">
        <v>482</v>
      </c>
      <c r="K73" s="6" t="s">
        <v>857</v>
      </c>
      <c r="L73" s="8">
        <v>-0.2</v>
      </c>
      <c r="M73" s="6" t="s">
        <v>858</v>
      </c>
      <c r="N73" s="8">
        <v>-0.2</v>
      </c>
      <c r="O73" s="6" t="s">
        <v>859</v>
      </c>
      <c r="P73" s="6" t="s">
        <v>860</v>
      </c>
      <c r="Q73" s="6" t="s">
        <v>217</v>
      </c>
      <c r="R73" s="6" t="s">
        <v>861</v>
      </c>
      <c r="S73" s="6">
        <v>35</v>
      </c>
      <c r="T73" s="6" t="s">
        <v>862</v>
      </c>
      <c r="U73" s="6">
        <f>4.6%</f>
        <v>4.5999999999999999E-2</v>
      </c>
      <c r="V73" s="5" t="s">
        <v>863</v>
      </c>
      <c r="W73" s="5" t="s">
        <v>864</v>
      </c>
      <c r="X73" s="6"/>
      <c r="Y73" s="6"/>
      <c r="Z73" s="6"/>
      <c r="AA73" s="6"/>
      <c r="AB73" s="6"/>
      <c r="AC73" s="6"/>
      <c r="AD73" s="7"/>
    </row>
    <row r="74" spans="1:30" ht="15.6" x14ac:dyDescent="0.3">
      <c r="A74" s="4">
        <v>319</v>
      </c>
      <c r="B74" s="5" t="s">
        <v>865</v>
      </c>
      <c r="C74" s="6" t="s">
        <v>173</v>
      </c>
      <c r="D74" s="5" t="s">
        <v>866</v>
      </c>
      <c r="E74" s="5" t="s">
        <v>48</v>
      </c>
      <c r="F74" s="6" t="s">
        <v>867</v>
      </c>
      <c r="G74" s="6" t="s">
        <v>868</v>
      </c>
      <c r="H74" s="8">
        <v>0</v>
      </c>
      <c r="I74" s="8">
        <v>-0.99</v>
      </c>
      <c r="J74" s="6" t="s">
        <v>758</v>
      </c>
      <c r="K74" s="6" t="s">
        <v>869</v>
      </c>
      <c r="L74" s="8">
        <v>-0.23</v>
      </c>
      <c r="M74" s="6" t="s">
        <v>870</v>
      </c>
      <c r="N74" s="8">
        <v>-0.23</v>
      </c>
      <c r="O74" s="6" t="s">
        <v>871</v>
      </c>
      <c r="P74" s="6" t="s">
        <v>872</v>
      </c>
      <c r="Q74" s="6" t="s">
        <v>217</v>
      </c>
      <c r="R74" s="6">
        <v>692</v>
      </c>
      <c r="S74" s="6">
        <v>10</v>
      </c>
      <c r="T74" s="6">
        <v>633</v>
      </c>
      <c r="U74" s="8">
        <v>-0.98</v>
      </c>
      <c r="V74" s="6"/>
      <c r="W74" s="6"/>
      <c r="X74" s="6"/>
      <c r="Y74" s="6"/>
      <c r="Z74" s="6"/>
      <c r="AA74" s="6"/>
      <c r="AB74" s="6"/>
      <c r="AC74" s="6"/>
      <c r="AD74" s="7"/>
    </row>
    <row r="75" spans="1:30" ht="15.6" x14ac:dyDescent="0.3">
      <c r="A75" s="4">
        <v>320</v>
      </c>
      <c r="B75" s="5" t="s">
        <v>873</v>
      </c>
      <c r="C75" s="6" t="s">
        <v>466</v>
      </c>
      <c r="D75" s="5" t="s">
        <v>874</v>
      </c>
      <c r="E75" s="5" t="s">
        <v>48</v>
      </c>
      <c r="F75" s="6" t="s">
        <v>875</v>
      </c>
      <c r="G75" s="6" t="s">
        <v>876</v>
      </c>
      <c r="H75" s="8">
        <v>0</v>
      </c>
      <c r="I75" s="6" t="s">
        <v>877</v>
      </c>
      <c r="J75" s="6" t="s">
        <v>153</v>
      </c>
      <c r="K75" s="6" t="s">
        <v>878</v>
      </c>
      <c r="L75" s="8">
        <v>-0.3</v>
      </c>
      <c r="M75" s="6" t="s">
        <v>879</v>
      </c>
      <c r="N75" s="8">
        <v>-0.3</v>
      </c>
      <c r="O75" s="6" t="s">
        <v>880</v>
      </c>
      <c r="P75" s="6" t="s">
        <v>881</v>
      </c>
      <c r="Q75" s="8">
        <v>-0.35</v>
      </c>
      <c r="R75" s="6" t="s">
        <v>882</v>
      </c>
      <c r="S75" s="6">
        <v>84</v>
      </c>
      <c r="T75" s="6" t="s">
        <v>883</v>
      </c>
      <c r="U75" s="8">
        <v>-0.27</v>
      </c>
      <c r="V75" s="6"/>
      <c r="W75" s="6"/>
      <c r="X75" s="6"/>
      <c r="Y75" s="6"/>
      <c r="Z75" s="6"/>
      <c r="AA75" s="6"/>
      <c r="AB75" s="6"/>
      <c r="AC75" s="6"/>
      <c r="AD75" s="7"/>
    </row>
    <row r="76" spans="1:30" ht="15.6" x14ac:dyDescent="0.3">
      <c r="A76" s="4">
        <v>321</v>
      </c>
      <c r="B76" s="5" t="s">
        <v>884</v>
      </c>
      <c r="C76" s="6" t="s">
        <v>31</v>
      </c>
      <c r="D76" s="5" t="s">
        <v>885</v>
      </c>
      <c r="E76" s="5" t="s">
        <v>48</v>
      </c>
      <c r="F76" s="6" t="s">
        <v>886</v>
      </c>
      <c r="G76" s="6" t="s">
        <v>887</v>
      </c>
      <c r="H76" s="8">
        <v>0</v>
      </c>
      <c r="I76" s="8">
        <v>-0.79</v>
      </c>
      <c r="J76" s="6" t="s">
        <v>888</v>
      </c>
      <c r="K76" s="6" t="s">
        <v>53</v>
      </c>
      <c r="L76" s="6" t="s">
        <v>889</v>
      </c>
      <c r="M76" s="6" t="s">
        <v>890</v>
      </c>
      <c r="N76" s="6" t="s">
        <v>889</v>
      </c>
      <c r="O76" s="6" t="s">
        <v>891</v>
      </c>
      <c r="P76" s="6" t="s">
        <v>892</v>
      </c>
      <c r="Q76" s="6" t="s">
        <v>217</v>
      </c>
      <c r="R76" s="6" t="s">
        <v>893</v>
      </c>
      <c r="S76" s="6">
        <v>259</v>
      </c>
      <c r="T76" s="6" t="s">
        <v>894</v>
      </c>
      <c r="U76" s="8">
        <v>-0.3</v>
      </c>
      <c r="V76" s="6"/>
      <c r="W76" s="6"/>
      <c r="X76" s="6"/>
      <c r="Y76" s="6"/>
      <c r="Z76" s="6"/>
      <c r="AA76" s="6"/>
      <c r="AB76" s="6"/>
      <c r="AC76" s="6"/>
      <c r="AD76" s="7"/>
    </row>
    <row r="77" spans="1:30" ht="15.6" x14ac:dyDescent="0.3">
      <c r="A77" s="4">
        <v>322</v>
      </c>
      <c r="B77" s="5" t="s">
        <v>895</v>
      </c>
      <c r="C77" s="6" t="s">
        <v>185</v>
      </c>
      <c r="D77" s="5" t="s">
        <v>896</v>
      </c>
      <c r="E77" s="5" t="s">
        <v>48</v>
      </c>
      <c r="F77" s="6" t="s">
        <v>897</v>
      </c>
      <c r="G77" s="6" t="s">
        <v>898</v>
      </c>
      <c r="H77" s="8">
        <v>0</v>
      </c>
      <c r="I77" s="8">
        <v>-0.44</v>
      </c>
      <c r="J77" s="6" t="s">
        <v>236</v>
      </c>
      <c r="K77" s="6" t="s">
        <v>899</v>
      </c>
      <c r="L77" s="6" t="s">
        <v>433</v>
      </c>
      <c r="M77" s="6" t="s">
        <v>900</v>
      </c>
      <c r="N77" s="6" t="s">
        <v>433</v>
      </c>
      <c r="O77" s="6" t="s">
        <v>901</v>
      </c>
      <c r="P77" s="6" t="s">
        <v>902</v>
      </c>
      <c r="Q77" s="6" t="s">
        <v>217</v>
      </c>
      <c r="R77" s="6" t="s">
        <v>903</v>
      </c>
      <c r="S77" s="6">
        <v>78</v>
      </c>
      <c r="T77" s="6" t="s">
        <v>904</v>
      </c>
      <c r="U77" s="6" t="s">
        <v>905</v>
      </c>
      <c r="V77" s="6"/>
      <c r="W77" s="6"/>
      <c r="X77" s="6"/>
      <c r="Y77" s="6"/>
      <c r="Z77" s="6"/>
      <c r="AA77" s="6"/>
      <c r="AB77" s="6"/>
      <c r="AC77" s="6"/>
      <c r="AD77" s="7"/>
    </row>
    <row r="78" spans="1:30" ht="15.6" x14ac:dyDescent="0.3">
      <c r="A78" s="4">
        <v>323</v>
      </c>
      <c r="B78" s="5" t="s">
        <v>906</v>
      </c>
      <c r="C78" s="6" t="s">
        <v>126</v>
      </c>
      <c r="D78" s="5" t="s">
        <v>907</v>
      </c>
      <c r="E78" s="5" t="s">
        <v>48</v>
      </c>
      <c r="F78" s="6" t="s">
        <v>908</v>
      </c>
      <c r="G78" s="6" t="s">
        <v>909</v>
      </c>
      <c r="H78" s="8">
        <v>0</v>
      </c>
      <c r="I78" s="8">
        <v>-0.86</v>
      </c>
      <c r="J78" s="6" t="s">
        <v>332</v>
      </c>
      <c r="K78" s="6" t="s">
        <v>910</v>
      </c>
      <c r="L78" s="8">
        <v>-0.24</v>
      </c>
      <c r="M78" s="6" t="s">
        <v>911</v>
      </c>
      <c r="N78" s="8">
        <v>-0.24</v>
      </c>
      <c r="O78" s="6" t="s">
        <v>912</v>
      </c>
      <c r="P78" s="6" t="s">
        <v>913</v>
      </c>
      <c r="Q78" s="6" t="s">
        <v>217</v>
      </c>
      <c r="R78" s="6" t="s">
        <v>914</v>
      </c>
      <c r="S78" s="6">
        <v>15</v>
      </c>
      <c r="T78" s="6" t="s">
        <v>915</v>
      </c>
      <c r="U78" s="6" t="s">
        <v>217</v>
      </c>
      <c r="V78" s="6"/>
      <c r="W78" s="6"/>
      <c r="X78" s="6"/>
      <c r="Y78" s="6"/>
      <c r="Z78" s="6"/>
      <c r="AA78" s="6"/>
      <c r="AB78" s="6"/>
      <c r="AC78" s="6"/>
      <c r="AD78" s="7"/>
    </row>
    <row r="79" spans="1:30" ht="15.6" x14ac:dyDescent="0.3">
      <c r="A79" s="4">
        <v>324</v>
      </c>
      <c r="B79" s="5" t="s">
        <v>916</v>
      </c>
      <c r="C79" s="6" t="s">
        <v>148</v>
      </c>
      <c r="D79" s="5" t="s">
        <v>917</v>
      </c>
      <c r="E79" s="5" t="s">
        <v>48</v>
      </c>
      <c r="F79" s="6" t="s">
        <v>918</v>
      </c>
      <c r="G79" s="6" t="s">
        <v>919</v>
      </c>
      <c r="H79" s="8">
        <v>0</v>
      </c>
      <c r="I79" s="6" t="s">
        <v>920</v>
      </c>
      <c r="J79" s="6" t="s">
        <v>442</v>
      </c>
      <c r="K79" s="6" t="s">
        <v>921</v>
      </c>
      <c r="L79" s="6" t="s">
        <v>922</v>
      </c>
      <c r="M79" s="6" t="s">
        <v>923</v>
      </c>
      <c r="N79" s="6" t="s">
        <v>924</v>
      </c>
      <c r="O79" s="6" t="s">
        <v>925</v>
      </c>
      <c r="P79" s="6" t="s">
        <v>926</v>
      </c>
      <c r="Q79" s="6" t="s">
        <v>217</v>
      </c>
      <c r="R79" s="6">
        <v>405</v>
      </c>
      <c r="S79" s="6">
        <v>1</v>
      </c>
      <c r="T79" s="6">
        <v>812</v>
      </c>
      <c r="U79" s="6" t="s">
        <v>9262</v>
      </c>
      <c r="V79" s="6"/>
      <c r="W79" s="6"/>
      <c r="X79" s="6"/>
      <c r="Y79" s="6"/>
      <c r="Z79" s="6"/>
      <c r="AA79" s="6"/>
      <c r="AB79" s="6"/>
      <c r="AC79" s="6"/>
      <c r="AD79" s="7"/>
    </row>
    <row r="80" spans="1:30" ht="15.6" x14ac:dyDescent="0.3">
      <c r="A80" s="4">
        <v>325</v>
      </c>
      <c r="B80" s="5" t="s">
        <v>927</v>
      </c>
      <c r="C80" s="6" t="s">
        <v>126</v>
      </c>
      <c r="D80" s="5" t="s">
        <v>928</v>
      </c>
      <c r="E80" s="5" t="s">
        <v>48</v>
      </c>
      <c r="F80" s="6" t="s">
        <v>929</v>
      </c>
      <c r="G80" s="6" t="s">
        <v>930</v>
      </c>
      <c r="H80" s="8">
        <v>0</v>
      </c>
      <c r="I80" s="8">
        <v>-0.42</v>
      </c>
      <c r="J80" s="6" t="s">
        <v>189</v>
      </c>
      <c r="K80" s="6" t="s">
        <v>931</v>
      </c>
      <c r="L80" s="6">
        <f>2.2%</f>
        <v>2.2000000000000002E-2</v>
      </c>
      <c r="M80" s="6" t="s">
        <v>932</v>
      </c>
      <c r="N80" s="6">
        <f>2.2%</f>
        <v>2.2000000000000002E-2</v>
      </c>
      <c r="O80" s="6" t="s">
        <v>933</v>
      </c>
      <c r="P80" s="6" t="s">
        <v>360</v>
      </c>
      <c r="Q80" s="6" t="s">
        <v>217</v>
      </c>
      <c r="R80" s="6" t="s">
        <v>934</v>
      </c>
      <c r="S80" s="6">
        <v>30</v>
      </c>
      <c r="T80" s="6" t="s">
        <v>935</v>
      </c>
      <c r="U80" s="6">
        <f>0.82%</f>
        <v>8.199999999999999E-3</v>
      </c>
      <c r="V80" s="6"/>
      <c r="W80" s="6"/>
      <c r="X80" s="6"/>
      <c r="Y80" s="6"/>
      <c r="Z80" s="6"/>
      <c r="AA80" s="6"/>
      <c r="AB80" s="6"/>
      <c r="AC80" s="6"/>
      <c r="AD80" s="7"/>
    </row>
    <row r="81" spans="1:30" ht="15.6" x14ac:dyDescent="0.3">
      <c r="A81" s="4">
        <v>326</v>
      </c>
      <c r="B81" s="5" t="s">
        <v>936</v>
      </c>
      <c r="C81" s="6" t="s">
        <v>126</v>
      </c>
      <c r="D81" s="5" t="s">
        <v>937</v>
      </c>
      <c r="E81" s="5" t="s">
        <v>48</v>
      </c>
      <c r="F81" s="6" t="s">
        <v>938</v>
      </c>
      <c r="G81" s="6" t="s">
        <v>939</v>
      </c>
      <c r="H81" s="8">
        <v>0</v>
      </c>
      <c r="I81" s="8">
        <v>-0.8</v>
      </c>
      <c r="J81" s="6" t="s">
        <v>107</v>
      </c>
      <c r="K81" s="6" t="s">
        <v>940</v>
      </c>
      <c r="L81" s="8">
        <v>-0.19</v>
      </c>
      <c r="M81" s="6" t="s">
        <v>941</v>
      </c>
      <c r="N81" s="8">
        <v>-0.19</v>
      </c>
      <c r="O81" s="6" t="s">
        <v>942</v>
      </c>
      <c r="P81" s="6" t="s">
        <v>943</v>
      </c>
      <c r="Q81" s="6" t="s">
        <v>217</v>
      </c>
      <c r="R81" s="6" t="s">
        <v>944</v>
      </c>
      <c r="S81" s="6">
        <v>139</v>
      </c>
      <c r="T81" s="6" t="s">
        <v>945</v>
      </c>
      <c r="U81" s="6" t="s">
        <v>217</v>
      </c>
      <c r="V81" s="6"/>
      <c r="W81" s="6"/>
      <c r="X81" s="6"/>
      <c r="Y81" s="6"/>
      <c r="Z81" s="6"/>
      <c r="AA81" s="6"/>
      <c r="AB81" s="6"/>
      <c r="AC81" s="6"/>
      <c r="AD81" s="7"/>
    </row>
    <row r="82" spans="1:30" ht="15.6" x14ac:dyDescent="0.3">
      <c r="A82" s="4">
        <v>327</v>
      </c>
      <c r="B82" s="5" t="s">
        <v>946</v>
      </c>
      <c r="C82" s="6" t="s">
        <v>148</v>
      </c>
      <c r="D82" s="5" t="s">
        <v>947</v>
      </c>
      <c r="E82" s="5" t="s">
        <v>48</v>
      </c>
      <c r="F82" s="6" t="s">
        <v>948</v>
      </c>
      <c r="G82" s="6" t="s">
        <v>949</v>
      </c>
      <c r="H82" s="8">
        <v>0</v>
      </c>
      <c r="I82" s="6">
        <f>110%</f>
        <v>1.1000000000000001</v>
      </c>
      <c r="J82" s="6" t="s">
        <v>950</v>
      </c>
      <c r="K82" s="6" t="s">
        <v>951</v>
      </c>
      <c r="L82" s="6" t="s">
        <v>217</v>
      </c>
      <c r="M82" s="6" t="s">
        <v>952</v>
      </c>
      <c r="N82" s="6">
        <f>20%</f>
        <v>0.2</v>
      </c>
      <c r="O82" s="6" t="s">
        <v>953</v>
      </c>
      <c r="P82" s="6" t="s">
        <v>954</v>
      </c>
      <c r="Q82" s="6" t="s">
        <v>217</v>
      </c>
      <c r="R82" s="6" t="s">
        <v>955</v>
      </c>
      <c r="S82" s="6">
        <v>9</v>
      </c>
      <c r="T82" s="6" t="s">
        <v>956</v>
      </c>
      <c r="U82" s="6">
        <f>32%</f>
        <v>0.32</v>
      </c>
      <c r="V82" s="6"/>
      <c r="W82" s="6"/>
      <c r="X82" s="6"/>
      <c r="Y82" s="6"/>
      <c r="Z82" s="6"/>
      <c r="AA82" s="6"/>
      <c r="AB82" s="6"/>
      <c r="AC82" s="6"/>
      <c r="AD82" s="7"/>
    </row>
    <row r="83" spans="1:30" ht="15.6" x14ac:dyDescent="0.3">
      <c r="A83" s="4">
        <v>328</v>
      </c>
      <c r="B83" s="5" t="s">
        <v>957</v>
      </c>
      <c r="C83" s="6" t="s">
        <v>85</v>
      </c>
      <c r="D83" s="5" t="s">
        <v>958</v>
      </c>
      <c r="E83" s="5" t="s">
        <v>48</v>
      </c>
      <c r="F83" s="6" t="s">
        <v>959</v>
      </c>
      <c r="G83" s="6" t="s">
        <v>960</v>
      </c>
      <c r="H83" s="8">
        <v>0</v>
      </c>
      <c r="I83" s="6" t="s">
        <v>961</v>
      </c>
      <c r="J83" s="6" t="s">
        <v>411</v>
      </c>
      <c r="K83" s="6" t="s">
        <v>962</v>
      </c>
      <c r="L83" s="6" t="s">
        <v>217</v>
      </c>
      <c r="M83" s="6" t="s">
        <v>963</v>
      </c>
      <c r="N83" s="6" t="s">
        <v>964</v>
      </c>
      <c r="O83" s="6" t="s">
        <v>965</v>
      </c>
      <c r="P83" s="6" t="s">
        <v>966</v>
      </c>
      <c r="Q83" s="8">
        <v>-0.33</v>
      </c>
      <c r="R83" s="6" t="s">
        <v>967</v>
      </c>
      <c r="S83" s="6">
        <v>119</v>
      </c>
      <c r="T83" s="6" t="s">
        <v>968</v>
      </c>
      <c r="U83" s="8">
        <v>-0.45</v>
      </c>
      <c r="V83" s="6"/>
      <c r="W83" s="6"/>
      <c r="X83" s="6"/>
      <c r="Y83" s="6"/>
      <c r="Z83" s="6"/>
      <c r="AA83" s="6"/>
      <c r="AB83" s="6"/>
      <c r="AC83" s="6"/>
      <c r="AD83" s="7"/>
    </row>
    <row r="84" spans="1:30" ht="15.6" x14ac:dyDescent="0.3">
      <c r="A84" s="4">
        <v>329</v>
      </c>
      <c r="B84" s="5" t="s">
        <v>969</v>
      </c>
      <c r="C84" s="6" t="s">
        <v>72</v>
      </c>
      <c r="D84" s="5" t="s">
        <v>970</v>
      </c>
      <c r="E84" s="5" t="s">
        <v>48</v>
      </c>
      <c r="F84" s="6" t="s">
        <v>971</v>
      </c>
      <c r="G84" s="6" t="s">
        <v>972</v>
      </c>
      <c r="H84" s="8">
        <v>0</v>
      </c>
      <c r="I84" s="8">
        <v>-0.66</v>
      </c>
      <c r="J84" s="6" t="s">
        <v>973</v>
      </c>
      <c r="K84" s="6" t="s">
        <v>974</v>
      </c>
      <c r="L84" s="8">
        <v>-0.44</v>
      </c>
      <c r="M84" s="6" t="s">
        <v>975</v>
      </c>
      <c r="N84" s="8">
        <v>-0.44</v>
      </c>
      <c r="O84" s="6" t="s">
        <v>976</v>
      </c>
      <c r="P84" s="6" t="s">
        <v>977</v>
      </c>
      <c r="Q84" s="6" t="s">
        <v>217</v>
      </c>
      <c r="R84" s="6" t="s">
        <v>978</v>
      </c>
      <c r="S84" s="6">
        <v>36</v>
      </c>
      <c r="T84" s="6" t="s">
        <v>979</v>
      </c>
      <c r="U84" s="8">
        <v>-0.95</v>
      </c>
      <c r="V84" s="6"/>
      <c r="W84" s="6"/>
      <c r="X84" s="6"/>
      <c r="Y84" s="6"/>
      <c r="Z84" s="6"/>
      <c r="AA84" s="6"/>
      <c r="AB84" s="6"/>
      <c r="AC84" s="6"/>
      <c r="AD84" s="7"/>
    </row>
    <row r="85" spans="1:30" ht="15.6" x14ac:dyDescent="0.3">
      <c r="A85" s="4">
        <v>330</v>
      </c>
      <c r="B85" s="5" t="s">
        <v>980</v>
      </c>
      <c r="C85" s="6" t="s">
        <v>291</v>
      </c>
      <c r="D85" s="5" t="s">
        <v>981</v>
      </c>
      <c r="E85" s="5" t="s">
        <v>48</v>
      </c>
      <c r="F85" s="6" t="s">
        <v>982</v>
      </c>
      <c r="G85" s="6" t="s">
        <v>983</v>
      </c>
      <c r="H85" s="8">
        <v>0</v>
      </c>
      <c r="I85" s="8">
        <v>-0.66</v>
      </c>
      <c r="J85" s="6" t="s">
        <v>984</v>
      </c>
      <c r="K85" s="6" t="s">
        <v>985</v>
      </c>
      <c r="L85" s="8">
        <v>-0.3</v>
      </c>
      <c r="M85" s="6" t="s">
        <v>986</v>
      </c>
      <c r="N85" s="8">
        <v>-0.3</v>
      </c>
      <c r="O85" s="6" t="s">
        <v>987</v>
      </c>
      <c r="P85" s="6" t="s">
        <v>988</v>
      </c>
      <c r="Q85" s="6" t="s">
        <v>217</v>
      </c>
      <c r="R85" s="6" t="s">
        <v>989</v>
      </c>
      <c r="S85" s="6">
        <v>6</v>
      </c>
      <c r="T85" s="6" t="s">
        <v>990</v>
      </c>
      <c r="U85" s="6">
        <f>1.9%</f>
        <v>1.9E-2</v>
      </c>
      <c r="V85" s="6"/>
      <c r="W85" s="6"/>
      <c r="X85" s="6"/>
      <c r="Y85" s="6"/>
      <c r="Z85" s="6"/>
      <c r="AA85" s="6"/>
      <c r="AB85" s="6"/>
      <c r="AC85" s="6"/>
      <c r="AD85" s="7"/>
    </row>
    <row r="86" spans="1:30" ht="15.6" x14ac:dyDescent="0.3">
      <c r="A86" s="4">
        <v>331</v>
      </c>
      <c r="B86" s="5" t="s">
        <v>991</v>
      </c>
      <c r="C86" s="6" t="s">
        <v>126</v>
      </c>
      <c r="D86" s="5" t="s">
        <v>992</v>
      </c>
      <c r="E86" s="5" t="s">
        <v>48</v>
      </c>
      <c r="F86" s="6" t="s">
        <v>993</v>
      </c>
      <c r="G86" s="6" t="s">
        <v>994</v>
      </c>
      <c r="H86" s="8">
        <v>0</v>
      </c>
      <c r="I86" s="6" t="s">
        <v>995</v>
      </c>
      <c r="J86" s="6" t="s">
        <v>309</v>
      </c>
      <c r="K86" s="6" t="s">
        <v>53</v>
      </c>
      <c r="L86" s="8">
        <v>-0.03</v>
      </c>
      <c r="M86" s="6" t="s">
        <v>996</v>
      </c>
      <c r="N86" s="8">
        <v>-0.03</v>
      </c>
      <c r="O86" s="6" t="s">
        <v>997</v>
      </c>
      <c r="P86" s="6" t="s">
        <v>998</v>
      </c>
      <c r="Q86" s="6" t="s">
        <v>217</v>
      </c>
      <c r="R86" s="6" t="s">
        <v>999</v>
      </c>
      <c r="S86" s="6">
        <v>214</v>
      </c>
      <c r="T86" s="6" t="s">
        <v>1000</v>
      </c>
      <c r="U86" s="6">
        <f>130%</f>
        <v>1.3</v>
      </c>
      <c r="V86" s="6"/>
      <c r="W86" s="6"/>
      <c r="X86" s="6"/>
      <c r="Y86" s="6"/>
      <c r="Z86" s="6"/>
      <c r="AA86" s="6"/>
      <c r="AB86" s="6"/>
      <c r="AC86" s="6"/>
      <c r="AD86" s="7"/>
    </row>
    <row r="87" spans="1:30" ht="15.6" x14ac:dyDescent="0.3">
      <c r="A87" s="4">
        <v>332</v>
      </c>
      <c r="B87" s="5" t="s">
        <v>1001</v>
      </c>
      <c r="C87" s="6" t="s">
        <v>1002</v>
      </c>
      <c r="D87" s="5" t="s">
        <v>1003</v>
      </c>
      <c r="E87" s="5" t="s">
        <v>162</v>
      </c>
      <c r="F87" s="6" t="s">
        <v>1004</v>
      </c>
      <c r="G87" s="6" t="s">
        <v>1005</v>
      </c>
      <c r="H87" s="8">
        <v>0</v>
      </c>
      <c r="I87" s="6" t="s">
        <v>1006</v>
      </c>
      <c r="J87" s="6" t="s">
        <v>698</v>
      </c>
      <c r="K87" s="6" t="s">
        <v>1007</v>
      </c>
      <c r="L87" s="6">
        <f>5.4%</f>
        <v>5.4000000000000006E-2</v>
      </c>
      <c r="M87" s="6" t="s">
        <v>1008</v>
      </c>
      <c r="N87" s="6">
        <f>5.4%</f>
        <v>5.4000000000000006E-2</v>
      </c>
      <c r="O87" s="6" t="s">
        <v>1009</v>
      </c>
      <c r="P87" s="6" t="s">
        <v>1010</v>
      </c>
      <c r="Q87" s="6" t="s">
        <v>217</v>
      </c>
      <c r="R87" s="6" t="s">
        <v>1011</v>
      </c>
      <c r="S87" s="6">
        <v>23</v>
      </c>
      <c r="T87" s="6" t="s">
        <v>392</v>
      </c>
      <c r="U87" s="6">
        <f>0.27%</f>
        <v>2.7000000000000001E-3</v>
      </c>
      <c r="V87" s="6"/>
      <c r="W87" s="6"/>
      <c r="X87" s="6"/>
      <c r="Y87" s="6"/>
      <c r="Z87" s="6"/>
      <c r="AA87" s="6"/>
      <c r="AB87" s="6"/>
      <c r="AC87" s="6"/>
      <c r="AD87" s="7"/>
    </row>
    <row r="88" spans="1:30" ht="15.6" x14ac:dyDescent="0.3">
      <c r="A88" s="4">
        <v>333</v>
      </c>
      <c r="B88" s="5" t="s">
        <v>1012</v>
      </c>
      <c r="C88" s="6" t="s">
        <v>1013</v>
      </c>
      <c r="D88" s="5" t="s">
        <v>1014</v>
      </c>
      <c r="E88" s="5" t="s">
        <v>162</v>
      </c>
      <c r="F88" s="6" t="s">
        <v>1015</v>
      </c>
      <c r="G88" s="6" t="s">
        <v>1016</v>
      </c>
      <c r="H88" s="8">
        <v>0</v>
      </c>
      <c r="I88" s="8">
        <v>-0.61</v>
      </c>
      <c r="J88" s="6" t="s">
        <v>225</v>
      </c>
      <c r="K88" s="6" t="s">
        <v>1017</v>
      </c>
      <c r="L88" s="8">
        <v>-0.14000000000000001</v>
      </c>
      <c r="M88" s="6" t="s">
        <v>1018</v>
      </c>
      <c r="N88" s="8">
        <v>-0.14000000000000001</v>
      </c>
      <c r="O88" s="6" t="s">
        <v>1019</v>
      </c>
      <c r="P88" s="6" t="s">
        <v>1020</v>
      </c>
      <c r="Q88" s="6" t="s">
        <v>217</v>
      </c>
      <c r="R88" s="6" t="s">
        <v>1021</v>
      </c>
      <c r="S88" s="6">
        <v>5</v>
      </c>
      <c r="T88" s="6" t="s">
        <v>1022</v>
      </c>
      <c r="U88" s="6" t="s">
        <v>217</v>
      </c>
      <c r="V88" s="6"/>
      <c r="W88" s="6"/>
      <c r="X88" s="6"/>
      <c r="Y88" s="6"/>
      <c r="Z88" s="6"/>
      <c r="AA88" s="6"/>
      <c r="AB88" s="6"/>
      <c r="AC88" s="6"/>
      <c r="AD88" s="7"/>
    </row>
    <row r="89" spans="1:30" ht="15.6" x14ac:dyDescent="0.3">
      <c r="A89" s="4">
        <v>334</v>
      </c>
      <c r="B89" s="5" t="s">
        <v>1023</v>
      </c>
      <c r="C89" s="6" t="s">
        <v>72</v>
      </c>
      <c r="D89" s="5" t="s">
        <v>1024</v>
      </c>
      <c r="E89" s="5" t="s">
        <v>221</v>
      </c>
      <c r="F89" s="6" t="s">
        <v>1025</v>
      </c>
      <c r="G89" s="6" t="s">
        <v>1026</v>
      </c>
      <c r="H89" s="8">
        <v>0</v>
      </c>
      <c r="I89" s="6" t="s">
        <v>1027</v>
      </c>
      <c r="J89" s="6" t="s">
        <v>250</v>
      </c>
      <c r="K89" s="6" t="s">
        <v>1028</v>
      </c>
      <c r="L89" s="6" t="s">
        <v>217</v>
      </c>
      <c r="M89" s="6" t="s">
        <v>1029</v>
      </c>
      <c r="N89" s="6" t="s">
        <v>1030</v>
      </c>
      <c r="O89" s="6" t="s">
        <v>1031</v>
      </c>
      <c r="P89" s="6" t="s">
        <v>1032</v>
      </c>
      <c r="Q89" s="6">
        <f>0.072%</f>
        <v>7.1999999999999994E-4</v>
      </c>
      <c r="R89" s="6" t="s">
        <v>1033</v>
      </c>
      <c r="S89" s="6">
        <v>47</v>
      </c>
      <c r="T89" s="6" t="s">
        <v>1034</v>
      </c>
      <c r="U89" s="8">
        <v>-1</v>
      </c>
      <c r="V89" s="6"/>
      <c r="W89" s="6"/>
      <c r="X89" s="6"/>
      <c r="Y89" s="6"/>
      <c r="Z89" s="6"/>
      <c r="AA89" s="6"/>
      <c r="AB89" s="6"/>
      <c r="AC89" s="6"/>
      <c r="AD89" s="7"/>
    </row>
    <row r="90" spans="1:30" ht="15.6" x14ac:dyDescent="0.3">
      <c r="A90" s="4">
        <v>335</v>
      </c>
      <c r="B90" s="5" t="s">
        <v>1035</v>
      </c>
      <c r="C90" s="6" t="s">
        <v>60</v>
      </c>
      <c r="D90" s="5" t="s">
        <v>1036</v>
      </c>
      <c r="E90" s="5" t="s">
        <v>48</v>
      </c>
      <c r="F90" s="6" t="s">
        <v>1037</v>
      </c>
      <c r="G90" s="6" t="s">
        <v>1038</v>
      </c>
      <c r="H90" s="8">
        <v>0</v>
      </c>
      <c r="I90" s="8">
        <v>-0.52</v>
      </c>
      <c r="J90" s="6" t="s">
        <v>385</v>
      </c>
      <c r="K90" s="6" t="s">
        <v>1039</v>
      </c>
      <c r="L90" s="8">
        <v>-0.21</v>
      </c>
      <c r="M90" s="6" t="s">
        <v>1040</v>
      </c>
      <c r="N90" s="8">
        <v>-0.21</v>
      </c>
      <c r="O90" s="6" t="s">
        <v>1041</v>
      </c>
      <c r="P90" s="6" t="s">
        <v>1042</v>
      </c>
      <c r="Q90" s="6" t="s">
        <v>217</v>
      </c>
      <c r="R90" s="6" t="s">
        <v>1043</v>
      </c>
      <c r="S90" s="6">
        <v>55</v>
      </c>
      <c r="T90" s="6">
        <v>716</v>
      </c>
      <c r="U90" s="6">
        <f>15%</f>
        <v>0.15</v>
      </c>
      <c r="V90" s="6"/>
      <c r="W90" s="6"/>
      <c r="X90" s="6"/>
      <c r="Y90" s="6"/>
      <c r="Z90" s="6"/>
      <c r="AA90" s="6"/>
      <c r="AB90" s="6"/>
      <c r="AC90" s="6"/>
      <c r="AD90" s="7"/>
    </row>
    <row r="91" spans="1:30" ht="15.6" x14ac:dyDescent="0.3">
      <c r="A91" s="4">
        <v>337</v>
      </c>
      <c r="B91" s="5" t="s">
        <v>1044</v>
      </c>
      <c r="C91" s="6" t="s">
        <v>370</v>
      </c>
      <c r="D91" s="5" t="s">
        <v>1045</v>
      </c>
      <c r="E91" s="5" t="s">
        <v>162</v>
      </c>
      <c r="F91" s="6" t="s">
        <v>1046</v>
      </c>
      <c r="G91" s="6" t="s">
        <v>1047</v>
      </c>
      <c r="H91" s="8">
        <v>0</v>
      </c>
      <c r="I91" s="6" t="s">
        <v>877</v>
      </c>
      <c r="J91" s="6" t="s">
        <v>1048</v>
      </c>
      <c r="K91" s="6" t="s">
        <v>1049</v>
      </c>
      <c r="L91" s="6" t="s">
        <v>217</v>
      </c>
      <c r="M91" s="6" t="s">
        <v>1050</v>
      </c>
      <c r="N91" s="8">
        <v>-0.16</v>
      </c>
      <c r="O91" s="6" t="s">
        <v>1051</v>
      </c>
      <c r="P91" s="6" t="s">
        <v>1052</v>
      </c>
      <c r="Q91" s="6">
        <f>20%</f>
        <v>0.2</v>
      </c>
      <c r="R91" s="6" t="s">
        <v>1053</v>
      </c>
      <c r="S91" s="6">
        <v>138</v>
      </c>
      <c r="T91" s="6" t="s">
        <v>1054</v>
      </c>
      <c r="U91" s="6">
        <f>1.7%</f>
        <v>1.7000000000000001E-2</v>
      </c>
      <c r="V91" s="6"/>
      <c r="W91" s="6"/>
      <c r="X91" s="6"/>
      <c r="Y91" s="6"/>
      <c r="Z91" s="6"/>
      <c r="AA91" s="6"/>
      <c r="AB91" s="6"/>
      <c r="AC91" s="6"/>
      <c r="AD91" s="7"/>
    </row>
    <row r="92" spans="1:30" ht="15.6" x14ac:dyDescent="0.3">
      <c r="A92" s="4">
        <v>338</v>
      </c>
      <c r="B92" s="5" t="s">
        <v>1055</v>
      </c>
      <c r="C92" s="6" t="s">
        <v>370</v>
      </c>
      <c r="D92" s="5" t="s">
        <v>1056</v>
      </c>
      <c r="E92" s="5" t="s">
        <v>48</v>
      </c>
      <c r="F92" s="6" t="s">
        <v>1057</v>
      </c>
      <c r="G92" s="6" t="s">
        <v>1058</v>
      </c>
      <c r="H92" s="8">
        <v>0</v>
      </c>
      <c r="I92" s="6" t="s">
        <v>877</v>
      </c>
      <c r="J92" s="6" t="s">
        <v>1059</v>
      </c>
      <c r="K92" s="6" t="s">
        <v>1060</v>
      </c>
      <c r="L92" s="6" t="s">
        <v>1061</v>
      </c>
      <c r="M92" s="6" t="s">
        <v>1062</v>
      </c>
      <c r="N92" s="6" t="s">
        <v>1061</v>
      </c>
      <c r="O92" s="6" t="s">
        <v>1063</v>
      </c>
      <c r="P92" s="6" t="s">
        <v>1064</v>
      </c>
      <c r="Q92" s="8">
        <v>-0.17</v>
      </c>
      <c r="R92" s="6" t="s">
        <v>1065</v>
      </c>
      <c r="S92" s="6">
        <v>20</v>
      </c>
      <c r="T92" s="6" t="s">
        <v>1066</v>
      </c>
      <c r="U92" s="8">
        <v>-0.46</v>
      </c>
      <c r="V92" s="6"/>
      <c r="W92" s="6"/>
      <c r="X92" s="6"/>
      <c r="Y92" s="6"/>
      <c r="Z92" s="6"/>
      <c r="AA92" s="6"/>
      <c r="AB92" s="6"/>
      <c r="AC92" s="6"/>
      <c r="AD92" s="7"/>
    </row>
    <row r="93" spans="1:30" ht="15.6" x14ac:dyDescent="0.3">
      <c r="A93" s="4">
        <v>339</v>
      </c>
      <c r="B93" s="5" t="s">
        <v>1067</v>
      </c>
      <c r="C93" s="6" t="s">
        <v>72</v>
      </c>
      <c r="D93" s="5" t="s">
        <v>1068</v>
      </c>
      <c r="E93" s="5" t="s">
        <v>48</v>
      </c>
      <c r="F93" s="6" t="s">
        <v>1069</v>
      </c>
      <c r="G93" s="6" t="s">
        <v>1070</v>
      </c>
      <c r="H93" s="8">
        <v>0</v>
      </c>
      <c r="I93" s="8">
        <v>-0.26</v>
      </c>
      <c r="J93" s="6" t="s">
        <v>1071</v>
      </c>
      <c r="K93" s="6" t="s">
        <v>1072</v>
      </c>
      <c r="L93" s="6">
        <f>20%</f>
        <v>0.2</v>
      </c>
      <c r="M93" s="6" t="s">
        <v>1073</v>
      </c>
      <c r="N93" s="6">
        <f>20%</f>
        <v>0.2</v>
      </c>
      <c r="O93" s="6" t="s">
        <v>1074</v>
      </c>
      <c r="P93" s="6" t="s">
        <v>1075</v>
      </c>
      <c r="Q93" s="6" t="s">
        <v>217</v>
      </c>
      <c r="R93" s="6" t="s">
        <v>1076</v>
      </c>
      <c r="S93" s="6">
        <v>8</v>
      </c>
      <c r="T93" s="6" t="s">
        <v>1077</v>
      </c>
      <c r="U93" s="6">
        <f>150%</f>
        <v>1.5</v>
      </c>
      <c r="V93" s="6"/>
      <c r="W93" s="6"/>
      <c r="X93" s="6"/>
      <c r="Y93" s="6"/>
      <c r="Z93" s="6"/>
      <c r="AA93" s="6"/>
      <c r="AB93" s="6"/>
      <c r="AC93" s="6"/>
      <c r="AD93" s="7"/>
    </row>
    <row r="94" spans="1:30" ht="15.6" x14ac:dyDescent="0.3">
      <c r="A94" s="4">
        <v>340</v>
      </c>
      <c r="B94" s="5" t="s">
        <v>1078</v>
      </c>
      <c r="C94" s="6" t="s">
        <v>185</v>
      </c>
      <c r="D94" s="5" t="s">
        <v>1079</v>
      </c>
      <c r="E94" s="5" t="s">
        <v>48</v>
      </c>
      <c r="F94" s="6" t="s">
        <v>1080</v>
      </c>
      <c r="G94" s="6" t="s">
        <v>1081</v>
      </c>
      <c r="H94" s="8">
        <v>0</v>
      </c>
      <c r="I94" s="8">
        <v>-0.18</v>
      </c>
      <c r="J94" s="6" t="s">
        <v>385</v>
      </c>
      <c r="K94" s="6" t="s">
        <v>1082</v>
      </c>
      <c r="L94" s="6">
        <f>2.1%</f>
        <v>2.1000000000000001E-2</v>
      </c>
      <c r="M94" s="6" t="s">
        <v>1083</v>
      </c>
      <c r="N94" s="6">
        <f>2.1%</f>
        <v>2.1000000000000001E-2</v>
      </c>
      <c r="O94" s="6" t="s">
        <v>1084</v>
      </c>
      <c r="P94" s="6" t="s">
        <v>1085</v>
      </c>
      <c r="Q94" s="6" t="s">
        <v>217</v>
      </c>
      <c r="R94" s="6" t="s">
        <v>1086</v>
      </c>
      <c r="S94" s="6">
        <v>41</v>
      </c>
      <c r="T94" s="6" t="s">
        <v>1087</v>
      </c>
      <c r="U94" s="6">
        <f>22%</f>
        <v>0.22</v>
      </c>
      <c r="V94" s="6"/>
      <c r="W94" s="6"/>
      <c r="X94" s="6"/>
      <c r="Y94" s="6"/>
      <c r="Z94" s="6"/>
      <c r="AA94" s="6"/>
      <c r="AB94" s="6"/>
      <c r="AC94" s="6"/>
      <c r="AD94" s="7"/>
    </row>
    <row r="95" spans="1:30" ht="15.6" x14ac:dyDescent="0.3">
      <c r="A95" s="4">
        <v>341</v>
      </c>
      <c r="B95" s="5" t="s">
        <v>1088</v>
      </c>
      <c r="C95" s="6" t="s">
        <v>126</v>
      </c>
      <c r="D95" s="5" t="s">
        <v>1089</v>
      </c>
      <c r="E95" s="5" t="s">
        <v>48</v>
      </c>
      <c r="F95" s="6" t="s">
        <v>1090</v>
      </c>
      <c r="G95" s="6" t="s">
        <v>1091</v>
      </c>
      <c r="H95" s="8">
        <v>0</v>
      </c>
      <c r="I95" s="6" t="s">
        <v>1092</v>
      </c>
      <c r="J95" s="6" t="s">
        <v>1093</v>
      </c>
      <c r="K95" s="6" t="s">
        <v>1094</v>
      </c>
      <c r="L95" s="6" t="s">
        <v>217</v>
      </c>
      <c r="M95" s="6" t="s">
        <v>1095</v>
      </c>
      <c r="N95" s="8">
        <v>-0.04</v>
      </c>
      <c r="O95" s="6" t="s">
        <v>1096</v>
      </c>
      <c r="P95" s="6" t="s">
        <v>217</v>
      </c>
      <c r="Q95" s="6" t="s">
        <v>217</v>
      </c>
      <c r="R95" s="6">
        <v>309</v>
      </c>
      <c r="S95" s="6">
        <v>0</v>
      </c>
      <c r="T95" s="6" t="s">
        <v>783</v>
      </c>
      <c r="U95" s="6" t="s">
        <v>217</v>
      </c>
      <c r="V95" s="6"/>
      <c r="W95" s="6"/>
      <c r="X95" s="6"/>
      <c r="Y95" s="6"/>
      <c r="Z95" s="6"/>
      <c r="AA95" s="6"/>
      <c r="AB95" s="6"/>
      <c r="AC95" s="6"/>
      <c r="AD95" s="7"/>
    </row>
    <row r="96" spans="1:30" ht="15.6" x14ac:dyDescent="0.3">
      <c r="A96" s="4">
        <v>342</v>
      </c>
      <c r="B96" s="5" t="s">
        <v>1097</v>
      </c>
      <c r="C96" s="6" t="s">
        <v>267</v>
      </c>
      <c r="D96" s="5" t="s">
        <v>1098</v>
      </c>
      <c r="E96" s="5" t="s">
        <v>162</v>
      </c>
      <c r="F96" s="6" t="s">
        <v>1099</v>
      </c>
      <c r="G96" s="6" t="s">
        <v>1100</v>
      </c>
      <c r="H96" s="8">
        <v>0</v>
      </c>
      <c r="I96" s="6" t="s">
        <v>1101</v>
      </c>
      <c r="J96" s="6" t="s">
        <v>606</v>
      </c>
      <c r="K96" s="6" t="s">
        <v>1102</v>
      </c>
      <c r="L96" s="8">
        <v>-0.19</v>
      </c>
      <c r="M96" s="6" t="s">
        <v>1103</v>
      </c>
      <c r="N96" s="8">
        <v>-0.19</v>
      </c>
      <c r="O96" s="6" t="s">
        <v>1104</v>
      </c>
      <c r="P96" s="6" t="s">
        <v>217</v>
      </c>
      <c r="Q96" s="6" t="s">
        <v>217</v>
      </c>
      <c r="R96" s="6" t="s">
        <v>1105</v>
      </c>
      <c r="S96" s="6">
        <v>7</v>
      </c>
      <c r="T96" s="6">
        <v>427</v>
      </c>
      <c r="U96" s="6" t="s">
        <v>217</v>
      </c>
      <c r="V96" s="6"/>
      <c r="W96" s="6"/>
      <c r="X96" s="6"/>
      <c r="Y96" s="6"/>
      <c r="Z96" s="6"/>
      <c r="AA96" s="6"/>
      <c r="AB96" s="6"/>
      <c r="AC96" s="6"/>
      <c r="AD96" s="7"/>
    </row>
    <row r="97" spans="1:30" ht="15.6" x14ac:dyDescent="0.3">
      <c r="A97" s="4">
        <v>343</v>
      </c>
      <c r="B97" s="5" t="s">
        <v>1106</v>
      </c>
      <c r="C97" s="6" t="s">
        <v>72</v>
      </c>
      <c r="D97" s="5" t="s">
        <v>1107</v>
      </c>
      <c r="E97" s="5" t="s">
        <v>162</v>
      </c>
      <c r="F97" s="6" t="s">
        <v>1108</v>
      </c>
      <c r="G97" s="6" t="s">
        <v>1109</v>
      </c>
      <c r="H97" s="8">
        <v>0</v>
      </c>
      <c r="I97" s="6" t="s">
        <v>217</v>
      </c>
      <c r="J97" s="6" t="s">
        <v>1110</v>
      </c>
      <c r="K97" s="6" t="s">
        <v>1111</v>
      </c>
      <c r="L97" s="6" t="s">
        <v>1112</v>
      </c>
      <c r="M97" s="6" t="s">
        <v>1113</v>
      </c>
      <c r="N97" s="6" t="s">
        <v>1112</v>
      </c>
      <c r="O97" s="6" t="s">
        <v>1114</v>
      </c>
      <c r="P97" s="6" t="s">
        <v>217</v>
      </c>
      <c r="Q97" s="6" t="s">
        <v>217</v>
      </c>
      <c r="R97" s="6" t="s">
        <v>1115</v>
      </c>
      <c r="S97" s="6">
        <v>7</v>
      </c>
      <c r="T97" s="6" t="s">
        <v>1116</v>
      </c>
      <c r="U97" s="6" t="s">
        <v>217</v>
      </c>
      <c r="V97" s="6"/>
      <c r="W97" s="6"/>
      <c r="X97" s="6"/>
      <c r="Y97" s="6"/>
      <c r="Z97" s="6"/>
      <c r="AA97" s="6"/>
      <c r="AB97" s="6"/>
      <c r="AC97" s="6"/>
      <c r="AD97" s="7"/>
    </row>
    <row r="98" spans="1:30" ht="15.6" x14ac:dyDescent="0.3">
      <c r="A98" s="4">
        <v>344</v>
      </c>
      <c r="B98" s="5" t="s">
        <v>1117</v>
      </c>
      <c r="C98" s="6" t="s">
        <v>173</v>
      </c>
      <c r="D98" s="5" t="s">
        <v>1118</v>
      </c>
      <c r="E98" s="5" t="s">
        <v>48</v>
      </c>
      <c r="F98" s="6" t="s">
        <v>1119</v>
      </c>
      <c r="G98" s="6" t="s">
        <v>1120</v>
      </c>
      <c r="H98" s="8">
        <v>0</v>
      </c>
      <c r="I98" s="8">
        <v>-0.39</v>
      </c>
      <c r="J98" s="6" t="s">
        <v>517</v>
      </c>
      <c r="K98" s="6" t="s">
        <v>658</v>
      </c>
      <c r="L98" s="6" t="s">
        <v>217</v>
      </c>
      <c r="M98" s="6" t="s">
        <v>1121</v>
      </c>
      <c r="N98" s="6" t="s">
        <v>1122</v>
      </c>
      <c r="O98" s="6" t="s">
        <v>1123</v>
      </c>
      <c r="P98" s="6" t="s">
        <v>1124</v>
      </c>
      <c r="Q98" s="6" t="s">
        <v>217</v>
      </c>
      <c r="R98" s="6" t="s">
        <v>1125</v>
      </c>
      <c r="S98" s="6">
        <v>50</v>
      </c>
      <c r="T98" s="6" t="s">
        <v>347</v>
      </c>
      <c r="U98" s="6">
        <f>32%</f>
        <v>0.32</v>
      </c>
      <c r="V98" s="6"/>
      <c r="W98" s="6"/>
      <c r="X98" s="6"/>
      <c r="Y98" s="6"/>
      <c r="Z98" s="6"/>
      <c r="AA98" s="6"/>
      <c r="AB98" s="6"/>
      <c r="AC98" s="6"/>
      <c r="AD98" s="7"/>
    </row>
    <row r="99" spans="1:30" ht="15.6" x14ac:dyDescent="0.3">
      <c r="A99" s="4">
        <v>345</v>
      </c>
      <c r="B99" s="5" t="s">
        <v>1126</v>
      </c>
      <c r="C99" s="6" t="s">
        <v>304</v>
      </c>
      <c r="D99" s="5" t="s">
        <v>1127</v>
      </c>
      <c r="E99" s="5" t="s">
        <v>48</v>
      </c>
      <c r="F99" s="6" t="s">
        <v>1128</v>
      </c>
      <c r="G99" s="6" t="s">
        <v>1129</v>
      </c>
      <c r="H99" s="8">
        <v>0</v>
      </c>
      <c r="I99" s="8">
        <v>-0.97</v>
      </c>
      <c r="J99" s="6" t="s">
        <v>1130</v>
      </c>
      <c r="K99" s="6" t="s">
        <v>1131</v>
      </c>
      <c r="L99" s="8">
        <v>-0.36</v>
      </c>
      <c r="M99" s="6" t="s">
        <v>1132</v>
      </c>
      <c r="N99" s="8">
        <v>-0.36</v>
      </c>
      <c r="O99" s="6" t="s">
        <v>1133</v>
      </c>
      <c r="P99" s="6" t="s">
        <v>1087</v>
      </c>
      <c r="Q99" s="6" t="s">
        <v>217</v>
      </c>
      <c r="R99" s="6" t="s">
        <v>1134</v>
      </c>
      <c r="S99" s="6">
        <v>259</v>
      </c>
      <c r="T99" s="6" t="s">
        <v>1135</v>
      </c>
      <c r="U99" s="6" t="s">
        <v>217</v>
      </c>
      <c r="V99" s="6"/>
      <c r="W99" s="6"/>
      <c r="X99" s="6"/>
      <c r="Y99" s="6"/>
      <c r="Z99" s="6"/>
      <c r="AA99" s="6"/>
      <c r="AB99" s="6"/>
      <c r="AC99" s="6"/>
      <c r="AD99" s="7"/>
    </row>
    <row r="100" spans="1:30" ht="15.6" x14ac:dyDescent="0.3">
      <c r="A100" s="4">
        <v>346</v>
      </c>
      <c r="B100" s="5" t="s">
        <v>1136</v>
      </c>
      <c r="C100" s="6" t="s">
        <v>114</v>
      </c>
      <c r="D100" s="5" t="s">
        <v>1137</v>
      </c>
      <c r="E100" s="5" t="s">
        <v>48</v>
      </c>
      <c r="F100" s="6" t="s">
        <v>1138</v>
      </c>
      <c r="G100" s="6" t="s">
        <v>1139</v>
      </c>
      <c r="H100" s="8">
        <v>0</v>
      </c>
      <c r="I100" s="6" t="s">
        <v>806</v>
      </c>
      <c r="J100" s="6" t="s">
        <v>482</v>
      </c>
      <c r="K100" s="6" t="s">
        <v>1140</v>
      </c>
      <c r="L100" s="8">
        <v>-0.24</v>
      </c>
      <c r="M100" s="6" t="s">
        <v>1141</v>
      </c>
      <c r="N100" s="8">
        <v>-0.24</v>
      </c>
      <c r="O100" s="6" t="s">
        <v>1142</v>
      </c>
      <c r="P100" s="6" t="s">
        <v>1143</v>
      </c>
      <c r="Q100" s="8">
        <v>-0.59</v>
      </c>
      <c r="R100" s="6">
        <v>805</v>
      </c>
      <c r="S100" s="6">
        <v>22</v>
      </c>
      <c r="T100" s="6" t="s">
        <v>1144</v>
      </c>
      <c r="U100" s="8">
        <v>-0.82</v>
      </c>
      <c r="V100" s="6"/>
      <c r="W100" s="6"/>
      <c r="X100" s="6"/>
      <c r="Y100" s="6"/>
      <c r="Z100" s="6"/>
      <c r="AA100" s="6"/>
      <c r="AB100" s="6"/>
      <c r="AC100" s="6"/>
      <c r="AD100" s="7"/>
    </row>
    <row r="101" spans="1:30" ht="15.6" x14ac:dyDescent="0.3">
      <c r="A101" s="4">
        <v>347</v>
      </c>
      <c r="B101" s="5" t="s">
        <v>1145</v>
      </c>
      <c r="C101" s="6" t="s">
        <v>46</v>
      </c>
      <c r="D101" s="5" t="s">
        <v>1146</v>
      </c>
      <c r="E101" s="5" t="s">
        <v>48</v>
      </c>
      <c r="F101" s="6" t="s">
        <v>1147</v>
      </c>
      <c r="G101" s="6" t="s">
        <v>1148</v>
      </c>
      <c r="H101" s="8">
        <v>0</v>
      </c>
      <c r="I101" s="8">
        <v>-0.7</v>
      </c>
      <c r="J101" s="6" t="s">
        <v>411</v>
      </c>
      <c r="K101" s="6" t="s">
        <v>518</v>
      </c>
      <c r="L101" s="8">
        <v>-0.32</v>
      </c>
      <c r="M101" s="6" t="s">
        <v>1149</v>
      </c>
      <c r="N101" s="8">
        <v>-0.32</v>
      </c>
      <c r="O101" s="6" t="s">
        <v>1150</v>
      </c>
      <c r="P101" s="6" t="s">
        <v>1151</v>
      </c>
      <c r="Q101" s="6" t="s">
        <v>217</v>
      </c>
      <c r="R101" s="6" t="s">
        <v>1152</v>
      </c>
      <c r="S101" s="6">
        <v>41</v>
      </c>
      <c r="T101" s="6" t="s">
        <v>1153</v>
      </c>
      <c r="U101" s="6" t="s">
        <v>217</v>
      </c>
      <c r="V101" s="6"/>
      <c r="W101" s="6"/>
      <c r="X101" s="6"/>
      <c r="Y101" s="6"/>
      <c r="Z101" s="6"/>
      <c r="AA101" s="6"/>
      <c r="AB101" s="6"/>
      <c r="AC101" s="6"/>
      <c r="AD101" s="7"/>
    </row>
    <row r="102" spans="1:30" ht="15.6" x14ac:dyDescent="0.3">
      <c r="A102" s="4">
        <v>349</v>
      </c>
      <c r="B102" s="5" t="s">
        <v>1154</v>
      </c>
      <c r="C102" s="6" t="s">
        <v>46</v>
      </c>
      <c r="D102" s="5" t="s">
        <v>1155</v>
      </c>
      <c r="E102" s="5" t="s">
        <v>48</v>
      </c>
      <c r="F102" s="6" t="s">
        <v>1156</v>
      </c>
      <c r="G102" s="6" t="s">
        <v>1157</v>
      </c>
      <c r="H102" s="8">
        <v>0</v>
      </c>
      <c r="I102" s="8">
        <v>-0.91</v>
      </c>
      <c r="J102" s="6" t="s">
        <v>64</v>
      </c>
      <c r="K102" s="6" t="s">
        <v>1158</v>
      </c>
      <c r="L102" s="8">
        <v>-0.27</v>
      </c>
      <c r="M102" s="6" t="s">
        <v>1159</v>
      </c>
      <c r="N102" s="8">
        <v>-0.27</v>
      </c>
      <c r="O102" s="6" t="s">
        <v>1160</v>
      </c>
      <c r="P102" s="6" t="s">
        <v>1161</v>
      </c>
      <c r="Q102" s="6" t="s">
        <v>217</v>
      </c>
      <c r="R102" s="6" t="s">
        <v>1162</v>
      </c>
      <c r="S102" s="6">
        <v>50</v>
      </c>
      <c r="T102" s="6" t="s">
        <v>1163</v>
      </c>
      <c r="U102" s="6" t="s">
        <v>217</v>
      </c>
      <c r="V102" s="6"/>
      <c r="W102" s="6"/>
      <c r="X102" s="6"/>
      <c r="Y102" s="6"/>
      <c r="Z102" s="6"/>
      <c r="AA102" s="6"/>
      <c r="AB102" s="6"/>
      <c r="AC102" s="6"/>
      <c r="AD102" s="7"/>
    </row>
    <row r="103" spans="1:30" ht="15.6" x14ac:dyDescent="0.3">
      <c r="A103" s="4">
        <v>350</v>
      </c>
      <c r="B103" s="5" t="s">
        <v>1164</v>
      </c>
      <c r="C103" s="6" t="s">
        <v>102</v>
      </c>
      <c r="D103" s="5" t="s">
        <v>1165</v>
      </c>
      <c r="E103" s="5" t="s">
        <v>48</v>
      </c>
      <c r="F103" s="6" t="s">
        <v>1166</v>
      </c>
      <c r="G103" s="6" t="s">
        <v>1167</v>
      </c>
      <c r="H103" s="8">
        <v>0</v>
      </c>
      <c r="I103" s="6" t="s">
        <v>1168</v>
      </c>
      <c r="J103" s="6" t="s">
        <v>199</v>
      </c>
      <c r="K103" s="6" t="s">
        <v>1169</v>
      </c>
      <c r="L103" s="8">
        <v>-0.19</v>
      </c>
      <c r="M103" s="6" t="s">
        <v>1170</v>
      </c>
      <c r="N103" s="8">
        <v>-0.19</v>
      </c>
      <c r="O103" s="6" t="s">
        <v>1171</v>
      </c>
      <c r="P103" s="6" t="s">
        <v>204</v>
      </c>
      <c r="Q103" s="6">
        <f>18%</f>
        <v>0.18</v>
      </c>
      <c r="R103" s="6">
        <v>743</v>
      </c>
      <c r="S103" s="6">
        <v>19</v>
      </c>
      <c r="T103" s="6">
        <v>796</v>
      </c>
      <c r="U103" s="6">
        <f>77%</f>
        <v>0.77</v>
      </c>
      <c r="V103" s="6"/>
      <c r="W103" s="6"/>
      <c r="X103" s="6"/>
      <c r="Y103" s="6"/>
      <c r="Z103" s="6"/>
      <c r="AA103" s="6"/>
      <c r="AB103" s="6"/>
      <c r="AC103" s="6"/>
      <c r="AD103" s="7"/>
    </row>
    <row r="104" spans="1:30" ht="15.6" x14ac:dyDescent="0.3">
      <c r="A104" s="4">
        <v>351</v>
      </c>
      <c r="B104" s="5" t="s">
        <v>1172</v>
      </c>
      <c r="C104" s="6" t="s">
        <v>72</v>
      </c>
      <c r="D104" s="5" t="s">
        <v>1173</v>
      </c>
      <c r="E104" s="5" t="s">
        <v>48</v>
      </c>
      <c r="F104" s="6" t="s">
        <v>1174</v>
      </c>
      <c r="G104" s="6" t="s">
        <v>1175</v>
      </c>
      <c r="H104" s="8">
        <v>0</v>
      </c>
      <c r="I104" s="8">
        <v>-0.92</v>
      </c>
      <c r="J104" s="6" t="s">
        <v>984</v>
      </c>
      <c r="K104" s="6" t="s">
        <v>1176</v>
      </c>
      <c r="L104" s="8">
        <v>-0.3</v>
      </c>
      <c r="M104" s="6" t="s">
        <v>1177</v>
      </c>
      <c r="N104" s="8">
        <v>-0.3</v>
      </c>
      <c r="O104" s="6" t="s">
        <v>1178</v>
      </c>
      <c r="P104" s="6" t="s">
        <v>1179</v>
      </c>
      <c r="Q104" s="6" t="s">
        <v>217</v>
      </c>
      <c r="R104" s="6">
        <v>357</v>
      </c>
      <c r="S104" s="6">
        <v>10</v>
      </c>
      <c r="T104" s="6">
        <v>515</v>
      </c>
      <c r="U104" s="8">
        <v>-0.51</v>
      </c>
      <c r="V104" s="6"/>
      <c r="W104" s="6"/>
      <c r="X104" s="6"/>
      <c r="Y104" s="6"/>
      <c r="Z104" s="6"/>
      <c r="AA104" s="6"/>
      <c r="AB104" s="6"/>
      <c r="AC104" s="6"/>
      <c r="AD104" s="7"/>
    </row>
    <row r="105" spans="1:30" ht="15.6" x14ac:dyDescent="0.3">
      <c r="A105" s="4">
        <v>352</v>
      </c>
      <c r="B105" s="5" t="s">
        <v>1180</v>
      </c>
      <c r="C105" s="6" t="s">
        <v>126</v>
      </c>
      <c r="D105" s="5" t="s">
        <v>1181</v>
      </c>
      <c r="E105" s="5" t="s">
        <v>48</v>
      </c>
      <c r="F105" s="6" t="s">
        <v>1182</v>
      </c>
      <c r="G105" s="6" t="s">
        <v>1183</v>
      </c>
      <c r="H105" s="8">
        <v>0</v>
      </c>
      <c r="I105" s="6" t="s">
        <v>666</v>
      </c>
      <c r="J105" s="6" t="s">
        <v>1184</v>
      </c>
      <c r="K105" s="6" t="s">
        <v>1185</v>
      </c>
      <c r="L105" s="8">
        <v>-0.17</v>
      </c>
      <c r="M105" s="6" t="s">
        <v>1186</v>
      </c>
      <c r="N105" s="8">
        <v>-0.17</v>
      </c>
      <c r="O105" s="6" t="s">
        <v>1187</v>
      </c>
      <c r="P105" s="6" t="s">
        <v>1188</v>
      </c>
      <c r="Q105" s="6" t="s">
        <v>217</v>
      </c>
      <c r="R105" s="6" t="s">
        <v>1189</v>
      </c>
      <c r="S105" s="6">
        <v>47</v>
      </c>
      <c r="T105" s="6" t="s">
        <v>1190</v>
      </c>
      <c r="U105" s="8">
        <v>-0.32</v>
      </c>
      <c r="V105" s="6"/>
      <c r="W105" s="6"/>
      <c r="X105" s="6"/>
      <c r="Y105" s="6"/>
      <c r="Z105" s="6"/>
      <c r="AA105" s="6"/>
      <c r="AB105" s="6"/>
      <c r="AC105" s="6"/>
      <c r="AD105" s="7"/>
    </row>
    <row r="106" spans="1:30" ht="15.6" x14ac:dyDescent="0.3">
      <c r="A106" s="4">
        <v>353</v>
      </c>
      <c r="B106" s="5" t="s">
        <v>1191</v>
      </c>
      <c r="C106" s="6" t="s">
        <v>60</v>
      </c>
      <c r="D106" s="5" t="s">
        <v>1192</v>
      </c>
      <c r="E106" s="5" t="s">
        <v>48</v>
      </c>
      <c r="F106" s="6" t="s">
        <v>1193</v>
      </c>
      <c r="G106" s="6" t="s">
        <v>1194</v>
      </c>
      <c r="H106" s="8">
        <v>0</v>
      </c>
      <c r="I106" s="6" t="s">
        <v>1195</v>
      </c>
      <c r="J106" s="6" t="s">
        <v>606</v>
      </c>
      <c r="K106" s="6" t="s">
        <v>1196</v>
      </c>
      <c r="L106" s="8">
        <v>-0.22</v>
      </c>
      <c r="M106" s="6" t="s">
        <v>1197</v>
      </c>
      <c r="N106" s="8">
        <v>-0.22</v>
      </c>
      <c r="O106" s="6" t="s">
        <v>1198</v>
      </c>
      <c r="P106" s="6" t="s">
        <v>1199</v>
      </c>
      <c r="Q106" s="6" t="s">
        <v>217</v>
      </c>
      <c r="R106" s="6">
        <v>506</v>
      </c>
      <c r="S106" s="6">
        <v>12</v>
      </c>
      <c r="T106" s="6">
        <v>710</v>
      </c>
      <c r="U106" s="6" t="s">
        <v>217</v>
      </c>
      <c r="V106" s="6"/>
      <c r="W106" s="6"/>
      <c r="X106" s="6"/>
      <c r="Y106" s="6"/>
      <c r="Z106" s="6"/>
      <c r="AA106" s="6"/>
      <c r="AB106" s="6"/>
      <c r="AC106" s="6"/>
      <c r="AD106" s="7"/>
    </row>
    <row r="107" spans="1:30" ht="15.6" x14ac:dyDescent="0.3">
      <c r="A107" s="4">
        <v>354</v>
      </c>
      <c r="B107" s="5" t="s">
        <v>1200</v>
      </c>
      <c r="C107" s="6" t="s">
        <v>72</v>
      </c>
      <c r="D107" s="5" t="s">
        <v>1201</v>
      </c>
      <c r="E107" s="5" t="s">
        <v>48</v>
      </c>
      <c r="F107" s="6" t="s">
        <v>1202</v>
      </c>
      <c r="G107" s="6" t="s">
        <v>1203</v>
      </c>
      <c r="H107" s="8">
        <v>0</v>
      </c>
      <c r="I107" s="8">
        <v>-0.6</v>
      </c>
      <c r="J107" s="6" t="s">
        <v>584</v>
      </c>
      <c r="K107" s="6" t="s">
        <v>1204</v>
      </c>
      <c r="L107" s="8">
        <v>-0.1</v>
      </c>
      <c r="M107" s="6" t="s">
        <v>1205</v>
      </c>
      <c r="N107" s="8">
        <v>-0.1</v>
      </c>
      <c r="O107" s="6" t="s">
        <v>1206</v>
      </c>
      <c r="P107" s="6" t="s">
        <v>1207</v>
      </c>
      <c r="Q107" s="6" t="s">
        <v>217</v>
      </c>
      <c r="R107" s="6">
        <v>704</v>
      </c>
      <c r="S107" s="6">
        <v>3</v>
      </c>
      <c r="T107" s="6">
        <v>978</v>
      </c>
      <c r="U107" s="6">
        <f>1.7%</f>
        <v>1.7000000000000001E-2</v>
      </c>
      <c r="V107" s="6"/>
      <c r="W107" s="6"/>
      <c r="X107" s="6"/>
      <c r="Y107" s="6"/>
      <c r="Z107" s="6"/>
      <c r="AA107" s="6"/>
      <c r="AB107" s="6"/>
      <c r="AC107" s="6"/>
      <c r="AD107" s="7"/>
    </row>
    <row r="108" spans="1:30" ht="15.6" x14ac:dyDescent="0.3">
      <c r="A108" s="4">
        <v>355</v>
      </c>
      <c r="B108" s="5" t="s">
        <v>1208</v>
      </c>
      <c r="C108" s="6" t="s">
        <v>1013</v>
      </c>
      <c r="D108" s="5" t="s">
        <v>1209</v>
      </c>
      <c r="E108" s="5" t="s">
        <v>33</v>
      </c>
      <c r="F108" s="6" t="s">
        <v>1210</v>
      </c>
      <c r="G108" s="6" t="s">
        <v>1211</v>
      </c>
      <c r="H108" s="8">
        <v>0</v>
      </c>
      <c r="I108" s="6" t="s">
        <v>1027</v>
      </c>
      <c r="J108" s="6" t="s">
        <v>141</v>
      </c>
      <c r="K108" s="6" t="s">
        <v>1212</v>
      </c>
      <c r="L108" s="6">
        <f>57%</f>
        <v>0.56999999999999995</v>
      </c>
      <c r="M108" s="6" t="s">
        <v>1213</v>
      </c>
      <c r="N108" s="6">
        <f>57%</f>
        <v>0.56999999999999995</v>
      </c>
      <c r="O108" s="6" t="s">
        <v>1214</v>
      </c>
      <c r="P108" s="6" t="s">
        <v>1215</v>
      </c>
      <c r="Q108" s="6">
        <f>470%</f>
        <v>4.7</v>
      </c>
      <c r="R108" s="6">
        <v>805</v>
      </c>
      <c r="S108" s="6">
        <v>19</v>
      </c>
      <c r="T108" s="6" t="s">
        <v>1216</v>
      </c>
      <c r="U108" s="8">
        <v>-0.97</v>
      </c>
      <c r="V108" s="6"/>
      <c r="W108" s="6"/>
      <c r="X108" s="6"/>
      <c r="Y108" s="6"/>
      <c r="Z108" s="6"/>
      <c r="AA108" s="6"/>
      <c r="AB108" s="6"/>
      <c r="AC108" s="6"/>
      <c r="AD108" s="7"/>
    </row>
    <row r="109" spans="1:30" ht="15.6" x14ac:dyDescent="0.3">
      <c r="A109" s="4">
        <v>356</v>
      </c>
      <c r="B109" s="5" t="s">
        <v>1217</v>
      </c>
      <c r="C109" s="6" t="s">
        <v>114</v>
      </c>
      <c r="D109" s="5" t="s">
        <v>1218</v>
      </c>
      <c r="E109" s="5" t="s">
        <v>48</v>
      </c>
      <c r="F109" s="6" t="s">
        <v>1219</v>
      </c>
      <c r="G109" s="6" t="s">
        <v>1220</v>
      </c>
      <c r="H109" s="8">
        <v>0</v>
      </c>
      <c r="I109" s="8">
        <v>-0.45</v>
      </c>
      <c r="J109" s="6" t="s">
        <v>321</v>
      </c>
      <c r="K109" s="6" t="s">
        <v>1221</v>
      </c>
      <c r="L109" s="6" t="s">
        <v>217</v>
      </c>
      <c r="M109" s="6" t="s">
        <v>1222</v>
      </c>
      <c r="N109" s="6" t="s">
        <v>217</v>
      </c>
      <c r="O109" s="6" t="s">
        <v>1223</v>
      </c>
      <c r="P109" s="6" t="s">
        <v>1224</v>
      </c>
      <c r="Q109" s="6" t="s">
        <v>217</v>
      </c>
      <c r="R109" s="6">
        <v>159</v>
      </c>
      <c r="S109" s="6">
        <v>3</v>
      </c>
      <c r="T109" s="6">
        <v>118</v>
      </c>
      <c r="U109" s="6" t="s">
        <v>217</v>
      </c>
      <c r="V109" s="6"/>
      <c r="W109" s="6"/>
      <c r="X109" s="6"/>
      <c r="Y109" s="6"/>
      <c r="Z109" s="6"/>
      <c r="AA109" s="6"/>
      <c r="AB109" s="6"/>
      <c r="AC109" s="6"/>
      <c r="AD109" s="7"/>
    </row>
    <row r="110" spans="1:30" ht="15.6" x14ac:dyDescent="0.3">
      <c r="A110" s="4">
        <v>357</v>
      </c>
      <c r="B110" s="5" t="s">
        <v>1225</v>
      </c>
      <c r="C110" s="6" t="s">
        <v>546</v>
      </c>
      <c r="D110" s="5" t="s">
        <v>1226</v>
      </c>
      <c r="E110" s="5" t="s">
        <v>33</v>
      </c>
      <c r="F110" s="6" t="s">
        <v>1227</v>
      </c>
      <c r="G110" s="6" t="s">
        <v>1228</v>
      </c>
      <c r="H110" s="8">
        <v>0</v>
      </c>
      <c r="I110" s="6" t="s">
        <v>1229</v>
      </c>
      <c r="J110" s="6" t="s">
        <v>824</v>
      </c>
      <c r="K110" s="6" t="s">
        <v>1230</v>
      </c>
      <c r="L110" s="8">
        <v>-0.41</v>
      </c>
      <c r="M110" s="6" t="s">
        <v>1231</v>
      </c>
      <c r="N110" s="8">
        <v>-0.41</v>
      </c>
      <c r="O110" s="6" t="s">
        <v>1232</v>
      </c>
      <c r="P110" s="6" t="s">
        <v>1233</v>
      </c>
      <c r="Q110" s="6" t="s">
        <v>217</v>
      </c>
      <c r="R110" s="6">
        <v>166</v>
      </c>
      <c r="S110" s="6">
        <v>3</v>
      </c>
      <c r="T110" s="6">
        <v>265</v>
      </c>
      <c r="U110" s="6" t="s">
        <v>9262</v>
      </c>
      <c r="V110" s="6"/>
      <c r="W110" s="6"/>
      <c r="X110" s="6"/>
      <c r="Y110" s="6"/>
      <c r="Z110" s="6"/>
      <c r="AA110" s="6"/>
      <c r="AB110" s="6"/>
      <c r="AC110" s="6"/>
      <c r="AD110" s="7"/>
    </row>
    <row r="111" spans="1:30" ht="15.6" x14ac:dyDescent="0.3">
      <c r="A111" s="4">
        <v>358</v>
      </c>
      <c r="B111" s="5" t="s">
        <v>1234</v>
      </c>
      <c r="C111" s="6" t="s">
        <v>546</v>
      </c>
      <c r="D111" s="5" t="s">
        <v>1235</v>
      </c>
      <c r="E111" s="5" t="s">
        <v>48</v>
      </c>
      <c r="F111" s="6" t="s">
        <v>1236</v>
      </c>
      <c r="G111" s="6" t="s">
        <v>1237</v>
      </c>
      <c r="H111" s="8">
        <v>0</v>
      </c>
      <c r="I111" s="8">
        <v>-0.95</v>
      </c>
      <c r="J111" s="6" t="s">
        <v>1238</v>
      </c>
      <c r="K111" s="6" t="s">
        <v>1239</v>
      </c>
      <c r="L111" s="8">
        <v>-0.17</v>
      </c>
      <c r="M111" s="6" t="s">
        <v>1240</v>
      </c>
      <c r="N111" s="8">
        <v>-0.17</v>
      </c>
      <c r="O111" s="6" t="s">
        <v>1241</v>
      </c>
      <c r="P111" s="6" t="s">
        <v>1242</v>
      </c>
      <c r="Q111" s="6" t="s">
        <v>217</v>
      </c>
      <c r="R111" s="6">
        <v>909</v>
      </c>
      <c r="S111" s="6">
        <v>6</v>
      </c>
      <c r="T111" s="6">
        <v>530</v>
      </c>
      <c r="U111" s="6" t="s">
        <v>217</v>
      </c>
      <c r="V111" s="6"/>
      <c r="W111" s="6"/>
      <c r="X111" s="6"/>
      <c r="Y111" s="6"/>
      <c r="Z111" s="6"/>
      <c r="AA111" s="6"/>
      <c r="AB111" s="6"/>
      <c r="AC111" s="6"/>
      <c r="AD111" s="7"/>
    </row>
    <row r="112" spans="1:30" ht="15.6" x14ac:dyDescent="0.3">
      <c r="A112" s="4">
        <v>359</v>
      </c>
      <c r="B112" s="5" t="s">
        <v>1243</v>
      </c>
      <c r="C112" s="6" t="s">
        <v>1244</v>
      </c>
      <c r="D112" s="5" t="s">
        <v>1245</v>
      </c>
      <c r="E112" s="5" t="s">
        <v>48</v>
      </c>
      <c r="F112" s="6" t="s">
        <v>1246</v>
      </c>
      <c r="G112" s="6" t="s">
        <v>1247</v>
      </c>
      <c r="H112" s="8">
        <v>0</v>
      </c>
      <c r="I112" s="6" t="s">
        <v>877</v>
      </c>
      <c r="J112" s="6" t="s">
        <v>888</v>
      </c>
      <c r="K112" s="6" t="s">
        <v>1248</v>
      </c>
      <c r="L112" s="8">
        <v>-0.51</v>
      </c>
      <c r="M112" s="6" t="s">
        <v>1249</v>
      </c>
      <c r="N112" s="8">
        <v>-0.51</v>
      </c>
      <c r="O112" s="6" t="s">
        <v>1250</v>
      </c>
      <c r="P112" s="6" t="s">
        <v>1251</v>
      </c>
      <c r="Q112" s="6" t="s">
        <v>217</v>
      </c>
      <c r="R112" s="6" t="s">
        <v>1252</v>
      </c>
      <c r="S112" s="6">
        <v>68</v>
      </c>
      <c r="T112" s="6" t="s">
        <v>1253</v>
      </c>
      <c r="U112" s="6" t="s">
        <v>217</v>
      </c>
      <c r="V112" s="6"/>
      <c r="W112" s="6"/>
      <c r="X112" s="6"/>
      <c r="Y112" s="6"/>
      <c r="Z112" s="6"/>
      <c r="AA112" s="6"/>
      <c r="AB112" s="6"/>
      <c r="AC112" s="6"/>
      <c r="AD112" s="7"/>
    </row>
    <row r="113" spans="1:30" ht="15.6" x14ac:dyDescent="0.3">
      <c r="A113" s="4">
        <v>360</v>
      </c>
      <c r="B113" s="5" t="s">
        <v>1254</v>
      </c>
      <c r="C113" s="6" t="s">
        <v>406</v>
      </c>
      <c r="D113" s="5" t="s">
        <v>1255</v>
      </c>
      <c r="E113" s="5" t="s">
        <v>48</v>
      </c>
      <c r="F113" s="6" t="s">
        <v>1256</v>
      </c>
      <c r="G113" s="6" t="s">
        <v>1257</v>
      </c>
      <c r="H113" s="8">
        <v>0</v>
      </c>
      <c r="I113" s="6" t="s">
        <v>877</v>
      </c>
      <c r="J113" s="6" t="s">
        <v>1258</v>
      </c>
      <c r="K113" s="6" t="s">
        <v>658</v>
      </c>
      <c r="L113" s="8">
        <v>-0.45</v>
      </c>
      <c r="M113" s="6" t="s">
        <v>1259</v>
      </c>
      <c r="N113" s="8">
        <v>-0.45</v>
      </c>
      <c r="O113" s="6" t="s">
        <v>1260</v>
      </c>
      <c r="P113" s="6" t="s">
        <v>1261</v>
      </c>
      <c r="Q113" s="6"/>
      <c r="R113" s="6" t="s">
        <v>1262</v>
      </c>
      <c r="S113" s="6">
        <v>13</v>
      </c>
      <c r="T113" s="6" t="s">
        <v>1263</v>
      </c>
      <c r="U113" s="8">
        <v>-0.31</v>
      </c>
      <c r="V113" s="6"/>
      <c r="W113" s="6"/>
      <c r="X113" s="6"/>
      <c r="Y113" s="6"/>
      <c r="Z113" s="6"/>
      <c r="AA113" s="6"/>
      <c r="AB113" s="6"/>
      <c r="AC113" s="6"/>
      <c r="AD113" s="7"/>
    </row>
    <row r="114" spans="1:30" ht="15.6" x14ac:dyDescent="0.3">
      <c r="A114" s="4">
        <v>361</v>
      </c>
      <c r="B114" s="5" t="s">
        <v>1264</v>
      </c>
      <c r="C114" s="6" t="s">
        <v>72</v>
      </c>
      <c r="D114" s="5" t="s">
        <v>1265</v>
      </c>
      <c r="E114" s="5" t="s">
        <v>48</v>
      </c>
      <c r="F114" s="6" t="s">
        <v>1266</v>
      </c>
      <c r="G114" s="6" t="s">
        <v>1267</v>
      </c>
      <c r="H114" s="8">
        <v>0</v>
      </c>
      <c r="I114" s="6" t="s">
        <v>845</v>
      </c>
      <c r="J114" s="6" t="s">
        <v>494</v>
      </c>
      <c r="K114" s="6" t="s">
        <v>1268</v>
      </c>
      <c r="L114" s="6" t="s">
        <v>1269</v>
      </c>
      <c r="M114" s="6" t="s">
        <v>1270</v>
      </c>
      <c r="N114" s="6" t="s">
        <v>1269</v>
      </c>
      <c r="O114" s="6" t="s">
        <v>1271</v>
      </c>
      <c r="P114" s="6" t="s">
        <v>1272</v>
      </c>
      <c r="Q114" s="6" t="s">
        <v>217</v>
      </c>
      <c r="R114" s="6" t="s">
        <v>1273</v>
      </c>
      <c r="S114" s="6">
        <v>94</v>
      </c>
      <c r="T114" s="6" t="s">
        <v>1274</v>
      </c>
      <c r="U114" s="6" t="s">
        <v>217</v>
      </c>
      <c r="V114" s="6"/>
      <c r="W114" s="6"/>
      <c r="X114" s="6"/>
      <c r="Y114" s="6"/>
      <c r="Z114" s="6"/>
      <c r="AA114" s="6"/>
      <c r="AB114" s="6"/>
      <c r="AC114" s="6"/>
      <c r="AD114" s="7"/>
    </row>
    <row r="115" spans="1:30" ht="15.6" x14ac:dyDescent="0.3">
      <c r="A115" s="4">
        <v>362</v>
      </c>
      <c r="B115" s="5" t="s">
        <v>1275</v>
      </c>
      <c r="C115" s="6" t="s">
        <v>1276</v>
      </c>
      <c r="D115" s="5" t="s">
        <v>1277</v>
      </c>
      <c r="E115" s="5" t="s">
        <v>48</v>
      </c>
      <c r="F115" s="6" t="s">
        <v>1278</v>
      </c>
      <c r="G115" s="6" t="s">
        <v>1279</v>
      </c>
      <c r="H115" s="8">
        <v>0</v>
      </c>
      <c r="I115" s="8">
        <v>-0.92</v>
      </c>
      <c r="J115" s="6" t="s">
        <v>888</v>
      </c>
      <c r="K115" s="6" t="s">
        <v>1280</v>
      </c>
      <c r="L115" s="8">
        <v>-0.17</v>
      </c>
      <c r="M115" s="6" t="s">
        <v>1281</v>
      </c>
      <c r="N115" s="8">
        <v>-0.17</v>
      </c>
      <c r="O115" s="6" t="s">
        <v>1282</v>
      </c>
      <c r="P115" s="6" t="s">
        <v>1283</v>
      </c>
      <c r="Q115" s="6" t="s">
        <v>217</v>
      </c>
      <c r="R115" s="6" t="s">
        <v>1284</v>
      </c>
      <c r="S115" s="6">
        <v>50</v>
      </c>
      <c r="T115" s="6" t="s">
        <v>674</v>
      </c>
      <c r="U115" s="6" t="s">
        <v>217</v>
      </c>
      <c r="V115" s="6"/>
      <c r="W115" s="6"/>
      <c r="X115" s="6"/>
      <c r="Y115" s="6"/>
      <c r="Z115" s="6"/>
      <c r="AA115" s="6"/>
      <c r="AB115" s="6"/>
      <c r="AC115" s="6"/>
      <c r="AD115" s="7"/>
    </row>
    <row r="116" spans="1:30" ht="15.6" x14ac:dyDescent="0.3">
      <c r="A116" s="4">
        <v>363</v>
      </c>
      <c r="B116" s="5" t="s">
        <v>1285</v>
      </c>
      <c r="C116" s="6" t="s">
        <v>114</v>
      </c>
      <c r="D116" s="5" t="s">
        <v>1286</v>
      </c>
      <c r="E116" s="5" t="s">
        <v>48</v>
      </c>
      <c r="F116" s="6" t="s">
        <v>1287</v>
      </c>
      <c r="G116" s="6" t="s">
        <v>1288</v>
      </c>
      <c r="H116" s="8">
        <v>0</v>
      </c>
      <c r="I116" s="8">
        <v>-1</v>
      </c>
      <c r="J116" s="6" t="s">
        <v>606</v>
      </c>
      <c r="K116" s="6" t="s">
        <v>1289</v>
      </c>
      <c r="L116" s="6" t="s">
        <v>1290</v>
      </c>
      <c r="M116" s="6" t="s">
        <v>1291</v>
      </c>
      <c r="N116" s="6" t="s">
        <v>1290</v>
      </c>
      <c r="O116" s="6" t="s">
        <v>1292</v>
      </c>
      <c r="P116" s="6" t="s">
        <v>1293</v>
      </c>
      <c r="Q116" s="6" t="s">
        <v>217</v>
      </c>
      <c r="R116" s="6" t="s">
        <v>1294</v>
      </c>
      <c r="S116" s="6">
        <v>5</v>
      </c>
      <c r="T116" s="6">
        <v>979</v>
      </c>
      <c r="U116" s="6" t="s">
        <v>217</v>
      </c>
      <c r="V116" s="6"/>
      <c r="W116" s="6"/>
      <c r="X116" s="6"/>
      <c r="Y116" s="6"/>
      <c r="Z116" s="6"/>
      <c r="AA116" s="6"/>
      <c r="AB116" s="6"/>
      <c r="AC116" s="6"/>
      <c r="AD116" s="7"/>
    </row>
    <row r="117" spans="1:30" ht="15.6" x14ac:dyDescent="0.3">
      <c r="A117" s="4">
        <v>364</v>
      </c>
      <c r="B117" s="5" t="s">
        <v>1295</v>
      </c>
      <c r="C117" s="6" t="s">
        <v>114</v>
      </c>
      <c r="D117" s="5" t="s">
        <v>1296</v>
      </c>
      <c r="E117" s="5" t="s">
        <v>48</v>
      </c>
      <c r="F117" s="6" t="s">
        <v>1297</v>
      </c>
      <c r="G117" s="6" t="s">
        <v>1298</v>
      </c>
      <c r="H117" s="8">
        <v>0</v>
      </c>
      <c r="I117" s="8">
        <v>-0.85</v>
      </c>
      <c r="J117" s="6" t="s">
        <v>540</v>
      </c>
      <c r="K117" s="6" t="s">
        <v>1299</v>
      </c>
      <c r="L117" s="8">
        <v>-0.23</v>
      </c>
      <c r="M117" s="6" t="s">
        <v>1300</v>
      </c>
      <c r="N117" s="8">
        <v>-0.23</v>
      </c>
      <c r="O117" s="6" t="s">
        <v>1301</v>
      </c>
      <c r="P117" s="6" t="s">
        <v>1302</v>
      </c>
      <c r="Q117" s="6" t="s">
        <v>217</v>
      </c>
      <c r="R117" s="6" t="s">
        <v>1303</v>
      </c>
      <c r="S117" s="6">
        <v>116</v>
      </c>
      <c r="T117" s="6" t="s">
        <v>1304</v>
      </c>
      <c r="U117" s="8">
        <v>-0.67</v>
      </c>
      <c r="V117" s="6"/>
      <c r="W117" s="6"/>
      <c r="X117" s="6"/>
      <c r="Y117" s="6"/>
      <c r="Z117" s="6"/>
      <c r="AA117" s="6"/>
      <c r="AB117" s="6"/>
      <c r="AC117" s="6"/>
      <c r="AD117" s="7"/>
    </row>
    <row r="118" spans="1:30" ht="15.6" x14ac:dyDescent="0.3">
      <c r="A118" s="4">
        <v>365</v>
      </c>
      <c r="B118" s="5" t="s">
        <v>1305</v>
      </c>
      <c r="C118" s="6" t="s">
        <v>173</v>
      </c>
      <c r="D118" s="5" t="s">
        <v>1306</v>
      </c>
      <c r="E118" s="5" t="s">
        <v>48</v>
      </c>
      <c r="F118" s="6" t="s">
        <v>1307</v>
      </c>
      <c r="G118" s="6" t="s">
        <v>1308</v>
      </c>
      <c r="H118" s="8">
        <v>0</v>
      </c>
      <c r="I118" s="6" t="s">
        <v>920</v>
      </c>
      <c r="J118" s="6" t="s">
        <v>397</v>
      </c>
      <c r="K118" s="6" t="s">
        <v>1309</v>
      </c>
      <c r="L118" s="8">
        <v>-0.28999999999999998</v>
      </c>
      <c r="M118" s="6" t="s">
        <v>1310</v>
      </c>
      <c r="N118" s="8">
        <v>-0.28999999999999998</v>
      </c>
      <c r="O118" s="6" t="s">
        <v>1311</v>
      </c>
      <c r="P118" s="6" t="s">
        <v>674</v>
      </c>
      <c r="Q118" s="6" t="s">
        <v>217</v>
      </c>
      <c r="R118" s="6">
        <v>663</v>
      </c>
      <c r="S118" s="6">
        <v>4</v>
      </c>
      <c r="T118" s="6">
        <v>805</v>
      </c>
      <c r="U118" s="6">
        <f>120%</f>
        <v>1.2</v>
      </c>
      <c r="V118" s="6"/>
      <c r="W118" s="6"/>
      <c r="X118" s="6"/>
      <c r="Y118" s="6"/>
      <c r="Z118" s="6"/>
      <c r="AA118" s="6"/>
      <c r="AB118" s="6"/>
      <c r="AC118" s="6"/>
      <c r="AD118" s="7"/>
    </row>
    <row r="119" spans="1:30" ht="15.6" x14ac:dyDescent="0.3">
      <c r="A119" s="4">
        <v>366</v>
      </c>
      <c r="B119" s="5" t="s">
        <v>1312</v>
      </c>
      <c r="C119" s="6" t="s">
        <v>370</v>
      </c>
      <c r="D119" s="5" t="s">
        <v>1313</v>
      </c>
      <c r="E119" s="5" t="s">
        <v>48</v>
      </c>
      <c r="F119" s="6" t="s">
        <v>1314</v>
      </c>
      <c r="G119" s="6" t="s">
        <v>1315</v>
      </c>
      <c r="H119" s="8">
        <v>0</v>
      </c>
      <c r="I119" s="8">
        <v>-0.95</v>
      </c>
      <c r="J119" s="6" t="s">
        <v>540</v>
      </c>
      <c r="K119" s="6" t="s">
        <v>1316</v>
      </c>
      <c r="L119" s="6" t="s">
        <v>1317</v>
      </c>
      <c r="M119" s="6" t="s">
        <v>1318</v>
      </c>
      <c r="N119" s="6" t="s">
        <v>1317</v>
      </c>
      <c r="O119" s="6" t="s">
        <v>1319</v>
      </c>
      <c r="P119" s="6" t="s">
        <v>1320</v>
      </c>
      <c r="Q119" s="6" t="s">
        <v>217</v>
      </c>
      <c r="R119" s="6" t="s">
        <v>1321</v>
      </c>
      <c r="S119" s="6">
        <v>21</v>
      </c>
      <c r="T119" s="6" t="s">
        <v>1153</v>
      </c>
      <c r="U119" s="6" t="s">
        <v>217</v>
      </c>
      <c r="V119" s="6"/>
      <c r="W119" s="6"/>
      <c r="X119" s="6"/>
      <c r="Y119" s="6"/>
      <c r="Z119" s="6"/>
      <c r="AA119" s="6"/>
      <c r="AB119" s="6"/>
      <c r="AC119" s="6"/>
      <c r="AD119" s="7"/>
    </row>
    <row r="120" spans="1:30" ht="15.6" x14ac:dyDescent="0.3">
      <c r="A120" s="4">
        <v>367</v>
      </c>
      <c r="B120" s="5" t="s">
        <v>1322</v>
      </c>
      <c r="C120" s="6" t="s">
        <v>148</v>
      </c>
      <c r="D120" s="5" t="s">
        <v>1323</v>
      </c>
      <c r="E120" s="5" t="s">
        <v>33</v>
      </c>
      <c r="F120" s="6" t="s">
        <v>1324</v>
      </c>
      <c r="G120" s="6" t="s">
        <v>1325</v>
      </c>
      <c r="H120" s="8">
        <v>0</v>
      </c>
      <c r="I120" s="6" t="s">
        <v>730</v>
      </c>
      <c r="J120" s="6" t="s">
        <v>606</v>
      </c>
      <c r="K120" s="6" t="s">
        <v>1326</v>
      </c>
      <c r="L120" s="8">
        <v>-0.27</v>
      </c>
      <c r="M120" s="6" t="s">
        <v>1327</v>
      </c>
      <c r="N120" s="8">
        <v>-0.27</v>
      </c>
      <c r="O120" s="6" t="s">
        <v>1328</v>
      </c>
      <c r="P120" s="6" t="s">
        <v>1329</v>
      </c>
      <c r="Q120" s="6" t="s">
        <v>217</v>
      </c>
      <c r="R120" s="6">
        <v>31</v>
      </c>
      <c r="S120" s="6">
        <v>0</v>
      </c>
      <c r="T120" s="6">
        <v>394</v>
      </c>
      <c r="U120" s="6">
        <f>380%</f>
        <v>3.8</v>
      </c>
      <c r="V120" s="6"/>
      <c r="W120" s="6"/>
      <c r="X120" s="6"/>
      <c r="Y120" s="6"/>
      <c r="Z120" s="6"/>
      <c r="AA120" s="6"/>
      <c r="AB120" s="6"/>
      <c r="AC120" s="6"/>
      <c r="AD120" s="7"/>
    </row>
    <row r="121" spans="1:30" ht="15.6" x14ac:dyDescent="0.3">
      <c r="A121" s="4">
        <v>368</v>
      </c>
      <c r="B121" s="5" t="s">
        <v>1330</v>
      </c>
      <c r="C121" s="6" t="s">
        <v>304</v>
      </c>
      <c r="D121" s="5" t="s">
        <v>1331</v>
      </c>
      <c r="E121" s="5" t="s">
        <v>33</v>
      </c>
      <c r="F121" s="6" t="s">
        <v>1332</v>
      </c>
      <c r="G121" s="6" t="s">
        <v>1333</v>
      </c>
      <c r="H121" s="8">
        <v>0</v>
      </c>
      <c r="I121" s="8">
        <v>-0.49</v>
      </c>
      <c r="J121" s="6" t="s">
        <v>411</v>
      </c>
      <c r="K121" s="6" t="s">
        <v>962</v>
      </c>
      <c r="L121" s="6">
        <f>19%</f>
        <v>0.19</v>
      </c>
      <c r="M121" s="6" t="s">
        <v>1334</v>
      </c>
      <c r="N121" s="6">
        <f>19%</f>
        <v>0.19</v>
      </c>
      <c r="O121" s="6" t="s">
        <v>1335</v>
      </c>
      <c r="P121" s="6" t="s">
        <v>1336</v>
      </c>
      <c r="Q121" s="6" t="s">
        <v>217</v>
      </c>
      <c r="R121" s="6" t="s">
        <v>1337</v>
      </c>
      <c r="S121" s="6">
        <v>18</v>
      </c>
      <c r="T121" s="6" t="s">
        <v>1338</v>
      </c>
      <c r="U121" s="8">
        <v>-0.88</v>
      </c>
      <c r="V121" s="6"/>
      <c r="W121" s="6"/>
      <c r="X121" s="6"/>
      <c r="Y121" s="6"/>
      <c r="Z121" s="6"/>
      <c r="AA121" s="6"/>
      <c r="AB121" s="6"/>
      <c r="AC121" s="6"/>
      <c r="AD121" s="7"/>
    </row>
    <row r="122" spans="1:30" ht="15.6" x14ac:dyDescent="0.3">
      <c r="A122" s="4">
        <v>369</v>
      </c>
      <c r="B122" s="5" t="s">
        <v>1339</v>
      </c>
      <c r="C122" s="6" t="s">
        <v>72</v>
      </c>
      <c r="D122" s="5" t="s">
        <v>1340</v>
      </c>
      <c r="E122" s="5" t="s">
        <v>162</v>
      </c>
      <c r="F122" s="6" t="s">
        <v>1341</v>
      </c>
      <c r="G122" s="6" t="s">
        <v>1342</v>
      </c>
      <c r="H122" s="8">
        <v>0</v>
      </c>
      <c r="I122" s="6" t="s">
        <v>1343</v>
      </c>
      <c r="J122" s="6" t="s">
        <v>482</v>
      </c>
      <c r="K122" s="6" t="s">
        <v>1344</v>
      </c>
      <c r="L122" s="6">
        <f>79%</f>
        <v>0.79</v>
      </c>
      <c r="M122" s="6" t="s">
        <v>1345</v>
      </c>
      <c r="N122" s="6">
        <f>79%</f>
        <v>0.79</v>
      </c>
      <c r="O122" s="6" t="s">
        <v>1346</v>
      </c>
      <c r="P122" s="6" t="s">
        <v>1347</v>
      </c>
      <c r="Q122" s="6" t="s">
        <v>217</v>
      </c>
      <c r="R122" s="6" t="s">
        <v>1348</v>
      </c>
      <c r="S122" s="6">
        <v>54</v>
      </c>
      <c r="T122" s="6" t="s">
        <v>1349</v>
      </c>
      <c r="U122" s="6">
        <f>420%</f>
        <v>4.2</v>
      </c>
      <c r="V122" s="6"/>
      <c r="W122" s="6"/>
      <c r="X122" s="6"/>
      <c r="Y122" s="6"/>
      <c r="Z122" s="6"/>
      <c r="AA122" s="6"/>
      <c r="AB122" s="6"/>
      <c r="AC122" s="6"/>
      <c r="AD122" s="7"/>
    </row>
    <row r="123" spans="1:30" ht="15.6" x14ac:dyDescent="0.3">
      <c r="A123" s="4">
        <v>370</v>
      </c>
      <c r="B123" s="5" t="s">
        <v>1350</v>
      </c>
      <c r="C123" s="6" t="s">
        <v>291</v>
      </c>
      <c r="D123" s="5" t="s">
        <v>1351</v>
      </c>
      <c r="E123" s="5" t="s">
        <v>33</v>
      </c>
      <c r="F123" s="6" t="s">
        <v>1352</v>
      </c>
      <c r="G123" s="6" t="s">
        <v>1353</v>
      </c>
      <c r="H123" s="8">
        <v>0</v>
      </c>
      <c r="I123" s="8">
        <v>-0.93</v>
      </c>
      <c r="J123" s="6" t="s">
        <v>1354</v>
      </c>
      <c r="K123" s="6" t="s">
        <v>658</v>
      </c>
      <c r="L123" s="6" t="s">
        <v>505</v>
      </c>
      <c r="M123" s="6" t="s">
        <v>1355</v>
      </c>
      <c r="N123" s="6" t="s">
        <v>505</v>
      </c>
      <c r="O123" s="6" t="s">
        <v>1356</v>
      </c>
      <c r="P123" s="6" t="s">
        <v>1357</v>
      </c>
      <c r="Q123" s="6" t="s">
        <v>217</v>
      </c>
      <c r="R123" s="6" t="s">
        <v>1358</v>
      </c>
      <c r="S123" s="6">
        <v>19</v>
      </c>
      <c r="T123" s="6" t="s">
        <v>1359</v>
      </c>
      <c r="U123" s="6">
        <f>51%</f>
        <v>0.51</v>
      </c>
      <c r="V123" s="6"/>
      <c r="W123" s="6"/>
      <c r="X123" s="6"/>
      <c r="Y123" s="6"/>
      <c r="Z123" s="6"/>
      <c r="AA123" s="6"/>
      <c r="AB123" s="6"/>
      <c r="AC123" s="6"/>
      <c r="AD123" s="7"/>
    </row>
    <row r="124" spans="1:30" ht="15.6" x14ac:dyDescent="0.3">
      <c r="A124" s="4">
        <v>372</v>
      </c>
      <c r="B124" s="5" t="s">
        <v>1360</v>
      </c>
      <c r="C124" s="6" t="s">
        <v>148</v>
      </c>
      <c r="D124" s="5" t="s">
        <v>1361</v>
      </c>
      <c r="E124" s="5" t="s">
        <v>1362</v>
      </c>
      <c r="F124" s="6" t="s">
        <v>1363</v>
      </c>
      <c r="G124" s="6" t="s">
        <v>1364</v>
      </c>
      <c r="H124" s="8">
        <v>0</v>
      </c>
      <c r="I124" s="8">
        <v>-0.15</v>
      </c>
      <c r="J124" s="6" t="s">
        <v>1365</v>
      </c>
      <c r="K124" s="6" t="s">
        <v>1366</v>
      </c>
      <c r="L124" s="8">
        <v>-0.45</v>
      </c>
      <c r="M124" s="6" t="s">
        <v>1367</v>
      </c>
      <c r="N124" s="8">
        <v>-0.45</v>
      </c>
      <c r="O124" s="6" t="s">
        <v>1368</v>
      </c>
      <c r="P124" s="6" t="s">
        <v>1369</v>
      </c>
      <c r="Q124" s="6" t="s">
        <v>217</v>
      </c>
      <c r="R124" s="6">
        <v>544</v>
      </c>
      <c r="S124" s="6">
        <v>12</v>
      </c>
      <c r="T124" s="6">
        <v>685</v>
      </c>
      <c r="U124" s="8">
        <v>-0.95</v>
      </c>
      <c r="V124" s="6"/>
      <c r="W124" s="6"/>
      <c r="X124" s="6"/>
      <c r="Y124" s="6"/>
      <c r="Z124" s="6"/>
      <c r="AA124" s="6"/>
      <c r="AB124" s="6"/>
      <c r="AC124" s="6"/>
      <c r="AD124" s="7"/>
    </row>
    <row r="125" spans="1:30" ht="15.6" x14ac:dyDescent="0.3">
      <c r="A125" s="4">
        <v>373</v>
      </c>
      <c r="B125" s="5" t="s">
        <v>1370</v>
      </c>
      <c r="C125" s="6" t="s">
        <v>31</v>
      </c>
      <c r="D125" s="5" t="s">
        <v>1371</v>
      </c>
      <c r="E125" s="5" t="s">
        <v>48</v>
      </c>
      <c r="F125" s="6" t="s">
        <v>1372</v>
      </c>
      <c r="G125" s="6" t="s">
        <v>1373</v>
      </c>
      <c r="H125" s="8">
        <v>0</v>
      </c>
      <c r="I125" s="6" t="s">
        <v>106</v>
      </c>
      <c r="J125" s="6" t="s">
        <v>153</v>
      </c>
      <c r="K125" s="6" t="s">
        <v>1374</v>
      </c>
      <c r="L125" s="8">
        <v>-0.3</v>
      </c>
      <c r="M125" s="6" t="s">
        <v>1375</v>
      </c>
      <c r="N125" s="8">
        <v>-0.3</v>
      </c>
      <c r="O125" s="6" t="s">
        <v>1376</v>
      </c>
      <c r="P125" s="6" t="s">
        <v>1377</v>
      </c>
      <c r="Q125" s="6" t="s">
        <v>217</v>
      </c>
      <c r="R125" s="6">
        <v>348</v>
      </c>
      <c r="S125" s="6">
        <v>39</v>
      </c>
      <c r="T125" s="6">
        <v>381</v>
      </c>
      <c r="U125" s="8">
        <v>-0.4</v>
      </c>
      <c r="V125" s="6"/>
      <c r="W125" s="6"/>
      <c r="X125" s="6"/>
      <c r="Y125" s="6"/>
      <c r="Z125" s="6"/>
      <c r="AA125" s="6"/>
      <c r="AB125" s="6"/>
      <c r="AC125" s="6"/>
      <c r="AD125" s="7"/>
    </row>
    <row r="126" spans="1:30" ht="15.6" x14ac:dyDescent="0.3">
      <c r="A126" s="4">
        <v>374</v>
      </c>
      <c r="B126" s="5" t="s">
        <v>1378</v>
      </c>
      <c r="C126" s="6" t="s">
        <v>126</v>
      </c>
      <c r="D126" s="5" t="s">
        <v>1379</v>
      </c>
      <c r="E126" s="5" t="s">
        <v>48</v>
      </c>
      <c r="F126" s="6" t="s">
        <v>1380</v>
      </c>
      <c r="G126" s="6" t="s">
        <v>1381</v>
      </c>
      <c r="H126" s="8">
        <v>0</v>
      </c>
      <c r="I126" s="6" t="s">
        <v>1030</v>
      </c>
      <c r="J126" s="6" t="s">
        <v>38</v>
      </c>
      <c r="K126" s="6" t="s">
        <v>1382</v>
      </c>
      <c r="L126" s="8">
        <v>-0.76</v>
      </c>
      <c r="M126" s="6" t="s">
        <v>1383</v>
      </c>
      <c r="N126" s="8">
        <v>-0.76</v>
      </c>
      <c r="O126" s="6" t="s">
        <v>1384</v>
      </c>
      <c r="P126" s="6" t="s">
        <v>1385</v>
      </c>
      <c r="Q126" s="6" t="s">
        <v>217</v>
      </c>
      <c r="R126" s="6">
        <v>535</v>
      </c>
      <c r="S126" s="6">
        <v>4</v>
      </c>
      <c r="T126" s="6">
        <v>347</v>
      </c>
      <c r="U126" s="6" t="e">
        <f>+∞%</f>
        <v>#NAME?</v>
      </c>
      <c r="V126" s="6"/>
      <c r="W126" s="6"/>
      <c r="X126" s="6"/>
      <c r="Y126" s="6"/>
      <c r="Z126" s="6"/>
      <c r="AA126" s="6"/>
      <c r="AB126" s="6"/>
      <c r="AC126" s="6"/>
      <c r="AD126" s="7"/>
    </row>
    <row r="127" spans="1:30" ht="15.6" x14ac:dyDescent="0.3">
      <c r="A127" s="4">
        <v>375</v>
      </c>
      <c r="B127" s="5" t="s">
        <v>1386</v>
      </c>
      <c r="C127" s="6" t="s">
        <v>85</v>
      </c>
      <c r="D127" s="5" t="s">
        <v>1387</v>
      </c>
      <c r="E127" s="5" t="s">
        <v>48</v>
      </c>
      <c r="F127" s="6" t="s">
        <v>1388</v>
      </c>
      <c r="G127" s="6" t="s">
        <v>1389</v>
      </c>
      <c r="H127" s="8">
        <v>0</v>
      </c>
      <c r="I127" s="8">
        <v>-0.85</v>
      </c>
      <c r="J127" s="6" t="s">
        <v>1390</v>
      </c>
      <c r="K127" s="6" t="s">
        <v>1391</v>
      </c>
      <c r="L127" s="8">
        <v>-0.23</v>
      </c>
      <c r="M127" s="6" t="s">
        <v>1392</v>
      </c>
      <c r="N127" s="8">
        <v>-0.23</v>
      </c>
      <c r="O127" s="6" t="s">
        <v>1393</v>
      </c>
      <c r="P127" s="6" t="s">
        <v>1394</v>
      </c>
      <c r="Q127" s="6" t="s">
        <v>217</v>
      </c>
      <c r="R127" s="6" t="s">
        <v>1395</v>
      </c>
      <c r="S127" s="6">
        <v>72</v>
      </c>
      <c r="T127" s="6" t="s">
        <v>1396</v>
      </c>
      <c r="U127" s="6"/>
      <c r="V127" s="6"/>
      <c r="W127" s="6"/>
      <c r="X127" s="6"/>
      <c r="Y127" s="6"/>
      <c r="Z127" s="6"/>
      <c r="AA127" s="6"/>
      <c r="AB127" s="6"/>
      <c r="AC127" s="6"/>
      <c r="AD127" s="7"/>
    </row>
    <row r="128" spans="1:30" ht="15.6" x14ac:dyDescent="0.3">
      <c r="A128" s="4">
        <v>376</v>
      </c>
      <c r="B128" s="5" t="s">
        <v>1397</v>
      </c>
      <c r="C128" s="6" t="s">
        <v>114</v>
      </c>
      <c r="D128" s="5" t="s">
        <v>1398</v>
      </c>
      <c r="E128" s="5" t="s">
        <v>48</v>
      </c>
      <c r="F128" s="6" t="s">
        <v>1399</v>
      </c>
      <c r="G128" s="6" t="s">
        <v>1400</v>
      </c>
      <c r="H128" s="8">
        <v>0</v>
      </c>
      <c r="I128" s="8">
        <v>-0.37</v>
      </c>
      <c r="J128" s="6" t="s">
        <v>1093</v>
      </c>
      <c r="K128" s="6" t="s">
        <v>1401</v>
      </c>
      <c r="L128" s="6">
        <f>28%</f>
        <v>0.28000000000000003</v>
      </c>
      <c r="M128" s="6" t="s">
        <v>1402</v>
      </c>
      <c r="N128" s="6">
        <f>28%</f>
        <v>0.28000000000000003</v>
      </c>
      <c r="O128" s="6" t="s">
        <v>1403</v>
      </c>
      <c r="P128" s="6" t="s">
        <v>1404</v>
      </c>
      <c r="Q128" s="6" t="s">
        <v>217</v>
      </c>
      <c r="R128" s="6" t="s">
        <v>1405</v>
      </c>
      <c r="S128" s="6">
        <v>55</v>
      </c>
      <c r="T128" s="6" t="s">
        <v>1406</v>
      </c>
      <c r="U128" s="8">
        <v>-0.9</v>
      </c>
      <c r="V128" s="6"/>
      <c r="W128" s="6"/>
      <c r="X128" s="6"/>
      <c r="Y128" s="6"/>
      <c r="Z128" s="6"/>
      <c r="AA128" s="6"/>
      <c r="AB128" s="6"/>
      <c r="AC128" s="6"/>
      <c r="AD128" s="7"/>
    </row>
    <row r="129" spans="1:30" ht="15.6" x14ac:dyDescent="0.3">
      <c r="A129" s="4">
        <v>377</v>
      </c>
      <c r="B129" s="5" t="s">
        <v>1407</v>
      </c>
      <c r="C129" s="6" t="s">
        <v>1408</v>
      </c>
      <c r="D129" s="5" t="s">
        <v>1409</v>
      </c>
      <c r="E129" s="5" t="s">
        <v>33</v>
      </c>
      <c r="F129" s="6" t="s">
        <v>1410</v>
      </c>
      <c r="G129" s="6" t="s">
        <v>1411</v>
      </c>
      <c r="H129" s="8">
        <v>0</v>
      </c>
      <c r="I129" s="8">
        <v>-0.61</v>
      </c>
      <c r="J129" s="6" t="s">
        <v>1412</v>
      </c>
      <c r="K129" s="6" t="s">
        <v>1413</v>
      </c>
      <c r="L129" s="8">
        <v>-0.14000000000000001</v>
      </c>
      <c r="M129" s="6" t="s">
        <v>1414</v>
      </c>
      <c r="N129" s="8">
        <v>-0.14000000000000001</v>
      </c>
      <c r="O129" s="6" t="s">
        <v>1415</v>
      </c>
      <c r="P129" s="6" t="s">
        <v>1416</v>
      </c>
      <c r="Q129" s="6" t="s">
        <v>217</v>
      </c>
      <c r="R129" s="6">
        <v>924</v>
      </c>
      <c r="S129" s="6">
        <v>7</v>
      </c>
      <c r="T129" s="6" t="s">
        <v>1417</v>
      </c>
      <c r="U129" s="8">
        <v>-0.91</v>
      </c>
      <c r="V129" s="6"/>
      <c r="W129" s="6"/>
      <c r="X129" s="6"/>
      <c r="Y129" s="6"/>
      <c r="Z129" s="6"/>
      <c r="AA129" s="6"/>
      <c r="AB129" s="6"/>
      <c r="AC129" s="6"/>
      <c r="AD129" s="7"/>
    </row>
    <row r="130" spans="1:30" ht="15.6" x14ac:dyDescent="0.3">
      <c r="A130" s="4">
        <v>378</v>
      </c>
      <c r="B130" s="5" t="s">
        <v>1418</v>
      </c>
      <c r="C130" s="6" t="s">
        <v>173</v>
      </c>
      <c r="D130" s="5" t="s">
        <v>1419</v>
      </c>
      <c r="E130" s="5" t="s">
        <v>33</v>
      </c>
      <c r="F130" s="6" t="s">
        <v>1420</v>
      </c>
      <c r="G130" s="6" t="s">
        <v>1421</v>
      </c>
      <c r="H130" s="8">
        <v>0</v>
      </c>
      <c r="I130" s="6" t="s">
        <v>877</v>
      </c>
      <c r="J130" s="6" t="s">
        <v>385</v>
      </c>
      <c r="K130" s="6" t="s">
        <v>1422</v>
      </c>
      <c r="L130" s="6">
        <f>46%</f>
        <v>0.46</v>
      </c>
      <c r="M130" s="6" t="s">
        <v>1423</v>
      </c>
      <c r="N130" s="6">
        <f>46%</f>
        <v>0.46</v>
      </c>
      <c r="O130" s="6" t="s">
        <v>1424</v>
      </c>
      <c r="P130" s="6" t="s">
        <v>1425</v>
      </c>
      <c r="Q130" s="6">
        <f>670%</f>
        <v>6.7</v>
      </c>
      <c r="R130" s="6" t="s">
        <v>1426</v>
      </c>
      <c r="S130" s="6">
        <v>27</v>
      </c>
      <c r="T130" s="6" t="s">
        <v>1427</v>
      </c>
      <c r="U130" s="8">
        <v>-0.93</v>
      </c>
      <c r="V130" s="6"/>
      <c r="W130" s="6"/>
      <c r="X130" s="6"/>
      <c r="Y130" s="6"/>
      <c r="Z130" s="6"/>
      <c r="AA130" s="6"/>
      <c r="AB130" s="6"/>
      <c r="AC130" s="6"/>
      <c r="AD130" s="7"/>
    </row>
    <row r="131" spans="1:30" ht="15.6" x14ac:dyDescent="0.3">
      <c r="A131" s="4">
        <v>379</v>
      </c>
      <c r="B131" s="5" t="s">
        <v>1428</v>
      </c>
      <c r="C131" s="6" t="s">
        <v>567</v>
      </c>
      <c r="D131" s="5" t="s">
        <v>1429</v>
      </c>
      <c r="E131" s="5" t="s">
        <v>33</v>
      </c>
      <c r="F131" s="6" t="s">
        <v>1430</v>
      </c>
      <c r="G131" s="6" t="s">
        <v>1431</v>
      </c>
      <c r="H131" s="8">
        <v>0</v>
      </c>
      <c r="I131" s="6" t="s">
        <v>1027</v>
      </c>
      <c r="J131" s="6" t="s">
        <v>1432</v>
      </c>
      <c r="K131" s="6" t="s">
        <v>226</v>
      </c>
      <c r="L131" s="6">
        <f>77%</f>
        <v>0.77</v>
      </c>
      <c r="M131" s="6" t="s">
        <v>1433</v>
      </c>
      <c r="N131" s="6">
        <f>77%</f>
        <v>0.77</v>
      </c>
      <c r="O131" s="6" t="s">
        <v>1434</v>
      </c>
      <c r="P131" s="6" t="s">
        <v>1435</v>
      </c>
      <c r="Q131" s="6">
        <f>83%</f>
        <v>0.83</v>
      </c>
      <c r="R131" s="6" t="s">
        <v>1436</v>
      </c>
      <c r="S131" s="6">
        <v>66</v>
      </c>
      <c r="T131" s="6" t="s">
        <v>1437</v>
      </c>
      <c r="U131" s="6">
        <f>86%</f>
        <v>0.86</v>
      </c>
      <c r="V131" s="6"/>
      <c r="W131" s="6"/>
      <c r="X131" s="6"/>
      <c r="Y131" s="6"/>
      <c r="Z131" s="6"/>
      <c r="AA131" s="6"/>
      <c r="AB131" s="6"/>
      <c r="AC131" s="6"/>
      <c r="AD131" s="7"/>
    </row>
    <row r="132" spans="1:30" ht="15.6" x14ac:dyDescent="0.3">
      <c r="A132" s="4">
        <v>380</v>
      </c>
      <c r="B132" s="5" t="s">
        <v>1438</v>
      </c>
      <c r="C132" s="6" t="s">
        <v>1244</v>
      </c>
      <c r="D132" s="5" t="s">
        <v>1439</v>
      </c>
      <c r="E132" s="5" t="s">
        <v>33</v>
      </c>
      <c r="F132" s="6" t="s">
        <v>1440</v>
      </c>
      <c r="G132" s="6" t="s">
        <v>1441</v>
      </c>
      <c r="H132" s="8">
        <v>0</v>
      </c>
      <c r="I132" s="6" t="s">
        <v>1442</v>
      </c>
      <c r="J132" s="6" t="s">
        <v>1443</v>
      </c>
      <c r="K132" s="6" t="s">
        <v>178</v>
      </c>
      <c r="L132" s="8">
        <v>-0.36</v>
      </c>
      <c r="M132" s="6" t="s">
        <v>1444</v>
      </c>
      <c r="N132" s="8">
        <v>-0.36</v>
      </c>
      <c r="O132" s="6" t="s">
        <v>1445</v>
      </c>
      <c r="P132" s="6" t="s">
        <v>217</v>
      </c>
      <c r="Q132" s="6" t="s">
        <v>217</v>
      </c>
      <c r="R132" s="6">
        <v>526</v>
      </c>
      <c r="S132" s="6">
        <v>0</v>
      </c>
      <c r="T132" s="6">
        <v>229</v>
      </c>
      <c r="U132" s="8">
        <v>-0.17</v>
      </c>
      <c r="V132" s="5" t="s">
        <v>1446</v>
      </c>
      <c r="W132" s="5" t="s">
        <v>1447</v>
      </c>
      <c r="X132" s="5" t="s">
        <v>1448</v>
      </c>
      <c r="Y132" s="5" t="s">
        <v>1447</v>
      </c>
      <c r="Z132" s="6"/>
      <c r="AA132" s="6"/>
      <c r="AB132" s="6"/>
      <c r="AC132" s="6"/>
      <c r="AD132" s="7"/>
    </row>
    <row r="133" spans="1:30" ht="15.6" x14ac:dyDescent="0.3">
      <c r="A133" s="4">
        <v>381</v>
      </c>
      <c r="B133" s="5" t="s">
        <v>1449</v>
      </c>
      <c r="C133" s="6">
        <v>4</v>
      </c>
      <c r="D133" s="5" t="s">
        <v>1450</v>
      </c>
      <c r="E133" s="5" t="s">
        <v>33</v>
      </c>
      <c r="F133" s="6" t="s">
        <v>1451</v>
      </c>
      <c r="G133" s="6" t="s">
        <v>1452</v>
      </c>
      <c r="H133" s="8">
        <v>0</v>
      </c>
      <c r="I133" s="8">
        <v>-0.31</v>
      </c>
      <c r="J133" s="6" t="s">
        <v>1453</v>
      </c>
      <c r="K133" s="6" t="s">
        <v>618</v>
      </c>
      <c r="L133" s="6">
        <f>17%</f>
        <v>0.17</v>
      </c>
      <c r="M133" s="6" t="s">
        <v>1454</v>
      </c>
      <c r="N133" s="6">
        <f>17%</f>
        <v>0.17</v>
      </c>
      <c r="O133" s="6" t="s">
        <v>1455</v>
      </c>
      <c r="P133" s="6" t="s">
        <v>1456</v>
      </c>
      <c r="Q133" s="6" t="s">
        <v>217</v>
      </c>
      <c r="R133" s="6">
        <v>617</v>
      </c>
      <c r="S133" s="6">
        <v>17</v>
      </c>
      <c r="T133" s="6" t="s">
        <v>1457</v>
      </c>
      <c r="U133" s="8">
        <v>-0.96</v>
      </c>
      <c r="V133" s="6"/>
      <c r="W133" s="6"/>
      <c r="X133" s="6"/>
      <c r="Y133" s="6"/>
      <c r="Z133" s="6"/>
      <c r="AA133" s="6"/>
      <c r="AB133" s="6"/>
      <c r="AC133" s="6"/>
      <c r="AD133" s="7"/>
    </row>
    <row r="134" spans="1:30" ht="15.6" x14ac:dyDescent="0.3">
      <c r="A134" s="4">
        <v>382</v>
      </c>
      <c r="B134" s="5" t="s">
        <v>1458</v>
      </c>
      <c r="C134" s="6" t="s">
        <v>126</v>
      </c>
      <c r="D134" s="5" t="s">
        <v>1459</v>
      </c>
      <c r="E134" s="5" t="s">
        <v>33</v>
      </c>
      <c r="F134" s="6" t="s">
        <v>1460</v>
      </c>
      <c r="G134" s="6" t="s">
        <v>1461</v>
      </c>
      <c r="H134" s="8">
        <v>0</v>
      </c>
      <c r="I134" s="6" t="s">
        <v>1462</v>
      </c>
      <c r="J134" s="6" t="s">
        <v>52</v>
      </c>
      <c r="K134" s="6" t="s">
        <v>1463</v>
      </c>
      <c r="L134" s="8">
        <v>-0.22</v>
      </c>
      <c r="M134" s="6" t="s">
        <v>1464</v>
      </c>
      <c r="N134" s="8">
        <v>-0.22</v>
      </c>
      <c r="O134" s="6" t="s">
        <v>1465</v>
      </c>
      <c r="P134" s="6" t="s">
        <v>1466</v>
      </c>
      <c r="Q134" s="6" t="s">
        <v>217</v>
      </c>
      <c r="R134" s="6">
        <v>773</v>
      </c>
      <c r="S134" s="6">
        <v>43</v>
      </c>
      <c r="T134" s="6">
        <v>834</v>
      </c>
      <c r="U134" s="6" t="s">
        <v>217</v>
      </c>
      <c r="V134" s="6"/>
      <c r="W134" s="6"/>
      <c r="X134" s="6"/>
      <c r="Y134" s="6"/>
      <c r="Z134" s="6"/>
      <c r="AA134" s="6"/>
      <c r="AB134" s="6"/>
      <c r="AC134" s="6"/>
      <c r="AD134" s="7"/>
    </row>
    <row r="135" spans="1:30" ht="15.6" x14ac:dyDescent="0.3">
      <c r="A135" s="4">
        <v>383</v>
      </c>
      <c r="B135" s="5" t="s">
        <v>1467</v>
      </c>
      <c r="C135" s="6" t="s">
        <v>567</v>
      </c>
      <c r="D135" s="5" t="s">
        <v>1468</v>
      </c>
      <c r="E135" s="5" t="s">
        <v>33</v>
      </c>
      <c r="F135" s="6" t="s">
        <v>1469</v>
      </c>
      <c r="G135" s="6" t="s">
        <v>1470</v>
      </c>
      <c r="H135" s="8">
        <v>0</v>
      </c>
      <c r="I135" s="6" t="s">
        <v>1471</v>
      </c>
      <c r="J135" s="6" t="s">
        <v>1390</v>
      </c>
      <c r="K135" s="6" t="s">
        <v>679</v>
      </c>
      <c r="L135" s="8">
        <v>-0.21</v>
      </c>
      <c r="M135" s="6" t="s">
        <v>1472</v>
      </c>
      <c r="N135" s="8">
        <v>-0.21</v>
      </c>
      <c r="O135" s="6" t="s">
        <v>1473</v>
      </c>
      <c r="P135" s="6" t="s">
        <v>1474</v>
      </c>
      <c r="Q135" s="6" t="s">
        <v>217</v>
      </c>
      <c r="R135" s="6">
        <v>680</v>
      </c>
      <c r="S135" s="6">
        <v>7</v>
      </c>
      <c r="T135" s="6">
        <v>863</v>
      </c>
      <c r="U135" s="6">
        <f>230%</f>
        <v>2.2999999999999998</v>
      </c>
      <c r="V135" s="6"/>
      <c r="W135" s="6"/>
      <c r="X135" s="6"/>
      <c r="Y135" s="6"/>
      <c r="Z135" s="6"/>
      <c r="AA135" s="6"/>
      <c r="AB135" s="6"/>
      <c r="AC135" s="6"/>
      <c r="AD135" s="7"/>
    </row>
    <row r="136" spans="1:30" ht="15.6" x14ac:dyDescent="0.3">
      <c r="A136" s="4">
        <v>384</v>
      </c>
      <c r="B136" s="5" t="s">
        <v>1475</v>
      </c>
      <c r="C136" s="6" t="s">
        <v>291</v>
      </c>
      <c r="D136" s="5" t="s">
        <v>1476</v>
      </c>
      <c r="E136" s="5" t="s">
        <v>48</v>
      </c>
      <c r="F136" s="6" t="s">
        <v>1477</v>
      </c>
      <c r="G136" s="6" t="s">
        <v>1478</v>
      </c>
      <c r="H136" s="8">
        <v>0</v>
      </c>
      <c r="I136" s="6" t="s">
        <v>217</v>
      </c>
      <c r="J136" s="6" t="s">
        <v>1479</v>
      </c>
      <c r="K136" s="6" t="s">
        <v>1480</v>
      </c>
      <c r="L136" s="6">
        <f>250%</f>
        <v>2.5</v>
      </c>
      <c r="M136" s="6" t="s">
        <v>1481</v>
      </c>
      <c r="N136" s="6">
        <f>250%</f>
        <v>2.5</v>
      </c>
      <c r="O136" s="6" t="s">
        <v>1482</v>
      </c>
      <c r="P136" s="6" t="s">
        <v>1483</v>
      </c>
      <c r="Q136" s="6" t="s">
        <v>217</v>
      </c>
      <c r="R136" s="6" t="s">
        <v>1484</v>
      </c>
      <c r="S136" s="6">
        <v>46</v>
      </c>
      <c r="T136" s="6" t="s">
        <v>1485</v>
      </c>
      <c r="U136" s="6">
        <f>56%</f>
        <v>0.56000000000000005</v>
      </c>
      <c r="V136" s="6"/>
      <c r="W136" s="6"/>
      <c r="X136" s="6"/>
      <c r="Y136" s="6"/>
      <c r="Z136" s="6"/>
      <c r="AA136" s="6"/>
      <c r="AB136" s="6"/>
      <c r="AC136" s="6"/>
      <c r="AD136" s="7"/>
    </row>
    <row r="137" spans="1:30" ht="15.6" x14ac:dyDescent="0.3">
      <c r="A137" s="4">
        <v>385</v>
      </c>
      <c r="B137" s="5" t="s">
        <v>1486</v>
      </c>
      <c r="C137" s="6" t="s">
        <v>102</v>
      </c>
      <c r="D137" s="5" t="s">
        <v>1487</v>
      </c>
      <c r="E137" s="5" t="s">
        <v>48</v>
      </c>
      <c r="F137" s="6" t="s">
        <v>1488</v>
      </c>
      <c r="G137" s="6" t="s">
        <v>1489</v>
      </c>
      <c r="H137" s="8">
        <v>0</v>
      </c>
      <c r="I137" s="6" t="s">
        <v>1490</v>
      </c>
      <c r="J137" s="6" t="s">
        <v>1491</v>
      </c>
      <c r="K137" s="6" t="s">
        <v>1492</v>
      </c>
      <c r="L137" s="8">
        <v>-0.49</v>
      </c>
      <c r="M137" s="6" t="s">
        <v>1493</v>
      </c>
      <c r="N137" s="8">
        <v>-0.49</v>
      </c>
      <c r="O137" s="6" t="s">
        <v>1494</v>
      </c>
      <c r="P137" s="6" t="s">
        <v>1495</v>
      </c>
      <c r="Q137" s="6" t="s">
        <v>9262</v>
      </c>
      <c r="R137" s="6" t="s">
        <v>1496</v>
      </c>
      <c r="S137" s="6">
        <v>74</v>
      </c>
      <c r="T137" s="6" t="s">
        <v>1497</v>
      </c>
      <c r="U137" s="6" t="s">
        <v>9262</v>
      </c>
      <c r="V137" s="6"/>
      <c r="W137" s="6"/>
      <c r="X137" s="6"/>
      <c r="Y137" s="6"/>
      <c r="Z137" s="6"/>
      <c r="AA137" s="6"/>
      <c r="AB137" s="6"/>
      <c r="AC137" s="6"/>
      <c r="AD137" s="7"/>
    </row>
    <row r="138" spans="1:30" ht="15.6" x14ac:dyDescent="0.3">
      <c r="A138" s="4">
        <v>386</v>
      </c>
      <c r="B138" s="5" t="s">
        <v>1498</v>
      </c>
      <c r="C138" s="6" t="s">
        <v>173</v>
      </c>
      <c r="D138" s="5" t="s">
        <v>1499</v>
      </c>
      <c r="E138" s="5" t="s">
        <v>48</v>
      </c>
      <c r="F138" s="6" t="s">
        <v>1500</v>
      </c>
      <c r="G138" s="6" t="s">
        <v>1501</v>
      </c>
      <c r="H138" s="8">
        <v>0</v>
      </c>
      <c r="I138" s="6" t="s">
        <v>1502</v>
      </c>
      <c r="J138" s="6" t="s">
        <v>431</v>
      </c>
      <c r="K138" s="6" t="s">
        <v>1503</v>
      </c>
      <c r="L138" s="6" t="s">
        <v>217</v>
      </c>
      <c r="M138" s="6" t="s">
        <v>1504</v>
      </c>
      <c r="N138" s="8">
        <v>-0.14000000000000001</v>
      </c>
      <c r="O138" s="6" t="s">
        <v>1505</v>
      </c>
      <c r="P138" s="6" t="s">
        <v>1506</v>
      </c>
      <c r="Q138" s="6" t="s">
        <v>217</v>
      </c>
      <c r="R138" s="6">
        <v>152</v>
      </c>
      <c r="S138" s="6">
        <v>1</v>
      </c>
      <c r="T138" s="6">
        <v>171</v>
      </c>
      <c r="U138" s="6" t="s">
        <v>9262</v>
      </c>
      <c r="V138" s="6"/>
      <c r="W138" s="6"/>
      <c r="X138" s="6"/>
      <c r="Y138" s="6"/>
      <c r="Z138" s="6"/>
      <c r="AA138" s="6"/>
      <c r="AB138" s="6"/>
      <c r="AC138" s="6"/>
      <c r="AD138" s="7"/>
    </row>
    <row r="139" spans="1:30" ht="15.6" x14ac:dyDescent="0.3">
      <c r="A139" s="4">
        <v>387</v>
      </c>
      <c r="B139" s="5" t="s">
        <v>1507</v>
      </c>
      <c r="C139" s="6" t="s">
        <v>72</v>
      </c>
      <c r="D139" s="5" t="s">
        <v>1508</v>
      </c>
      <c r="E139" s="5" t="s">
        <v>48</v>
      </c>
      <c r="F139" s="6" t="s">
        <v>1509</v>
      </c>
      <c r="G139" s="6" t="s">
        <v>1510</v>
      </c>
      <c r="H139" s="8">
        <v>0</v>
      </c>
      <c r="I139" s="6" t="s">
        <v>877</v>
      </c>
      <c r="J139" s="6" t="s">
        <v>118</v>
      </c>
      <c r="K139" s="6" t="s">
        <v>1511</v>
      </c>
      <c r="L139" s="8">
        <v>-0.21</v>
      </c>
      <c r="M139" s="6" t="s">
        <v>1512</v>
      </c>
      <c r="N139" s="8">
        <v>-0.21</v>
      </c>
      <c r="O139" s="6" t="s">
        <v>1513</v>
      </c>
      <c r="P139" s="6" t="s">
        <v>1514</v>
      </c>
      <c r="Q139" s="6" t="s">
        <v>217</v>
      </c>
      <c r="R139" s="6" t="s">
        <v>1515</v>
      </c>
      <c r="S139" s="6">
        <v>26</v>
      </c>
      <c r="T139" s="6" t="s">
        <v>1516</v>
      </c>
      <c r="U139" s="8">
        <v>-0.46</v>
      </c>
      <c r="V139" s="6"/>
      <c r="W139" s="6"/>
      <c r="X139" s="6"/>
      <c r="Y139" s="6"/>
      <c r="Z139" s="6"/>
      <c r="AA139" s="6"/>
      <c r="AB139" s="6"/>
      <c r="AC139" s="6"/>
      <c r="AD139" s="7"/>
    </row>
    <row r="140" spans="1:30" ht="15.6" x14ac:dyDescent="0.3">
      <c r="A140" s="4">
        <v>388</v>
      </c>
      <c r="B140" s="5" t="s">
        <v>1517</v>
      </c>
      <c r="C140" s="6" t="s">
        <v>102</v>
      </c>
      <c r="D140" s="5" t="s">
        <v>1518</v>
      </c>
      <c r="E140" s="5" t="s">
        <v>48</v>
      </c>
      <c r="F140" s="6" t="s">
        <v>1519</v>
      </c>
      <c r="G140" s="6" t="s">
        <v>1520</v>
      </c>
      <c r="H140" s="8">
        <v>0</v>
      </c>
      <c r="I140" s="8">
        <v>-0.39</v>
      </c>
      <c r="J140" s="6" t="s">
        <v>211</v>
      </c>
      <c r="K140" s="6" t="s">
        <v>1521</v>
      </c>
      <c r="L140" s="8">
        <v>-0.26</v>
      </c>
      <c r="M140" s="6" t="s">
        <v>1522</v>
      </c>
      <c r="N140" s="8">
        <v>-0.26</v>
      </c>
      <c r="O140" s="6" t="s">
        <v>1523</v>
      </c>
      <c r="P140" s="6" t="s">
        <v>1524</v>
      </c>
      <c r="Q140" s="6" t="s">
        <v>217</v>
      </c>
      <c r="R140" s="6">
        <v>247</v>
      </c>
      <c r="S140" s="6">
        <v>1</v>
      </c>
      <c r="T140" s="6">
        <v>169</v>
      </c>
      <c r="U140" s="8">
        <v>-0.15</v>
      </c>
      <c r="V140" s="6"/>
      <c r="W140" s="6"/>
      <c r="X140" s="6"/>
      <c r="Y140" s="6"/>
      <c r="Z140" s="6"/>
      <c r="AA140" s="6"/>
      <c r="AB140" s="6"/>
      <c r="AC140" s="6"/>
      <c r="AD140" s="7"/>
    </row>
    <row r="141" spans="1:30" ht="15.6" x14ac:dyDescent="0.3">
      <c r="A141" s="4">
        <v>389</v>
      </c>
      <c r="B141" s="5" t="s">
        <v>1525</v>
      </c>
      <c r="C141" s="6" t="s">
        <v>114</v>
      </c>
      <c r="D141" s="5" t="s">
        <v>1526</v>
      </c>
      <c r="E141" s="5" t="s">
        <v>33</v>
      </c>
      <c r="F141" s="6" t="s">
        <v>1527</v>
      </c>
      <c r="G141" s="6" t="s">
        <v>1528</v>
      </c>
      <c r="H141" s="8">
        <v>0</v>
      </c>
      <c r="I141" s="6" t="s">
        <v>1027</v>
      </c>
      <c r="J141" s="6" t="s">
        <v>1529</v>
      </c>
      <c r="K141" s="6" t="s">
        <v>1530</v>
      </c>
      <c r="L141" s="8">
        <v>-0.28999999999999998</v>
      </c>
      <c r="M141" s="6" t="s">
        <v>1531</v>
      </c>
      <c r="N141" s="8">
        <v>-0.28999999999999998</v>
      </c>
      <c r="O141" s="6" t="s">
        <v>1532</v>
      </c>
      <c r="P141" s="6" t="s">
        <v>1533</v>
      </c>
      <c r="Q141" s="6" t="e">
        <f>+∞%</f>
        <v>#NAME?</v>
      </c>
      <c r="R141" s="6">
        <v>232</v>
      </c>
      <c r="S141" s="6">
        <v>1</v>
      </c>
      <c r="T141" s="6">
        <v>162</v>
      </c>
      <c r="U141" s="6">
        <f>0.62%</f>
        <v>6.1999999999999998E-3</v>
      </c>
      <c r="V141" s="6"/>
      <c r="W141" s="6"/>
      <c r="X141" s="6"/>
      <c r="Y141" s="6"/>
      <c r="Z141" s="6"/>
      <c r="AA141" s="6"/>
      <c r="AB141" s="6"/>
      <c r="AC141" s="6"/>
      <c r="AD141" s="7"/>
    </row>
    <row r="142" spans="1:30" ht="15.6" x14ac:dyDescent="0.3">
      <c r="A142" s="4">
        <v>390</v>
      </c>
      <c r="B142" s="5" t="s">
        <v>1534</v>
      </c>
      <c r="C142" s="6" t="s">
        <v>466</v>
      </c>
      <c r="D142" s="5" t="s">
        <v>1535</v>
      </c>
      <c r="E142" s="5" t="s">
        <v>48</v>
      </c>
      <c r="F142" s="6" t="s">
        <v>1536</v>
      </c>
      <c r="G142" s="6" t="s">
        <v>1537</v>
      </c>
      <c r="H142" s="8">
        <v>0</v>
      </c>
      <c r="I142" s="6" t="s">
        <v>845</v>
      </c>
      <c r="J142" s="6" t="s">
        <v>385</v>
      </c>
      <c r="K142" s="6" t="s">
        <v>1538</v>
      </c>
      <c r="L142" s="8">
        <v>-0.23</v>
      </c>
      <c r="M142" s="6" t="s">
        <v>1539</v>
      </c>
      <c r="N142" s="8">
        <v>-0.23</v>
      </c>
      <c r="O142" s="6" t="s">
        <v>1540</v>
      </c>
      <c r="P142" s="6" t="s">
        <v>1541</v>
      </c>
      <c r="Q142" s="6"/>
      <c r="R142" s="6" t="s">
        <v>1542</v>
      </c>
      <c r="S142" s="6">
        <v>41</v>
      </c>
      <c r="T142" s="6" t="s">
        <v>1543</v>
      </c>
      <c r="U142" s="8">
        <v>-0.68</v>
      </c>
      <c r="V142" s="6"/>
      <c r="W142" s="6"/>
      <c r="X142" s="6"/>
      <c r="Y142" s="6"/>
      <c r="Z142" s="6"/>
      <c r="AA142" s="6"/>
      <c r="AB142" s="6"/>
      <c r="AC142" s="6"/>
      <c r="AD142" s="7"/>
    </row>
    <row r="143" spans="1:30" ht="15.6" x14ac:dyDescent="0.3">
      <c r="A143" s="4">
        <v>392</v>
      </c>
      <c r="B143" s="5" t="s">
        <v>1544</v>
      </c>
      <c r="C143" s="6" t="s">
        <v>31</v>
      </c>
      <c r="D143" s="5" t="s">
        <v>1545</v>
      </c>
      <c r="E143" s="5" t="s">
        <v>33</v>
      </c>
      <c r="F143" s="6" t="s">
        <v>1546</v>
      </c>
      <c r="G143" s="6" t="s">
        <v>1547</v>
      </c>
      <c r="H143" s="8">
        <v>0</v>
      </c>
      <c r="I143" s="6" t="s">
        <v>1548</v>
      </c>
      <c r="J143" s="6" t="s">
        <v>64</v>
      </c>
      <c r="K143" s="6" t="s">
        <v>119</v>
      </c>
      <c r="L143" s="6">
        <f>12%</f>
        <v>0.12</v>
      </c>
      <c r="M143" s="6" t="s">
        <v>779</v>
      </c>
      <c r="N143" s="6">
        <f>12%</f>
        <v>0.12</v>
      </c>
      <c r="O143" s="6" t="s">
        <v>1549</v>
      </c>
      <c r="P143" s="6" t="s">
        <v>1550</v>
      </c>
      <c r="Q143" s="6">
        <f>55%</f>
        <v>0.55000000000000004</v>
      </c>
      <c r="R143" s="6">
        <v>195</v>
      </c>
      <c r="S143" s="6">
        <v>12</v>
      </c>
      <c r="T143" s="6" t="s">
        <v>1551</v>
      </c>
      <c r="U143" s="8">
        <v>-0.93</v>
      </c>
      <c r="V143" s="6"/>
      <c r="W143" s="6"/>
      <c r="X143" s="6"/>
      <c r="Y143" s="6"/>
      <c r="Z143" s="6"/>
      <c r="AA143" s="6"/>
      <c r="AB143" s="6"/>
      <c r="AC143" s="6"/>
      <c r="AD143" s="7"/>
    </row>
    <row r="144" spans="1:30" ht="15.6" x14ac:dyDescent="0.3">
      <c r="A144" s="4">
        <v>393</v>
      </c>
      <c r="B144" s="5" t="s">
        <v>1552</v>
      </c>
      <c r="C144" s="6" t="s">
        <v>304</v>
      </c>
      <c r="D144" s="5" t="s">
        <v>1553</v>
      </c>
      <c r="E144" s="5" t="s">
        <v>48</v>
      </c>
      <c r="F144" s="6" t="s">
        <v>1554</v>
      </c>
      <c r="G144" s="6" t="s">
        <v>1555</v>
      </c>
      <c r="H144" s="8">
        <v>0</v>
      </c>
      <c r="I144" s="8">
        <v>-0.02</v>
      </c>
      <c r="J144" s="6" t="s">
        <v>250</v>
      </c>
      <c r="K144" s="6" t="s">
        <v>226</v>
      </c>
      <c r="L144" s="6">
        <f>25%</f>
        <v>0.25</v>
      </c>
      <c r="M144" s="6" t="s">
        <v>1556</v>
      </c>
      <c r="N144" s="6">
        <f>25%</f>
        <v>0.25</v>
      </c>
      <c r="O144" s="6" t="s">
        <v>1557</v>
      </c>
      <c r="P144" s="6" t="s">
        <v>1558</v>
      </c>
      <c r="Q144" s="6" t="s">
        <v>217</v>
      </c>
      <c r="R144" s="6" t="s">
        <v>1559</v>
      </c>
      <c r="S144" s="6">
        <v>19</v>
      </c>
      <c r="T144" s="6" t="s">
        <v>1560</v>
      </c>
      <c r="U144" s="6">
        <f>31%</f>
        <v>0.31</v>
      </c>
      <c r="V144" s="6"/>
      <c r="W144" s="6"/>
      <c r="X144" s="6"/>
      <c r="Y144" s="6"/>
      <c r="Z144" s="6"/>
      <c r="AA144" s="6"/>
      <c r="AB144" s="6"/>
      <c r="AC144" s="6"/>
      <c r="AD144" s="7"/>
    </row>
    <row r="145" spans="1:30" ht="15.6" x14ac:dyDescent="0.3">
      <c r="A145" s="4">
        <v>394</v>
      </c>
      <c r="B145" s="5" t="s">
        <v>1561</v>
      </c>
      <c r="C145" s="6" t="s">
        <v>148</v>
      </c>
      <c r="D145" s="5" t="s">
        <v>1562</v>
      </c>
      <c r="E145" s="5" t="s">
        <v>48</v>
      </c>
      <c r="F145" s="6" t="s">
        <v>1563</v>
      </c>
      <c r="G145" s="6" t="s">
        <v>1564</v>
      </c>
      <c r="H145" s="8">
        <v>0</v>
      </c>
      <c r="I145" s="6" t="s">
        <v>920</v>
      </c>
      <c r="J145" s="6" t="s">
        <v>199</v>
      </c>
      <c r="K145" s="6" t="s">
        <v>1565</v>
      </c>
      <c r="L145" s="6" t="s">
        <v>217</v>
      </c>
      <c r="M145" s="6" t="s">
        <v>1566</v>
      </c>
      <c r="N145" s="6" t="s">
        <v>1567</v>
      </c>
      <c r="O145" s="6" t="s">
        <v>1568</v>
      </c>
      <c r="P145" s="6" t="s">
        <v>217</v>
      </c>
      <c r="Q145" s="6" t="s">
        <v>217</v>
      </c>
      <c r="R145" s="6">
        <v>290</v>
      </c>
      <c r="S145" s="6">
        <v>5</v>
      </c>
      <c r="T145" s="6">
        <v>477</v>
      </c>
      <c r="U145" s="6" t="s">
        <v>217</v>
      </c>
      <c r="V145" s="6"/>
      <c r="W145" s="6"/>
      <c r="X145" s="6"/>
      <c r="Y145" s="6"/>
      <c r="Z145" s="6"/>
      <c r="AA145" s="6"/>
      <c r="AB145" s="6"/>
      <c r="AC145" s="6"/>
      <c r="AD145" s="7"/>
    </row>
    <row r="146" spans="1:30" ht="15.6" x14ac:dyDescent="0.3">
      <c r="A146" s="4">
        <v>395</v>
      </c>
      <c r="B146" s="5" t="s">
        <v>1569</v>
      </c>
      <c r="C146" s="6" t="s">
        <v>72</v>
      </c>
      <c r="D146" s="5" t="s">
        <v>1570</v>
      </c>
      <c r="E146" s="5" t="s">
        <v>48</v>
      </c>
      <c r="F146" s="6" t="s">
        <v>1571</v>
      </c>
      <c r="G146" s="6" t="s">
        <v>1572</v>
      </c>
      <c r="H146" s="8">
        <v>0</v>
      </c>
      <c r="I146" s="8">
        <v>-0.4</v>
      </c>
      <c r="J146" s="6" t="s">
        <v>758</v>
      </c>
      <c r="K146" s="6" t="s">
        <v>1573</v>
      </c>
      <c r="L146" s="6" t="s">
        <v>217</v>
      </c>
      <c r="M146" s="6" t="s">
        <v>1574</v>
      </c>
      <c r="N146" s="6" t="s">
        <v>1575</v>
      </c>
      <c r="O146" s="6" t="s">
        <v>1576</v>
      </c>
      <c r="P146" s="6" t="s">
        <v>1577</v>
      </c>
      <c r="Q146" s="6" t="s">
        <v>217</v>
      </c>
      <c r="R146" s="6">
        <v>447</v>
      </c>
      <c r="S146" s="6">
        <v>10</v>
      </c>
      <c r="T146" s="6">
        <v>482</v>
      </c>
      <c r="U146" s="6">
        <f>57%</f>
        <v>0.56999999999999995</v>
      </c>
      <c r="V146" s="6"/>
      <c r="W146" s="6"/>
      <c r="X146" s="6"/>
      <c r="Y146" s="6"/>
      <c r="Z146" s="6"/>
      <c r="AA146" s="6"/>
      <c r="AB146" s="6"/>
      <c r="AC146" s="6"/>
      <c r="AD146" s="7"/>
    </row>
    <row r="147" spans="1:30" ht="15.6" x14ac:dyDescent="0.3">
      <c r="A147" s="4">
        <v>396</v>
      </c>
      <c r="B147" s="5" t="s">
        <v>1578</v>
      </c>
      <c r="C147" s="6" t="s">
        <v>267</v>
      </c>
      <c r="D147" s="5" t="s">
        <v>1579</v>
      </c>
      <c r="E147" s="5" t="s">
        <v>48</v>
      </c>
      <c r="F147" s="6" t="s">
        <v>1580</v>
      </c>
      <c r="G147" s="6" t="s">
        <v>1581</v>
      </c>
      <c r="H147" s="8">
        <v>0</v>
      </c>
      <c r="I147" s="8">
        <v>-0.94</v>
      </c>
      <c r="J147" s="6" t="s">
        <v>199</v>
      </c>
      <c r="K147" s="6" t="s">
        <v>1582</v>
      </c>
      <c r="L147" s="8">
        <v>-0.14000000000000001</v>
      </c>
      <c r="M147" s="6" t="s">
        <v>1583</v>
      </c>
      <c r="N147" s="8">
        <v>-0.14000000000000001</v>
      </c>
      <c r="O147" s="6" t="s">
        <v>1584</v>
      </c>
      <c r="P147" s="6" t="s">
        <v>1585</v>
      </c>
      <c r="Q147" s="6" t="s">
        <v>217</v>
      </c>
      <c r="R147" s="6" t="s">
        <v>1586</v>
      </c>
      <c r="S147" s="6">
        <v>3</v>
      </c>
      <c r="T147" s="6" t="s">
        <v>1587</v>
      </c>
      <c r="U147" s="8">
        <v>-0.93</v>
      </c>
      <c r="V147" s="6"/>
      <c r="W147" s="6"/>
      <c r="X147" s="6"/>
      <c r="Y147" s="6"/>
      <c r="Z147" s="6"/>
      <c r="AA147" s="6"/>
      <c r="AB147" s="6"/>
      <c r="AC147" s="6"/>
      <c r="AD147" s="7"/>
    </row>
    <row r="148" spans="1:30" ht="15.6" x14ac:dyDescent="0.3">
      <c r="A148" s="4">
        <v>397</v>
      </c>
      <c r="B148" s="5" t="s">
        <v>1588</v>
      </c>
      <c r="C148" s="6" t="s">
        <v>114</v>
      </c>
      <c r="D148" s="5" t="s">
        <v>1589</v>
      </c>
      <c r="E148" s="5" t="s">
        <v>33</v>
      </c>
      <c r="F148" s="6" t="s">
        <v>1590</v>
      </c>
      <c r="G148" s="6" t="s">
        <v>1591</v>
      </c>
      <c r="H148" s="8">
        <v>0</v>
      </c>
      <c r="I148" s="6" t="s">
        <v>217</v>
      </c>
      <c r="J148" s="6" t="s">
        <v>189</v>
      </c>
      <c r="K148" s="6" t="s">
        <v>1592</v>
      </c>
      <c r="L148" s="6" t="s">
        <v>1593</v>
      </c>
      <c r="M148" s="6" t="s">
        <v>1594</v>
      </c>
      <c r="N148" s="6" t="s">
        <v>1593</v>
      </c>
      <c r="O148" s="6" t="s">
        <v>1595</v>
      </c>
      <c r="P148" s="6" t="s">
        <v>217</v>
      </c>
      <c r="Q148" s="6" t="s">
        <v>217</v>
      </c>
      <c r="R148" s="6">
        <v>102</v>
      </c>
      <c r="S148" s="6">
        <v>12</v>
      </c>
      <c r="T148" s="6">
        <v>294</v>
      </c>
      <c r="U148" s="6" t="s">
        <v>217</v>
      </c>
      <c r="V148" s="6"/>
      <c r="W148" s="6"/>
      <c r="X148" s="6"/>
      <c r="Y148" s="6"/>
      <c r="Z148" s="6"/>
      <c r="AA148" s="6"/>
      <c r="AB148" s="6"/>
      <c r="AC148" s="6"/>
      <c r="AD148" s="7"/>
    </row>
    <row r="149" spans="1:30" ht="15.6" x14ac:dyDescent="0.3">
      <c r="A149" s="4">
        <v>398</v>
      </c>
      <c r="B149" s="5" t="s">
        <v>1596</v>
      </c>
      <c r="C149" s="6" t="s">
        <v>126</v>
      </c>
      <c r="D149" s="5" t="s">
        <v>1597</v>
      </c>
      <c r="E149" s="5" t="s">
        <v>48</v>
      </c>
      <c r="F149" s="6" t="s">
        <v>1598</v>
      </c>
      <c r="G149" s="6" t="s">
        <v>1599</v>
      </c>
      <c r="H149" s="8">
        <v>0</v>
      </c>
      <c r="I149" s="8">
        <v>-0.94</v>
      </c>
      <c r="J149" s="6" t="s">
        <v>1600</v>
      </c>
      <c r="K149" s="6" t="s">
        <v>1601</v>
      </c>
      <c r="L149" s="6" t="s">
        <v>217</v>
      </c>
      <c r="M149" s="6" t="s">
        <v>1602</v>
      </c>
      <c r="N149" s="8">
        <v>-0.28999999999999998</v>
      </c>
      <c r="O149" s="6" t="s">
        <v>1603</v>
      </c>
      <c r="P149" s="6" t="s">
        <v>1604</v>
      </c>
      <c r="Q149" s="6" t="s">
        <v>217</v>
      </c>
      <c r="R149" s="6">
        <v>566</v>
      </c>
      <c r="S149" s="6">
        <v>0</v>
      </c>
      <c r="T149" s="6">
        <v>414</v>
      </c>
      <c r="U149" s="6" t="s">
        <v>217</v>
      </c>
      <c r="V149" s="6"/>
      <c r="W149" s="6"/>
      <c r="X149" s="6"/>
      <c r="Y149" s="6"/>
      <c r="Z149" s="6"/>
      <c r="AA149" s="6"/>
      <c r="AB149" s="6"/>
      <c r="AC149" s="6"/>
      <c r="AD149" s="7"/>
    </row>
    <row r="150" spans="1:30" ht="15.6" x14ac:dyDescent="0.3">
      <c r="A150" s="4">
        <v>399</v>
      </c>
      <c r="B150" s="5" t="s">
        <v>1605</v>
      </c>
      <c r="C150" s="6" t="s">
        <v>126</v>
      </c>
      <c r="D150" s="5" t="s">
        <v>1606</v>
      </c>
      <c r="E150" s="5" t="s">
        <v>48</v>
      </c>
      <c r="F150" s="6" t="s">
        <v>1607</v>
      </c>
      <c r="G150" s="6" t="s">
        <v>1608</v>
      </c>
      <c r="H150" s="8">
        <v>0</v>
      </c>
      <c r="I150" s="8">
        <v>-0.81</v>
      </c>
      <c r="J150" s="6" t="s">
        <v>1609</v>
      </c>
      <c r="K150" s="6" t="s">
        <v>1610</v>
      </c>
      <c r="L150" s="8">
        <v>-0.62</v>
      </c>
      <c r="M150" s="6" t="s">
        <v>1611</v>
      </c>
      <c r="N150" s="8">
        <v>-0.62</v>
      </c>
      <c r="O150" s="6" t="s">
        <v>1612</v>
      </c>
      <c r="P150" s="6" t="s">
        <v>1613</v>
      </c>
      <c r="Q150" s="6" t="s">
        <v>217</v>
      </c>
      <c r="R150" s="6" t="s">
        <v>1614</v>
      </c>
      <c r="S150" s="6">
        <v>28</v>
      </c>
      <c r="T150" s="6" t="s">
        <v>1615</v>
      </c>
      <c r="U150" s="6">
        <f>49%</f>
        <v>0.49</v>
      </c>
      <c r="V150" s="6"/>
      <c r="W150" s="6"/>
      <c r="X150" s="6"/>
      <c r="Y150" s="6"/>
      <c r="Z150" s="6"/>
      <c r="AA150" s="6"/>
      <c r="AB150" s="6"/>
      <c r="AC150" s="6"/>
      <c r="AD150" s="7"/>
    </row>
    <row r="151" spans="1:30" ht="15.6" x14ac:dyDescent="0.3">
      <c r="A151" s="4">
        <v>400</v>
      </c>
      <c r="B151" s="5" t="s">
        <v>1616</v>
      </c>
      <c r="C151" s="6" t="s">
        <v>466</v>
      </c>
      <c r="D151" s="5" t="s">
        <v>1617</v>
      </c>
      <c r="E151" s="5" t="s">
        <v>48</v>
      </c>
      <c r="F151" s="6" t="s">
        <v>1618</v>
      </c>
      <c r="G151" s="6" t="s">
        <v>1619</v>
      </c>
      <c r="H151" s="8">
        <v>0</v>
      </c>
      <c r="I151" s="8">
        <v>-0.83</v>
      </c>
      <c r="J151" s="6" t="s">
        <v>374</v>
      </c>
      <c r="K151" s="6" t="s">
        <v>1620</v>
      </c>
      <c r="L151" s="8">
        <v>-0.17</v>
      </c>
      <c r="M151" s="6" t="s">
        <v>1621</v>
      </c>
      <c r="N151" s="8">
        <v>-0.17</v>
      </c>
      <c r="O151" s="6" t="s">
        <v>1622</v>
      </c>
      <c r="P151" s="6" t="s">
        <v>1623</v>
      </c>
      <c r="Q151" s="6" t="s">
        <v>217</v>
      </c>
      <c r="R151" s="6">
        <v>786</v>
      </c>
      <c r="S151" s="6">
        <v>8</v>
      </c>
      <c r="T151" s="6">
        <v>812</v>
      </c>
      <c r="U151" s="8">
        <v>-0.83</v>
      </c>
      <c r="V151" s="6"/>
      <c r="W151" s="6"/>
      <c r="X151" s="6"/>
      <c r="Y151" s="6"/>
      <c r="Z151" s="6"/>
      <c r="AA151" s="6"/>
      <c r="AB151" s="6"/>
      <c r="AC151" s="6"/>
      <c r="AD151" s="7"/>
    </row>
    <row r="152" spans="1:30" ht="15.6" x14ac:dyDescent="0.3">
      <c r="A152" s="4">
        <v>401</v>
      </c>
      <c r="B152" s="5" t="s">
        <v>1624</v>
      </c>
      <c r="C152" s="6" t="s">
        <v>219</v>
      </c>
      <c r="D152" s="5" t="s">
        <v>1625</v>
      </c>
      <c r="E152" s="5" t="s">
        <v>48</v>
      </c>
      <c r="F152" s="6" t="s">
        <v>1626</v>
      </c>
      <c r="G152" s="6" t="s">
        <v>1627</v>
      </c>
      <c r="H152" s="8">
        <v>0</v>
      </c>
      <c r="I152" s="6" t="s">
        <v>1628</v>
      </c>
      <c r="J152" s="6" t="s">
        <v>385</v>
      </c>
      <c r="K152" s="6" t="s">
        <v>1629</v>
      </c>
      <c r="L152" s="8">
        <v>-0.66</v>
      </c>
      <c r="M152" s="6" t="s">
        <v>1630</v>
      </c>
      <c r="N152" s="8">
        <v>-0.66</v>
      </c>
      <c r="O152" s="6" t="s">
        <v>1631</v>
      </c>
      <c r="P152" s="6" t="s">
        <v>1632</v>
      </c>
      <c r="Q152" s="6" t="s">
        <v>217</v>
      </c>
      <c r="R152" s="6" t="s">
        <v>1633</v>
      </c>
      <c r="S152" s="6">
        <v>55</v>
      </c>
      <c r="T152" s="6">
        <v>960</v>
      </c>
      <c r="U152" s="6">
        <f>19%</f>
        <v>0.19</v>
      </c>
      <c r="V152" s="6"/>
      <c r="W152" s="6"/>
      <c r="X152" s="6"/>
      <c r="Y152" s="6"/>
      <c r="Z152" s="6"/>
      <c r="AA152" s="6"/>
      <c r="AB152" s="6"/>
      <c r="AC152" s="6"/>
      <c r="AD152" s="7"/>
    </row>
    <row r="153" spans="1:30" ht="15.6" x14ac:dyDescent="0.3">
      <c r="A153" s="4">
        <v>402</v>
      </c>
      <c r="B153" s="5" t="s">
        <v>1634</v>
      </c>
      <c r="C153" s="6" t="s">
        <v>267</v>
      </c>
      <c r="D153" s="5" t="s">
        <v>1635</v>
      </c>
      <c r="E153" s="5" t="s">
        <v>48</v>
      </c>
      <c r="F153" s="6" t="s">
        <v>1636</v>
      </c>
      <c r="G153" s="6" t="s">
        <v>1637</v>
      </c>
      <c r="H153" s="8">
        <v>0</v>
      </c>
      <c r="I153" s="8">
        <v>-0.53</v>
      </c>
      <c r="J153" s="6" t="s">
        <v>250</v>
      </c>
      <c r="K153" s="6" t="s">
        <v>1638</v>
      </c>
      <c r="L153" s="6" t="s">
        <v>1628</v>
      </c>
      <c r="M153" s="6" t="s">
        <v>1639</v>
      </c>
      <c r="N153" s="6" t="s">
        <v>1628</v>
      </c>
      <c r="O153" s="6" t="s">
        <v>1640</v>
      </c>
      <c r="P153" s="6" t="s">
        <v>1641</v>
      </c>
      <c r="Q153" s="6" t="s">
        <v>217</v>
      </c>
      <c r="R153" s="6" t="s">
        <v>1642</v>
      </c>
      <c r="S153" s="6">
        <v>9</v>
      </c>
      <c r="T153" s="6" t="s">
        <v>1643</v>
      </c>
      <c r="U153" s="8">
        <v>-0.99</v>
      </c>
      <c r="V153" s="6"/>
      <c r="W153" s="6"/>
      <c r="X153" s="6"/>
      <c r="Y153" s="6"/>
      <c r="Z153" s="6"/>
      <c r="AA153" s="6"/>
      <c r="AB153" s="6"/>
      <c r="AC153" s="6"/>
      <c r="AD153" s="7"/>
    </row>
    <row r="154" spans="1:30" ht="15.6" x14ac:dyDescent="0.3">
      <c r="A154" s="4">
        <v>403</v>
      </c>
      <c r="B154" s="5" t="s">
        <v>1644</v>
      </c>
      <c r="C154" s="6" t="s">
        <v>1645</v>
      </c>
      <c r="D154" s="5" t="s">
        <v>1646</v>
      </c>
      <c r="E154" s="5" t="s">
        <v>48</v>
      </c>
      <c r="F154" s="6" t="s">
        <v>1647</v>
      </c>
      <c r="G154" s="6" t="s">
        <v>1648</v>
      </c>
      <c r="H154" s="8">
        <v>0</v>
      </c>
      <c r="I154" s="8">
        <v>-0.97</v>
      </c>
      <c r="J154" s="6" t="s">
        <v>1649</v>
      </c>
      <c r="K154" s="6" t="s">
        <v>1650</v>
      </c>
      <c r="L154" s="8">
        <v>-0.59</v>
      </c>
      <c r="M154" s="6" t="s">
        <v>1651</v>
      </c>
      <c r="N154" s="8">
        <v>-0.59</v>
      </c>
      <c r="O154" s="6" t="s">
        <v>1652</v>
      </c>
      <c r="P154" s="6" t="s">
        <v>1653</v>
      </c>
      <c r="Q154" s="6" t="s">
        <v>217</v>
      </c>
      <c r="R154" s="6" t="s">
        <v>1654</v>
      </c>
      <c r="S154" s="6">
        <v>33</v>
      </c>
      <c r="T154" s="6" t="s">
        <v>990</v>
      </c>
      <c r="U154" s="8">
        <v>-0.44</v>
      </c>
      <c r="V154" s="6"/>
      <c r="W154" s="6"/>
      <c r="X154" s="6"/>
      <c r="Y154" s="6"/>
      <c r="Z154" s="6"/>
      <c r="AA154" s="6"/>
      <c r="AB154" s="6"/>
      <c r="AC154" s="6"/>
      <c r="AD154" s="7"/>
    </row>
    <row r="155" spans="1:30" ht="15.6" x14ac:dyDescent="0.3">
      <c r="A155" s="4">
        <v>404</v>
      </c>
      <c r="B155" s="5" t="s">
        <v>1655</v>
      </c>
      <c r="C155" s="6" t="s">
        <v>1002</v>
      </c>
      <c r="D155" s="5" t="s">
        <v>1656</v>
      </c>
      <c r="E155" s="5" t="s">
        <v>48</v>
      </c>
      <c r="F155" s="6" t="s">
        <v>1657</v>
      </c>
      <c r="G155" s="6" t="s">
        <v>1658</v>
      </c>
      <c r="H155" s="8">
        <v>0</v>
      </c>
      <c r="I155" s="6" t="s">
        <v>1659</v>
      </c>
      <c r="J155" s="6" t="s">
        <v>1660</v>
      </c>
      <c r="K155" s="6" t="s">
        <v>108</v>
      </c>
      <c r="L155" s="6" t="s">
        <v>1661</v>
      </c>
      <c r="M155" s="6" t="s">
        <v>1662</v>
      </c>
      <c r="N155" s="6" t="s">
        <v>1661</v>
      </c>
      <c r="O155" s="6" t="s">
        <v>1663</v>
      </c>
      <c r="P155" s="6" t="s">
        <v>1664</v>
      </c>
      <c r="Q155" s="6">
        <f>25%</f>
        <v>0.25</v>
      </c>
      <c r="R155" s="6" t="s">
        <v>1665</v>
      </c>
      <c r="S155" s="6">
        <v>130</v>
      </c>
      <c r="T155" s="6" t="s">
        <v>1666</v>
      </c>
      <c r="U155" s="6">
        <f>15%</f>
        <v>0.15</v>
      </c>
      <c r="V155" s="6"/>
      <c r="W155" s="6"/>
      <c r="X155" s="6"/>
      <c r="Y155" s="6"/>
      <c r="Z155" s="6"/>
      <c r="AA155" s="6"/>
      <c r="AB155" s="6"/>
      <c r="AC155" s="6"/>
      <c r="AD155" s="7"/>
    </row>
    <row r="156" spans="1:30" ht="15.6" x14ac:dyDescent="0.3">
      <c r="A156" s="4">
        <v>405</v>
      </c>
      <c r="B156" s="5" t="s">
        <v>1667</v>
      </c>
      <c r="C156" s="6" t="s">
        <v>406</v>
      </c>
      <c r="D156" s="5" t="s">
        <v>1668</v>
      </c>
      <c r="E156" s="5" t="s">
        <v>48</v>
      </c>
      <c r="F156" s="6" t="s">
        <v>1669</v>
      </c>
      <c r="G156" s="6" t="s">
        <v>1670</v>
      </c>
      <c r="H156" s="8">
        <v>0</v>
      </c>
      <c r="I156" s="6" t="s">
        <v>1490</v>
      </c>
      <c r="J156" s="6" t="s">
        <v>571</v>
      </c>
      <c r="K156" s="6" t="s">
        <v>1671</v>
      </c>
      <c r="L156" s="8">
        <v>-0.17</v>
      </c>
      <c r="M156" s="6" t="s">
        <v>1672</v>
      </c>
      <c r="N156" s="8">
        <v>-0.17</v>
      </c>
      <c r="O156" s="6" t="s">
        <v>1673</v>
      </c>
      <c r="P156" s="6" t="s">
        <v>1674</v>
      </c>
      <c r="Q156" s="6"/>
      <c r="R156" s="6" t="s">
        <v>1675</v>
      </c>
      <c r="S156" s="6">
        <v>195</v>
      </c>
      <c r="T156" s="6" t="s">
        <v>990</v>
      </c>
      <c r="U156" s="8">
        <v>-0.69</v>
      </c>
      <c r="V156" s="6"/>
      <c r="W156" s="6"/>
      <c r="X156" s="6"/>
      <c r="Y156" s="6"/>
      <c r="Z156" s="6"/>
      <c r="AA156" s="6"/>
      <c r="AB156" s="6"/>
      <c r="AC156" s="6"/>
      <c r="AD156" s="7"/>
    </row>
    <row r="157" spans="1:30" ht="15.6" x14ac:dyDescent="0.3">
      <c r="A157" s="4">
        <v>406</v>
      </c>
      <c r="B157" s="5" t="s">
        <v>1676</v>
      </c>
      <c r="C157" s="6" t="s">
        <v>114</v>
      </c>
      <c r="D157" s="5" t="s">
        <v>1677</v>
      </c>
      <c r="E157" s="5" t="s">
        <v>48</v>
      </c>
      <c r="F157" s="6" t="s">
        <v>1678</v>
      </c>
      <c r="G157" s="6" t="s">
        <v>1679</v>
      </c>
      <c r="H157" s="8">
        <v>0</v>
      </c>
      <c r="I157" s="8">
        <v>-0.86</v>
      </c>
      <c r="J157" s="6" t="s">
        <v>64</v>
      </c>
      <c r="K157" s="6" t="s">
        <v>518</v>
      </c>
      <c r="L157" s="8">
        <v>-0.12</v>
      </c>
      <c r="M157" s="6" t="s">
        <v>1680</v>
      </c>
      <c r="N157" s="8">
        <v>-0.12</v>
      </c>
      <c r="O157" s="6" t="s">
        <v>1681</v>
      </c>
      <c r="P157" s="6" t="s">
        <v>1682</v>
      </c>
      <c r="Q157" s="6" t="s">
        <v>217</v>
      </c>
      <c r="R157" s="6" t="s">
        <v>1683</v>
      </c>
      <c r="S157" s="6">
        <v>32</v>
      </c>
      <c r="T157" s="6" t="s">
        <v>1684</v>
      </c>
      <c r="U157" s="8">
        <v>-0.38</v>
      </c>
      <c r="V157" s="6"/>
      <c r="W157" s="6"/>
      <c r="X157" s="6"/>
      <c r="Y157" s="6"/>
      <c r="Z157" s="6"/>
      <c r="AA157" s="6"/>
      <c r="AB157" s="6"/>
      <c r="AC157" s="6"/>
      <c r="AD157" s="7"/>
    </row>
    <row r="158" spans="1:30" ht="15.6" x14ac:dyDescent="0.3">
      <c r="A158" s="4">
        <v>407</v>
      </c>
      <c r="B158" s="5" t="s">
        <v>1685</v>
      </c>
      <c r="C158" s="6" t="s">
        <v>173</v>
      </c>
      <c r="D158" s="5" t="s">
        <v>1686</v>
      </c>
      <c r="E158" s="5" t="s">
        <v>33</v>
      </c>
      <c r="F158" s="6" t="s">
        <v>1687</v>
      </c>
      <c r="G158" s="6" t="s">
        <v>1688</v>
      </c>
      <c r="H158" s="8">
        <v>0</v>
      </c>
      <c r="I158" s="8">
        <v>-0.52</v>
      </c>
      <c r="J158" s="6" t="s">
        <v>107</v>
      </c>
      <c r="K158" s="6" t="s">
        <v>1689</v>
      </c>
      <c r="L158" s="6">
        <f>8.7%</f>
        <v>8.6999999999999994E-2</v>
      </c>
      <c r="M158" s="6" t="s">
        <v>1690</v>
      </c>
      <c r="N158" s="6">
        <f>8.7%</f>
        <v>8.6999999999999994E-2</v>
      </c>
      <c r="O158" s="6" t="s">
        <v>1691</v>
      </c>
      <c r="P158" s="6" t="s">
        <v>1692</v>
      </c>
      <c r="Q158" s="6" t="s">
        <v>217</v>
      </c>
      <c r="R158" s="6" t="s">
        <v>1693</v>
      </c>
      <c r="S158" s="6">
        <v>15</v>
      </c>
      <c r="T158" s="6" t="s">
        <v>1694</v>
      </c>
      <c r="U158" s="8">
        <v>-0.93</v>
      </c>
      <c r="V158" s="6"/>
      <c r="W158" s="6"/>
      <c r="X158" s="6"/>
      <c r="Y158" s="6"/>
      <c r="Z158" s="6"/>
      <c r="AA158" s="6"/>
      <c r="AB158" s="6"/>
      <c r="AC158" s="6"/>
      <c r="AD158" s="7"/>
    </row>
    <row r="159" spans="1:30" ht="15.6" x14ac:dyDescent="0.3">
      <c r="A159" s="4">
        <v>408</v>
      </c>
      <c r="B159" s="5" t="s">
        <v>1695</v>
      </c>
      <c r="C159" s="6" t="s">
        <v>85</v>
      </c>
      <c r="D159" s="5" t="s">
        <v>1696</v>
      </c>
      <c r="E159" s="5" t="s">
        <v>48</v>
      </c>
      <c r="F159" s="6" t="s">
        <v>1697</v>
      </c>
      <c r="G159" s="6" t="s">
        <v>1698</v>
      </c>
      <c r="H159" s="8">
        <v>0</v>
      </c>
      <c r="I159" s="6" t="s">
        <v>1027</v>
      </c>
      <c r="J159" s="6" t="s">
        <v>888</v>
      </c>
      <c r="K159" s="6" t="s">
        <v>1699</v>
      </c>
      <c r="L159" s="8">
        <v>-0.89</v>
      </c>
      <c r="M159" s="6" t="s">
        <v>1700</v>
      </c>
      <c r="N159" s="8">
        <v>-0.89</v>
      </c>
      <c r="O159" s="6" t="s">
        <v>1701</v>
      </c>
      <c r="P159" s="6" t="s">
        <v>1702</v>
      </c>
      <c r="Q159" s="6">
        <f>46%</f>
        <v>0.46</v>
      </c>
      <c r="R159" s="6" t="s">
        <v>1703</v>
      </c>
      <c r="S159" s="6">
        <v>10</v>
      </c>
      <c r="T159" s="6" t="s">
        <v>1704</v>
      </c>
      <c r="U159" s="8">
        <v>-0.19</v>
      </c>
      <c r="V159" s="6"/>
      <c r="W159" s="6"/>
      <c r="X159" s="6"/>
      <c r="Y159" s="6"/>
      <c r="Z159" s="6"/>
      <c r="AA159" s="6"/>
      <c r="AB159" s="6"/>
      <c r="AC159" s="6"/>
      <c r="AD159" s="7"/>
    </row>
    <row r="160" spans="1:30" ht="15.6" x14ac:dyDescent="0.3">
      <c r="A160" s="4">
        <v>409</v>
      </c>
      <c r="B160" s="5" t="s">
        <v>1705</v>
      </c>
      <c r="C160" s="6" t="s">
        <v>219</v>
      </c>
      <c r="D160" s="5" t="s">
        <v>1706</v>
      </c>
      <c r="E160" s="5" t="s">
        <v>33</v>
      </c>
      <c r="F160" s="6" t="s">
        <v>1707</v>
      </c>
      <c r="G160" s="6" t="s">
        <v>1708</v>
      </c>
      <c r="H160" s="8">
        <v>0</v>
      </c>
      <c r="I160" s="6" t="s">
        <v>1709</v>
      </c>
      <c r="J160" s="6" t="s">
        <v>550</v>
      </c>
      <c r="K160" s="6" t="s">
        <v>1710</v>
      </c>
      <c r="L160" s="8">
        <v>-0.61</v>
      </c>
      <c r="M160" s="6" t="s">
        <v>1711</v>
      </c>
      <c r="N160" s="8">
        <v>-0.61</v>
      </c>
      <c r="O160" s="6" t="s">
        <v>1712</v>
      </c>
      <c r="P160" s="6" t="s">
        <v>1713</v>
      </c>
      <c r="Q160" s="6" t="s">
        <v>217</v>
      </c>
      <c r="R160" s="6">
        <v>302</v>
      </c>
      <c r="S160" s="6">
        <v>4</v>
      </c>
      <c r="T160" s="6" t="s">
        <v>241</v>
      </c>
      <c r="U160" s="6">
        <f>95%</f>
        <v>0.95</v>
      </c>
      <c r="V160" s="6"/>
      <c r="W160" s="6"/>
      <c r="X160" s="6"/>
      <c r="Y160" s="6"/>
      <c r="Z160" s="6"/>
      <c r="AA160" s="6"/>
      <c r="AB160" s="6"/>
      <c r="AC160" s="6"/>
      <c r="AD160" s="7"/>
    </row>
    <row r="161" spans="1:30" ht="15.6" x14ac:dyDescent="0.3">
      <c r="A161" s="4">
        <v>410</v>
      </c>
      <c r="B161" s="5" t="s">
        <v>1714</v>
      </c>
      <c r="C161" s="6" t="s">
        <v>85</v>
      </c>
      <c r="D161" s="5" t="s">
        <v>1715</v>
      </c>
      <c r="E161" s="5" t="s">
        <v>33</v>
      </c>
      <c r="F161" s="6" t="s">
        <v>1716</v>
      </c>
      <c r="G161" s="6" t="s">
        <v>1717</v>
      </c>
      <c r="H161" s="8">
        <v>0</v>
      </c>
      <c r="I161" s="6" t="s">
        <v>877</v>
      </c>
      <c r="J161" s="6" t="s">
        <v>1184</v>
      </c>
      <c r="K161" s="6" t="s">
        <v>1718</v>
      </c>
      <c r="L161" s="6" t="s">
        <v>1719</v>
      </c>
      <c r="M161" s="6" t="s">
        <v>1720</v>
      </c>
      <c r="N161" s="6" t="s">
        <v>1719</v>
      </c>
      <c r="O161" s="6" t="s">
        <v>1721</v>
      </c>
      <c r="P161" s="6" t="s">
        <v>1722</v>
      </c>
      <c r="Q161" s="6" t="s">
        <v>9262</v>
      </c>
      <c r="R161" s="6">
        <v>254</v>
      </c>
      <c r="S161" s="6">
        <v>6</v>
      </c>
      <c r="T161" s="6" t="s">
        <v>1723</v>
      </c>
      <c r="U161" s="8">
        <v>-0.91</v>
      </c>
      <c r="V161" s="6"/>
      <c r="W161" s="6"/>
      <c r="X161" s="6"/>
      <c r="Y161" s="6"/>
      <c r="Z161" s="6"/>
      <c r="AA161" s="6"/>
      <c r="AB161" s="6"/>
      <c r="AC161" s="6"/>
      <c r="AD161" s="7"/>
    </row>
    <row r="162" spans="1:30" ht="15.6" x14ac:dyDescent="0.3">
      <c r="A162" s="4">
        <v>411</v>
      </c>
      <c r="B162" s="5" t="s">
        <v>1724</v>
      </c>
      <c r="C162" s="6" t="s">
        <v>72</v>
      </c>
      <c r="D162" s="5" t="s">
        <v>1725</v>
      </c>
      <c r="E162" s="5" t="s">
        <v>33</v>
      </c>
      <c r="F162" s="6" t="s">
        <v>1726</v>
      </c>
      <c r="G162" s="6" t="s">
        <v>1727</v>
      </c>
      <c r="H162" s="8">
        <v>0</v>
      </c>
      <c r="I162" s="6" t="s">
        <v>1343</v>
      </c>
      <c r="J162" s="6" t="s">
        <v>90</v>
      </c>
      <c r="K162" s="6" t="s">
        <v>1728</v>
      </c>
      <c r="L162" s="6">
        <f>18%</f>
        <v>0.18</v>
      </c>
      <c r="M162" s="6" t="s">
        <v>1729</v>
      </c>
      <c r="N162" s="6">
        <f>18%</f>
        <v>0.18</v>
      </c>
      <c r="O162" s="6" t="s">
        <v>1730</v>
      </c>
      <c r="P162" s="6" t="s">
        <v>1731</v>
      </c>
      <c r="Q162" s="6" t="s">
        <v>217</v>
      </c>
      <c r="R162" s="6">
        <v>541</v>
      </c>
      <c r="S162" s="6">
        <v>8</v>
      </c>
      <c r="T162" s="6" t="s">
        <v>1302</v>
      </c>
      <c r="U162" s="6">
        <f>48%</f>
        <v>0.48</v>
      </c>
      <c r="V162" s="6"/>
      <c r="W162" s="6"/>
      <c r="X162" s="6"/>
      <c r="Y162" s="6"/>
      <c r="Z162" s="6"/>
      <c r="AA162" s="6"/>
      <c r="AB162" s="6"/>
      <c r="AC162" s="6"/>
      <c r="AD162" s="7"/>
    </row>
    <row r="163" spans="1:30" ht="15.6" x14ac:dyDescent="0.3">
      <c r="A163" s="4">
        <v>412</v>
      </c>
      <c r="B163" s="5" t="s">
        <v>1732</v>
      </c>
      <c r="C163" s="6" t="s">
        <v>46</v>
      </c>
      <c r="D163" s="5" t="s">
        <v>1733</v>
      </c>
      <c r="E163" s="5" t="s">
        <v>33</v>
      </c>
      <c r="F163" s="6" t="s">
        <v>1734</v>
      </c>
      <c r="G163" s="6" t="s">
        <v>1735</v>
      </c>
      <c r="H163" s="8">
        <v>0</v>
      </c>
      <c r="I163" s="8">
        <v>-0.91</v>
      </c>
      <c r="J163" s="6" t="s">
        <v>731</v>
      </c>
      <c r="K163" s="6" t="s">
        <v>1736</v>
      </c>
      <c r="L163" s="8">
        <v>-0.18</v>
      </c>
      <c r="M163" s="6" t="s">
        <v>1737</v>
      </c>
      <c r="N163" s="8">
        <v>-0.18</v>
      </c>
      <c r="O163" s="6" t="s">
        <v>1738</v>
      </c>
      <c r="P163" s="6" t="s">
        <v>1739</v>
      </c>
      <c r="Q163" s="6" t="s">
        <v>217</v>
      </c>
      <c r="R163" s="6">
        <v>16</v>
      </c>
      <c r="S163" s="6">
        <v>0</v>
      </c>
      <c r="T163" s="6" t="s">
        <v>1740</v>
      </c>
      <c r="U163" s="6" t="s">
        <v>217</v>
      </c>
      <c r="V163" s="6"/>
      <c r="W163" s="6"/>
      <c r="X163" s="6"/>
      <c r="Y163" s="6"/>
      <c r="Z163" s="6"/>
      <c r="AA163" s="6"/>
      <c r="AB163" s="6"/>
      <c r="AC163" s="6"/>
      <c r="AD163" s="7"/>
    </row>
    <row r="164" spans="1:30" ht="15.6" x14ac:dyDescent="0.3">
      <c r="A164" s="4">
        <v>413</v>
      </c>
      <c r="B164" s="5" t="s">
        <v>1741</v>
      </c>
      <c r="C164" s="6" t="s">
        <v>291</v>
      </c>
      <c r="D164" s="5" t="s">
        <v>1742</v>
      </c>
      <c r="E164" s="5" t="s">
        <v>33</v>
      </c>
      <c r="F164" s="6" t="s">
        <v>1743</v>
      </c>
      <c r="G164" s="6" t="s">
        <v>1744</v>
      </c>
      <c r="H164" s="8">
        <v>0</v>
      </c>
      <c r="I164" s="8">
        <v>-0.46</v>
      </c>
      <c r="J164" s="6" t="s">
        <v>1071</v>
      </c>
      <c r="K164" s="6" t="s">
        <v>1745</v>
      </c>
      <c r="L164" s="6">
        <f>20%</f>
        <v>0.2</v>
      </c>
      <c r="M164" s="6" t="s">
        <v>1746</v>
      </c>
      <c r="N164" s="6">
        <f>20%</f>
        <v>0.2</v>
      </c>
      <c r="O164" s="6" t="s">
        <v>1747</v>
      </c>
      <c r="P164" s="6" t="s">
        <v>1748</v>
      </c>
      <c r="Q164" s="6" t="s">
        <v>217</v>
      </c>
      <c r="R164" s="6">
        <v>913</v>
      </c>
      <c r="S164" s="6">
        <v>7</v>
      </c>
      <c r="T164" s="6" t="s">
        <v>1749</v>
      </c>
      <c r="U164" s="6">
        <f>0.46%</f>
        <v>4.5999999999999999E-3</v>
      </c>
      <c r="V164" s="6"/>
      <c r="W164" s="6"/>
      <c r="X164" s="6"/>
      <c r="Y164" s="6"/>
      <c r="Z164" s="6"/>
      <c r="AA164" s="6"/>
      <c r="AB164" s="6"/>
      <c r="AC164" s="6"/>
      <c r="AD164" s="7"/>
    </row>
    <row r="165" spans="1:30" ht="15.6" x14ac:dyDescent="0.3">
      <c r="A165" s="4">
        <v>414</v>
      </c>
      <c r="B165" s="5" t="s">
        <v>1750</v>
      </c>
      <c r="C165" s="6" t="s">
        <v>102</v>
      </c>
      <c r="D165" s="5" t="s">
        <v>1751</v>
      </c>
      <c r="E165" s="5" t="s">
        <v>33</v>
      </c>
      <c r="F165" s="6" t="s">
        <v>1752</v>
      </c>
      <c r="G165" s="6" t="s">
        <v>1753</v>
      </c>
      <c r="H165" s="8">
        <v>0</v>
      </c>
      <c r="I165" s="8">
        <v>-0.95</v>
      </c>
      <c r="J165" s="6" t="s">
        <v>77</v>
      </c>
      <c r="K165" s="6" t="s">
        <v>398</v>
      </c>
      <c r="L165" s="6" t="s">
        <v>1754</v>
      </c>
      <c r="M165" s="6" t="s">
        <v>1755</v>
      </c>
      <c r="N165" s="6" t="s">
        <v>1754</v>
      </c>
      <c r="O165" s="6" t="s">
        <v>1756</v>
      </c>
      <c r="P165" s="6" t="s">
        <v>1757</v>
      </c>
      <c r="Q165" s="6" t="s">
        <v>217</v>
      </c>
      <c r="R165" s="6">
        <v>226</v>
      </c>
      <c r="S165" s="6">
        <v>3</v>
      </c>
      <c r="T165" s="6" t="s">
        <v>1758</v>
      </c>
      <c r="U165" s="6">
        <f>220%</f>
        <v>2.2000000000000002</v>
      </c>
      <c r="V165" s="6"/>
      <c r="W165" s="6"/>
      <c r="X165" s="6"/>
      <c r="Y165" s="6"/>
      <c r="Z165" s="6"/>
      <c r="AA165" s="6"/>
      <c r="AB165" s="6"/>
      <c r="AC165" s="6"/>
      <c r="AD165" s="7"/>
    </row>
    <row r="166" spans="1:30" ht="15.6" x14ac:dyDescent="0.3">
      <c r="A166" s="4">
        <v>415</v>
      </c>
      <c r="B166" s="5" t="s">
        <v>1759</v>
      </c>
      <c r="C166" s="6" t="s">
        <v>267</v>
      </c>
      <c r="D166" s="5" t="s">
        <v>1760</v>
      </c>
      <c r="E166" s="5" t="s">
        <v>33</v>
      </c>
      <c r="F166" s="6" t="s">
        <v>1761</v>
      </c>
      <c r="G166" s="6" t="s">
        <v>1762</v>
      </c>
      <c r="H166" s="8">
        <v>0</v>
      </c>
      <c r="I166" s="6" t="s">
        <v>1269</v>
      </c>
      <c r="J166" s="6" t="s">
        <v>421</v>
      </c>
      <c r="K166" s="6" t="s">
        <v>1763</v>
      </c>
      <c r="L166" s="6">
        <f>18%</f>
        <v>0.18</v>
      </c>
      <c r="M166" s="6" t="s">
        <v>1764</v>
      </c>
      <c r="N166" s="6">
        <f>18%</f>
        <v>0.18</v>
      </c>
      <c r="O166" s="6" t="s">
        <v>1765</v>
      </c>
      <c r="P166" s="6" t="s">
        <v>1766</v>
      </c>
      <c r="Q166" s="6" t="s">
        <v>217</v>
      </c>
      <c r="R166" s="6">
        <v>424</v>
      </c>
      <c r="S166" s="6">
        <v>11</v>
      </c>
      <c r="T166" s="6">
        <v>417</v>
      </c>
      <c r="U166" s="6" t="s">
        <v>9262</v>
      </c>
      <c r="V166" s="6"/>
      <c r="W166" s="6"/>
      <c r="X166" s="6"/>
      <c r="Y166" s="6"/>
      <c r="Z166" s="6"/>
      <c r="AA166" s="6"/>
      <c r="AB166" s="6"/>
      <c r="AC166" s="6"/>
      <c r="AD166" s="7"/>
    </row>
    <row r="167" spans="1:30" ht="15.6" x14ac:dyDescent="0.3">
      <c r="A167" s="4">
        <v>416</v>
      </c>
      <c r="B167" s="5" t="s">
        <v>1767</v>
      </c>
      <c r="C167" s="6" t="s">
        <v>185</v>
      </c>
      <c r="D167" s="5" t="s">
        <v>1768</v>
      </c>
      <c r="E167" s="5" t="s">
        <v>33</v>
      </c>
      <c r="F167" s="6" t="s">
        <v>1769</v>
      </c>
      <c r="G167" s="6" t="s">
        <v>1770</v>
      </c>
      <c r="H167" s="8">
        <v>0</v>
      </c>
      <c r="I167" s="6" t="s">
        <v>710</v>
      </c>
      <c r="J167" s="6" t="s">
        <v>1354</v>
      </c>
      <c r="K167" s="6" t="s">
        <v>1771</v>
      </c>
      <c r="L167" s="6" t="s">
        <v>217</v>
      </c>
      <c r="M167" s="6" t="s">
        <v>1772</v>
      </c>
      <c r="N167" s="6" t="s">
        <v>1773</v>
      </c>
      <c r="O167" s="6" t="s">
        <v>1774</v>
      </c>
      <c r="P167" s="6" t="s">
        <v>1775</v>
      </c>
      <c r="Q167" s="6" t="s">
        <v>217</v>
      </c>
      <c r="R167" s="6">
        <v>168</v>
      </c>
      <c r="S167" s="6">
        <v>0</v>
      </c>
      <c r="T167" s="6">
        <v>266</v>
      </c>
      <c r="U167" s="6" t="s">
        <v>9262</v>
      </c>
      <c r="V167" s="6"/>
      <c r="W167" s="6"/>
      <c r="X167" s="6"/>
      <c r="Y167" s="6"/>
      <c r="Z167" s="6"/>
      <c r="AA167" s="6"/>
      <c r="AB167" s="6"/>
      <c r="AC167" s="6"/>
      <c r="AD167" s="7"/>
    </row>
    <row r="168" spans="1:30" ht="15.6" x14ac:dyDescent="0.3">
      <c r="A168" s="4">
        <v>417</v>
      </c>
      <c r="B168" s="5" t="s">
        <v>1776</v>
      </c>
      <c r="C168" s="6" t="s">
        <v>126</v>
      </c>
      <c r="D168" s="5" t="s">
        <v>1777</v>
      </c>
      <c r="E168" s="5" t="s">
        <v>33</v>
      </c>
      <c r="F168" s="6" t="s">
        <v>1778</v>
      </c>
      <c r="G168" s="6" t="s">
        <v>1779</v>
      </c>
      <c r="H168" s="8">
        <v>0</v>
      </c>
      <c r="I168" s="8">
        <v>-0.87</v>
      </c>
      <c r="J168" s="6" t="s">
        <v>90</v>
      </c>
      <c r="K168" s="6" t="s">
        <v>1780</v>
      </c>
      <c r="L168" s="6">
        <f>360%</f>
        <v>3.6</v>
      </c>
      <c r="M168" s="6" t="s">
        <v>1781</v>
      </c>
      <c r="N168" s="6">
        <f>360%</f>
        <v>3.6</v>
      </c>
      <c r="O168" s="6" t="s">
        <v>1782</v>
      </c>
      <c r="P168" s="6" t="s">
        <v>1783</v>
      </c>
      <c r="Q168" s="6" t="s">
        <v>217</v>
      </c>
      <c r="R168" s="6">
        <v>496</v>
      </c>
      <c r="S168" s="6">
        <v>2</v>
      </c>
      <c r="T168" s="6">
        <v>502</v>
      </c>
      <c r="U168" s="6" t="s">
        <v>9262</v>
      </c>
      <c r="V168" s="6"/>
      <c r="W168" s="6"/>
      <c r="X168" s="6"/>
      <c r="Y168" s="6"/>
      <c r="Z168" s="6"/>
      <c r="AA168" s="6"/>
      <c r="AB168" s="6"/>
      <c r="AC168" s="6"/>
      <c r="AD168" s="7"/>
    </row>
    <row r="169" spans="1:30" ht="15.6" x14ac:dyDescent="0.3">
      <c r="A169" s="4">
        <v>418</v>
      </c>
      <c r="B169" s="5" t="s">
        <v>1784</v>
      </c>
      <c r="C169" s="6" t="s">
        <v>31</v>
      </c>
      <c r="D169" s="5" t="s">
        <v>1785</v>
      </c>
      <c r="E169" s="5" t="s">
        <v>33</v>
      </c>
      <c r="F169" s="6" t="s">
        <v>1786</v>
      </c>
      <c r="G169" s="6" t="s">
        <v>1787</v>
      </c>
      <c r="H169" s="8">
        <v>0</v>
      </c>
      <c r="I169" s="6" t="s">
        <v>1788</v>
      </c>
      <c r="J169" s="6" t="s">
        <v>482</v>
      </c>
      <c r="K169" s="6" t="s">
        <v>1789</v>
      </c>
      <c r="L169" s="6">
        <f>83%</f>
        <v>0.83</v>
      </c>
      <c r="M169" s="6" t="s">
        <v>1790</v>
      </c>
      <c r="N169" s="6">
        <f>83%</f>
        <v>0.83</v>
      </c>
      <c r="O169" s="6" t="s">
        <v>1791</v>
      </c>
      <c r="P169" s="6" t="s">
        <v>1792</v>
      </c>
      <c r="Q169" s="6" t="s">
        <v>217</v>
      </c>
      <c r="R169" s="6">
        <v>207</v>
      </c>
      <c r="S169" s="6">
        <v>5</v>
      </c>
      <c r="T169" s="6">
        <v>771</v>
      </c>
      <c r="U169" s="6" t="s">
        <v>9262</v>
      </c>
      <c r="V169" s="6"/>
      <c r="W169" s="6"/>
      <c r="X169" s="6"/>
      <c r="Y169" s="6"/>
      <c r="Z169" s="6"/>
      <c r="AA169" s="6"/>
      <c r="AB169" s="6"/>
      <c r="AC169" s="6"/>
      <c r="AD169" s="7"/>
    </row>
    <row r="170" spans="1:30" ht="15.6" x14ac:dyDescent="0.3">
      <c r="A170" s="4">
        <v>419</v>
      </c>
      <c r="B170" s="5" t="s">
        <v>1793</v>
      </c>
      <c r="C170" s="6" t="s">
        <v>148</v>
      </c>
      <c r="D170" s="5" t="s">
        <v>1794</v>
      </c>
      <c r="E170" s="5" t="s">
        <v>33</v>
      </c>
      <c r="F170" s="6" t="s">
        <v>1795</v>
      </c>
      <c r="G170" s="6" t="s">
        <v>1796</v>
      </c>
      <c r="H170" s="8">
        <v>0</v>
      </c>
      <c r="I170" s="6" t="s">
        <v>877</v>
      </c>
      <c r="J170" s="6" t="s">
        <v>153</v>
      </c>
      <c r="K170" s="6" t="s">
        <v>1797</v>
      </c>
      <c r="L170" s="6">
        <f>45%</f>
        <v>0.45</v>
      </c>
      <c r="M170" s="6" t="s">
        <v>1798</v>
      </c>
      <c r="N170" s="6">
        <f>45%</f>
        <v>0.45</v>
      </c>
      <c r="O170" s="6" t="s">
        <v>1799</v>
      </c>
      <c r="P170" s="6" t="s">
        <v>1800</v>
      </c>
      <c r="Q170" s="6">
        <f>22%</f>
        <v>0.22</v>
      </c>
      <c r="R170" s="6" t="s">
        <v>1801</v>
      </c>
      <c r="S170" s="6">
        <v>14</v>
      </c>
      <c r="T170" s="6" t="s">
        <v>1802</v>
      </c>
      <c r="U170" s="8">
        <v>-0.93</v>
      </c>
      <c r="V170" s="6"/>
      <c r="W170" s="6"/>
      <c r="X170" s="6"/>
      <c r="Y170" s="6"/>
      <c r="Z170" s="6"/>
      <c r="AA170" s="6"/>
      <c r="AB170" s="6"/>
      <c r="AC170" s="6"/>
      <c r="AD170" s="7"/>
    </row>
    <row r="171" spans="1:30" ht="15.6" x14ac:dyDescent="0.3">
      <c r="A171" s="4">
        <v>420</v>
      </c>
      <c r="B171" s="5" t="s">
        <v>1803</v>
      </c>
      <c r="C171" s="6" t="s">
        <v>31</v>
      </c>
      <c r="D171" s="5" t="s">
        <v>1804</v>
      </c>
      <c r="E171" s="5" t="s">
        <v>33</v>
      </c>
      <c r="F171" s="6" t="s">
        <v>1805</v>
      </c>
      <c r="G171" s="6" t="s">
        <v>1806</v>
      </c>
      <c r="H171" s="8">
        <v>0</v>
      </c>
      <c r="I171" s="6" t="s">
        <v>1807</v>
      </c>
      <c r="J171" s="6" t="s">
        <v>1808</v>
      </c>
      <c r="K171" s="6" t="s">
        <v>1809</v>
      </c>
      <c r="L171" s="8">
        <v>-0.15</v>
      </c>
      <c r="M171" s="6" t="s">
        <v>1810</v>
      </c>
      <c r="N171" s="8">
        <v>-0.15</v>
      </c>
      <c r="O171" s="6" t="s">
        <v>1811</v>
      </c>
      <c r="P171" s="6" t="s">
        <v>1812</v>
      </c>
      <c r="Q171" s="6" t="s">
        <v>217</v>
      </c>
      <c r="R171" s="6">
        <v>345</v>
      </c>
      <c r="S171" s="6">
        <v>3</v>
      </c>
      <c r="T171" s="6" t="s">
        <v>1813</v>
      </c>
      <c r="U171" s="6">
        <f>8.7%</f>
        <v>8.6999999999999994E-2</v>
      </c>
      <c r="V171" s="6"/>
      <c r="W171" s="6"/>
      <c r="X171" s="6"/>
      <c r="Y171" s="6"/>
      <c r="Z171" s="6"/>
      <c r="AA171" s="6"/>
      <c r="AB171" s="6"/>
      <c r="AC171" s="6"/>
      <c r="AD171" s="7"/>
    </row>
    <row r="172" spans="1:30" ht="15.6" x14ac:dyDescent="0.3">
      <c r="A172" s="4">
        <v>421</v>
      </c>
      <c r="B172" s="5" t="s">
        <v>1814</v>
      </c>
      <c r="C172" s="6" t="s">
        <v>72</v>
      </c>
      <c r="D172" s="5" t="s">
        <v>1815</v>
      </c>
      <c r="E172" s="5" t="s">
        <v>33</v>
      </c>
      <c r="F172" s="6" t="s">
        <v>1816</v>
      </c>
      <c r="G172" s="6" t="s">
        <v>1817</v>
      </c>
      <c r="H172" s="8">
        <v>0</v>
      </c>
      <c r="I172" s="6" t="s">
        <v>1818</v>
      </c>
      <c r="J172" s="6" t="s">
        <v>846</v>
      </c>
      <c r="K172" s="6" t="s">
        <v>1809</v>
      </c>
      <c r="L172" s="8">
        <v>-0.1</v>
      </c>
      <c r="M172" s="6" t="s">
        <v>1819</v>
      </c>
      <c r="N172" s="8">
        <v>-0.1</v>
      </c>
      <c r="O172" s="6" t="s">
        <v>1820</v>
      </c>
      <c r="P172" s="6" t="s">
        <v>1821</v>
      </c>
      <c r="Q172" s="6" t="s">
        <v>217</v>
      </c>
      <c r="R172" s="6">
        <v>173</v>
      </c>
      <c r="S172" s="6">
        <v>1</v>
      </c>
      <c r="T172" s="6">
        <v>579</v>
      </c>
      <c r="U172" s="6">
        <f>660%</f>
        <v>6.6</v>
      </c>
      <c r="V172" s="6"/>
      <c r="W172" s="6"/>
      <c r="X172" s="6"/>
      <c r="Y172" s="6"/>
      <c r="Z172" s="6"/>
      <c r="AA172" s="6"/>
      <c r="AB172" s="6"/>
      <c r="AC172" s="6"/>
      <c r="AD172" s="7"/>
    </row>
    <row r="173" spans="1:30" ht="15.6" x14ac:dyDescent="0.3">
      <c r="A173" s="4">
        <v>422</v>
      </c>
      <c r="B173" s="5" t="s">
        <v>1822</v>
      </c>
      <c r="C173" s="6" t="s">
        <v>60</v>
      </c>
      <c r="D173" s="5" t="s">
        <v>1823</v>
      </c>
      <c r="E173" s="5" t="s">
        <v>33</v>
      </c>
      <c r="F173" s="6" t="s">
        <v>1824</v>
      </c>
      <c r="G173" s="6" t="s">
        <v>1825</v>
      </c>
      <c r="H173" s="8">
        <v>0</v>
      </c>
      <c r="I173" s="6" t="s">
        <v>961</v>
      </c>
      <c r="J173" s="6" t="s">
        <v>343</v>
      </c>
      <c r="K173" s="6" t="s">
        <v>1826</v>
      </c>
      <c r="L173" s="6">
        <f>27%</f>
        <v>0.27</v>
      </c>
      <c r="M173" s="6" t="s">
        <v>1827</v>
      </c>
      <c r="N173" s="6">
        <f>27%</f>
        <v>0.27</v>
      </c>
      <c r="O173" s="6" t="s">
        <v>1828</v>
      </c>
      <c r="P173" s="6" t="s">
        <v>1829</v>
      </c>
      <c r="Q173" s="6" t="s">
        <v>9262</v>
      </c>
      <c r="R173" s="6" t="s">
        <v>1830</v>
      </c>
      <c r="S173" s="6">
        <v>112</v>
      </c>
      <c r="T173" s="6">
        <v>310</v>
      </c>
      <c r="U173" s="8">
        <v>-0.93</v>
      </c>
      <c r="V173" s="6"/>
      <c r="W173" s="6"/>
      <c r="X173" s="6"/>
      <c r="Y173" s="6"/>
      <c r="Z173" s="6"/>
      <c r="AA173" s="6"/>
      <c r="AB173" s="6"/>
      <c r="AC173" s="6"/>
      <c r="AD173" s="7"/>
    </row>
    <row r="174" spans="1:30" ht="15.6" x14ac:dyDescent="0.3">
      <c r="A174" s="4">
        <v>423</v>
      </c>
      <c r="B174" s="5" t="s">
        <v>1831</v>
      </c>
      <c r="C174" s="6" t="s">
        <v>114</v>
      </c>
      <c r="D174" s="5" t="s">
        <v>1832</v>
      </c>
      <c r="E174" s="5" t="s">
        <v>33</v>
      </c>
      <c r="F174" s="6" t="s">
        <v>419</v>
      </c>
      <c r="G174" s="6" t="s">
        <v>1833</v>
      </c>
      <c r="H174" s="8">
        <v>0</v>
      </c>
      <c r="I174" s="6" t="s">
        <v>845</v>
      </c>
      <c r="J174" s="6" t="s">
        <v>107</v>
      </c>
      <c r="K174" s="6" t="s">
        <v>1834</v>
      </c>
      <c r="L174" s="6">
        <f>2.7%</f>
        <v>2.7000000000000003E-2</v>
      </c>
      <c r="M174" s="6" t="s">
        <v>1835</v>
      </c>
      <c r="N174" s="6">
        <f>2.7%</f>
        <v>2.7000000000000003E-2</v>
      </c>
      <c r="O174" s="6" t="s">
        <v>1836</v>
      </c>
      <c r="P174" s="6" t="s">
        <v>1837</v>
      </c>
      <c r="Q174" s="6">
        <f>140%</f>
        <v>1.4</v>
      </c>
      <c r="R174" s="6" t="s">
        <v>1838</v>
      </c>
      <c r="S174" s="6">
        <v>237</v>
      </c>
      <c r="T174" s="6">
        <v>433</v>
      </c>
      <c r="U174" s="8">
        <v>-0.91</v>
      </c>
      <c r="V174" s="6"/>
      <c r="W174" s="6"/>
      <c r="X174" s="6"/>
      <c r="Y174" s="6"/>
      <c r="Z174" s="6"/>
      <c r="AA174" s="6"/>
      <c r="AB174" s="6"/>
      <c r="AC174" s="6"/>
      <c r="AD174" s="7"/>
    </row>
    <row r="175" spans="1:30" ht="15.6" x14ac:dyDescent="0.3">
      <c r="A175" s="4">
        <v>424</v>
      </c>
      <c r="B175" s="5" t="s">
        <v>1839</v>
      </c>
      <c r="C175" s="6" t="s">
        <v>102</v>
      </c>
      <c r="D175" s="5" t="s">
        <v>1840</v>
      </c>
      <c r="E175" s="5" t="s">
        <v>33</v>
      </c>
      <c r="F175" s="6" t="s">
        <v>104</v>
      </c>
      <c r="G175" s="6" t="s">
        <v>1841</v>
      </c>
      <c r="H175" s="8">
        <v>0</v>
      </c>
      <c r="I175" s="6" t="s">
        <v>1842</v>
      </c>
      <c r="J175" s="6" t="s">
        <v>38</v>
      </c>
      <c r="K175" s="6" t="s">
        <v>1843</v>
      </c>
      <c r="L175" s="6">
        <f>27%</f>
        <v>0.27</v>
      </c>
      <c r="M175" s="6" t="s">
        <v>1844</v>
      </c>
      <c r="N175" s="6">
        <f>27%</f>
        <v>0.27</v>
      </c>
      <c r="O175" s="6" t="s">
        <v>1845</v>
      </c>
      <c r="P175" s="6" t="s">
        <v>1846</v>
      </c>
      <c r="Q175" s="6" t="s">
        <v>217</v>
      </c>
      <c r="R175" s="6">
        <v>72</v>
      </c>
      <c r="S175" s="6">
        <v>1</v>
      </c>
      <c r="T175" s="6">
        <v>210</v>
      </c>
      <c r="U175" s="6" t="e">
        <f>+∞%</f>
        <v>#NAME?</v>
      </c>
      <c r="V175" s="6"/>
      <c r="W175" s="6"/>
      <c r="X175" s="6"/>
      <c r="Y175" s="6"/>
      <c r="Z175" s="6"/>
      <c r="AA175" s="6"/>
      <c r="AB175" s="6"/>
      <c r="AC175" s="6"/>
      <c r="AD175" s="7"/>
    </row>
    <row r="176" spans="1:30" ht="15.6" x14ac:dyDescent="0.3">
      <c r="A176" s="4">
        <v>425</v>
      </c>
      <c r="B176" s="5" t="s">
        <v>1847</v>
      </c>
      <c r="C176" s="6" t="s">
        <v>72</v>
      </c>
      <c r="D176" s="5" t="s">
        <v>1848</v>
      </c>
      <c r="E176" s="5" t="s">
        <v>33</v>
      </c>
      <c r="F176" s="6" t="s">
        <v>1849</v>
      </c>
      <c r="G176" s="6" t="s">
        <v>1850</v>
      </c>
      <c r="H176" s="8">
        <v>0</v>
      </c>
      <c r="I176" s="6" t="s">
        <v>106</v>
      </c>
      <c r="J176" s="6" t="s">
        <v>1851</v>
      </c>
      <c r="K176" s="6" t="s">
        <v>1852</v>
      </c>
      <c r="L176" s="8">
        <v>-0.4</v>
      </c>
      <c r="M176" s="6" t="s">
        <v>1853</v>
      </c>
      <c r="N176" s="8">
        <v>-0.4</v>
      </c>
      <c r="O176" s="6" t="s">
        <v>1854</v>
      </c>
      <c r="P176" s="6" t="s">
        <v>1855</v>
      </c>
      <c r="Q176" s="6" t="s">
        <v>217</v>
      </c>
      <c r="R176" s="6">
        <v>24</v>
      </c>
      <c r="S176" s="6">
        <v>0</v>
      </c>
      <c r="T176" s="6">
        <v>84</v>
      </c>
      <c r="U176" s="6" t="e">
        <f>+∞%</f>
        <v>#NAME?</v>
      </c>
      <c r="V176" s="6"/>
      <c r="W176" s="6"/>
      <c r="X176" s="6"/>
      <c r="Y176" s="6"/>
      <c r="Z176" s="6"/>
      <c r="AA176" s="6"/>
      <c r="AB176" s="6"/>
      <c r="AC176" s="6"/>
      <c r="AD176" s="7"/>
    </row>
    <row r="177" spans="1:30" ht="15.6" x14ac:dyDescent="0.3">
      <c r="A177" s="4">
        <v>426</v>
      </c>
      <c r="B177" s="5" t="s">
        <v>1856</v>
      </c>
      <c r="C177" s="6" t="s">
        <v>114</v>
      </c>
      <c r="D177" s="5" t="s">
        <v>1857</v>
      </c>
      <c r="E177" s="5" t="s">
        <v>33</v>
      </c>
      <c r="F177" s="6" t="s">
        <v>1858</v>
      </c>
      <c r="G177" s="6" t="s">
        <v>1859</v>
      </c>
      <c r="H177" s="8">
        <v>0</v>
      </c>
      <c r="I177" s="8">
        <v>-0.91</v>
      </c>
      <c r="J177" s="6" t="s">
        <v>354</v>
      </c>
      <c r="K177" s="6" t="s">
        <v>1860</v>
      </c>
      <c r="L177" s="8">
        <v>-0.28999999999999998</v>
      </c>
      <c r="M177" s="6" t="s">
        <v>1861</v>
      </c>
      <c r="N177" s="8">
        <v>-0.28999999999999998</v>
      </c>
      <c r="O177" s="6" t="s">
        <v>1862</v>
      </c>
      <c r="P177" s="6" t="s">
        <v>1863</v>
      </c>
      <c r="Q177" s="6" t="s">
        <v>217</v>
      </c>
      <c r="R177" s="6">
        <v>5</v>
      </c>
      <c r="S177" s="6">
        <v>0</v>
      </c>
      <c r="T177" s="6">
        <v>209</v>
      </c>
      <c r="U177" s="6" t="s">
        <v>217</v>
      </c>
      <c r="V177" s="6"/>
      <c r="W177" s="6"/>
      <c r="X177" s="6"/>
      <c r="Y177" s="6"/>
      <c r="Z177" s="6"/>
      <c r="AA177" s="6"/>
      <c r="AB177" s="6"/>
      <c r="AC177" s="6"/>
      <c r="AD177" s="7"/>
    </row>
    <row r="178" spans="1:30" ht="15.6" x14ac:dyDescent="0.3">
      <c r="A178" s="4">
        <v>427</v>
      </c>
      <c r="B178" s="5" t="s">
        <v>1864</v>
      </c>
      <c r="C178" s="6" t="s">
        <v>126</v>
      </c>
      <c r="D178" s="5" t="s">
        <v>1865</v>
      </c>
      <c r="E178" s="5" t="s">
        <v>33</v>
      </c>
      <c r="F178" s="6" t="s">
        <v>1866</v>
      </c>
      <c r="G178" s="6" t="s">
        <v>1867</v>
      </c>
      <c r="H178" s="8">
        <v>0</v>
      </c>
      <c r="I178" s="6" t="s">
        <v>1659</v>
      </c>
      <c r="J178" s="6" t="s">
        <v>259</v>
      </c>
      <c r="K178" s="6" t="s">
        <v>1868</v>
      </c>
      <c r="L178" s="6">
        <f>100%</f>
        <v>1</v>
      </c>
      <c r="M178" s="6" t="s">
        <v>1869</v>
      </c>
      <c r="N178" s="6">
        <f>100%</f>
        <v>1</v>
      </c>
      <c r="O178" s="6" t="s">
        <v>1870</v>
      </c>
      <c r="P178" s="6" t="s">
        <v>1871</v>
      </c>
      <c r="Q178" s="6" t="s">
        <v>9262</v>
      </c>
      <c r="R178" s="6">
        <v>210</v>
      </c>
      <c r="S178" s="6">
        <v>3</v>
      </c>
      <c r="T178" s="6" t="s">
        <v>1872</v>
      </c>
      <c r="U178" s="6">
        <f>2%</f>
        <v>0.02</v>
      </c>
      <c r="V178" s="6"/>
      <c r="W178" s="6"/>
      <c r="X178" s="6"/>
      <c r="Y178" s="6"/>
      <c r="Z178" s="6"/>
      <c r="AA178" s="6"/>
      <c r="AB178" s="6"/>
      <c r="AC178" s="6"/>
      <c r="AD178" s="7"/>
    </row>
    <row r="179" spans="1:30" ht="15.6" x14ac:dyDescent="0.3">
      <c r="A179" s="4">
        <v>428</v>
      </c>
      <c r="B179" s="5" t="s">
        <v>1873</v>
      </c>
      <c r="C179" s="6" t="s">
        <v>72</v>
      </c>
      <c r="D179" s="5" t="s">
        <v>1874</v>
      </c>
      <c r="E179" s="5" t="s">
        <v>33</v>
      </c>
      <c r="F179" s="6" t="s">
        <v>1875</v>
      </c>
      <c r="G179" s="6" t="s">
        <v>1876</v>
      </c>
      <c r="H179" s="8">
        <v>0</v>
      </c>
      <c r="I179" s="6" t="s">
        <v>51</v>
      </c>
      <c r="J179" s="6" t="s">
        <v>1390</v>
      </c>
      <c r="K179" s="6" t="s">
        <v>1877</v>
      </c>
      <c r="L179" s="8">
        <v>-0.17</v>
      </c>
      <c r="M179" s="6" t="s">
        <v>1878</v>
      </c>
      <c r="N179" s="8">
        <v>-0.17</v>
      </c>
      <c r="O179" s="6" t="s">
        <v>1879</v>
      </c>
      <c r="P179" s="6" t="s">
        <v>1880</v>
      </c>
      <c r="Q179" s="6" t="s">
        <v>217</v>
      </c>
      <c r="R179" s="6">
        <v>110</v>
      </c>
      <c r="S179" s="6">
        <v>6</v>
      </c>
      <c r="T179" s="6">
        <v>392</v>
      </c>
      <c r="U179" s="6" t="s">
        <v>9262</v>
      </c>
      <c r="V179" s="6"/>
      <c r="W179" s="6"/>
      <c r="X179" s="6"/>
      <c r="Y179" s="6"/>
      <c r="Z179" s="6"/>
      <c r="AA179" s="6"/>
      <c r="AB179" s="6"/>
      <c r="AC179" s="6"/>
      <c r="AD179" s="7"/>
    </row>
    <row r="180" spans="1:30" ht="15.6" x14ac:dyDescent="0.3">
      <c r="A180" s="4">
        <v>429</v>
      </c>
      <c r="B180" s="5" t="s">
        <v>1881</v>
      </c>
      <c r="C180" s="6" t="s">
        <v>173</v>
      </c>
      <c r="D180" s="5" t="s">
        <v>1882</v>
      </c>
      <c r="E180" s="5" t="s">
        <v>33</v>
      </c>
      <c r="F180" s="6" t="s">
        <v>1883</v>
      </c>
      <c r="G180" s="6" t="s">
        <v>1884</v>
      </c>
      <c r="H180" s="8">
        <v>0</v>
      </c>
      <c r="I180" s="8">
        <v>-0.86</v>
      </c>
      <c r="J180" s="6" t="s">
        <v>769</v>
      </c>
      <c r="K180" s="6" t="s">
        <v>1299</v>
      </c>
      <c r="L180" s="8">
        <v>-0.34</v>
      </c>
      <c r="M180" s="6" t="s">
        <v>1885</v>
      </c>
      <c r="N180" s="8">
        <v>-0.34</v>
      </c>
      <c r="O180" s="6" t="s">
        <v>1886</v>
      </c>
      <c r="P180" s="6" t="s">
        <v>1887</v>
      </c>
      <c r="Q180" s="6" t="s">
        <v>217</v>
      </c>
      <c r="R180" s="6">
        <v>292</v>
      </c>
      <c r="S180" s="6">
        <v>1</v>
      </c>
      <c r="T180" s="6">
        <v>675</v>
      </c>
      <c r="U180" s="8">
        <v>-0.91</v>
      </c>
      <c r="V180" s="6"/>
      <c r="W180" s="6"/>
      <c r="X180" s="6"/>
      <c r="Y180" s="6"/>
      <c r="Z180" s="6"/>
      <c r="AA180" s="6"/>
      <c r="AB180" s="6"/>
      <c r="AC180" s="6"/>
      <c r="AD180" s="7"/>
    </row>
    <row r="181" spans="1:30" ht="15.6" x14ac:dyDescent="0.3">
      <c r="A181" s="4">
        <v>430</v>
      </c>
      <c r="B181" s="5" t="s">
        <v>1888</v>
      </c>
      <c r="C181" s="6" t="s">
        <v>102</v>
      </c>
      <c r="D181" s="5" t="s">
        <v>1889</v>
      </c>
      <c r="E181" s="5" t="s">
        <v>33</v>
      </c>
      <c r="F181" s="6" t="s">
        <v>1890</v>
      </c>
      <c r="G181" s="6" t="s">
        <v>1891</v>
      </c>
      <c r="H181" s="8">
        <v>0</v>
      </c>
      <c r="I181" s="6" t="s">
        <v>1168</v>
      </c>
      <c r="J181" s="6" t="s">
        <v>454</v>
      </c>
      <c r="K181" s="6" t="s">
        <v>1892</v>
      </c>
      <c r="L181" s="8">
        <v>-0.37</v>
      </c>
      <c r="M181" s="6" t="s">
        <v>1893</v>
      </c>
      <c r="N181" s="8">
        <v>-0.37</v>
      </c>
      <c r="O181" s="6" t="s">
        <v>1894</v>
      </c>
      <c r="P181" s="6" t="s">
        <v>1895</v>
      </c>
      <c r="Q181" s="8">
        <v>-0.62</v>
      </c>
      <c r="R181" s="6" t="s">
        <v>1896</v>
      </c>
      <c r="S181" s="6">
        <v>59</v>
      </c>
      <c r="T181" s="6">
        <v>264</v>
      </c>
      <c r="U181" s="8">
        <v>-0.77</v>
      </c>
      <c r="V181" s="6"/>
      <c r="W181" s="6"/>
      <c r="X181" s="6"/>
      <c r="Y181" s="6"/>
      <c r="Z181" s="6"/>
      <c r="AA181" s="6"/>
      <c r="AB181" s="6"/>
      <c r="AC181" s="6"/>
      <c r="AD181" s="7"/>
    </row>
    <row r="182" spans="1:30" ht="15.6" x14ac:dyDescent="0.3">
      <c r="A182" s="4">
        <v>431</v>
      </c>
      <c r="B182" s="5" t="s">
        <v>1897</v>
      </c>
      <c r="C182" s="6" t="s">
        <v>1408</v>
      </c>
      <c r="D182" s="5" t="s">
        <v>1898</v>
      </c>
      <c r="E182" s="5" t="s">
        <v>33</v>
      </c>
      <c r="F182" s="6" t="s">
        <v>1899</v>
      </c>
      <c r="G182" s="6" t="s">
        <v>1900</v>
      </c>
      <c r="H182" s="8">
        <v>0</v>
      </c>
      <c r="I182" s="6" t="s">
        <v>1901</v>
      </c>
      <c r="J182" s="6" t="s">
        <v>1059</v>
      </c>
      <c r="K182" s="6" t="s">
        <v>1902</v>
      </c>
      <c r="L182" s="8">
        <v>-0.2</v>
      </c>
      <c r="M182" s="6" t="s">
        <v>1903</v>
      </c>
      <c r="N182" s="8">
        <v>-0.2</v>
      </c>
      <c r="O182" s="6" t="s">
        <v>1904</v>
      </c>
      <c r="P182" s="6" t="s">
        <v>1905</v>
      </c>
      <c r="Q182" s="6" t="s">
        <v>217</v>
      </c>
      <c r="R182" s="6" t="s">
        <v>1906</v>
      </c>
      <c r="S182" s="6">
        <v>5</v>
      </c>
      <c r="T182" s="6">
        <v>420</v>
      </c>
      <c r="U182" s="6">
        <f>440%</f>
        <v>4.4000000000000004</v>
      </c>
      <c r="V182" s="6"/>
      <c r="W182" s="6"/>
      <c r="X182" s="6"/>
      <c r="Y182" s="6"/>
      <c r="Z182" s="6"/>
      <c r="AA182" s="6"/>
      <c r="AB182" s="6"/>
      <c r="AC182" s="6"/>
      <c r="AD182" s="7"/>
    </row>
    <row r="183" spans="1:30" ht="15.6" x14ac:dyDescent="0.3">
      <c r="A183" s="4">
        <v>433</v>
      </c>
      <c r="B183" s="5" t="s">
        <v>1907</v>
      </c>
      <c r="C183" s="6" t="s">
        <v>85</v>
      </c>
      <c r="D183" s="5" t="s">
        <v>1908</v>
      </c>
      <c r="E183" s="5" t="s">
        <v>33</v>
      </c>
      <c r="F183" s="6" t="s">
        <v>1909</v>
      </c>
      <c r="G183" s="6" t="s">
        <v>1910</v>
      </c>
      <c r="H183" s="8">
        <v>0</v>
      </c>
      <c r="I183" s="6" t="s">
        <v>1911</v>
      </c>
      <c r="J183" s="6" t="s">
        <v>1912</v>
      </c>
      <c r="K183" s="6" t="s">
        <v>1913</v>
      </c>
      <c r="L183" s="8">
        <v>-0.27</v>
      </c>
      <c r="M183" s="6" t="s">
        <v>1914</v>
      </c>
      <c r="N183" s="8">
        <v>-0.27</v>
      </c>
      <c r="O183" s="6" t="s">
        <v>1915</v>
      </c>
      <c r="P183" s="6" t="s">
        <v>1916</v>
      </c>
      <c r="Q183" s="6" t="s">
        <v>217</v>
      </c>
      <c r="R183" s="6">
        <v>44</v>
      </c>
      <c r="S183" s="6">
        <v>1</v>
      </c>
      <c r="T183" s="6">
        <v>104</v>
      </c>
      <c r="U183" s="6">
        <f>870%</f>
        <v>8.6999999999999993</v>
      </c>
      <c r="V183" s="6"/>
      <c r="W183" s="6"/>
      <c r="X183" s="6"/>
      <c r="Y183" s="6"/>
      <c r="Z183" s="6"/>
      <c r="AA183" s="6"/>
      <c r="AB183" s="6"/>
      <c r="AC183" s="6"/>
      <c r="AD183" s="7"/>
    </row>
    <row r="184" spans="1:30" ht="15.6" x14ac:dyDescent="0.3">
      <c r="A184" s="4">
        <v>434</v>
      </c>
      <c r="B184" s="5" t="s">
        <v>1917</v>
      </c>
      <c r="C184" s="6" t="s">
        <v>60</v>
      </c>
      <c r="D184" s="5" t="s">
        <v>1918</v>
      </c>
      <c r="E184" s="5" t="s">
        <v>33</v>
      </c>
      <c r="F184" s="6" t="s">
        <v>1919</v>
      </c>
      <c r="G184" s="6" t="s">
        <v>1920</v>
      </c>
      <c r="H184" s="8">
        <v>0</v>
      </c>
      <c r="I184" s="6" t="s">
        <v>1921</v>
      </c>
      <c r="J184" s="6" t="s">
        <v>846</v>
      </c>
      <c r="K184" s="6" t="s">
        <v>1922</v>
      </c>
      <c r="L184" s="8">
        <v>-0.16</v>
      </c>
      <c r="M184" s="6" t="s">
        <v>1923</v>
      </c>
      <c r="N184" s="8">
        <v>-0.16</v>
      </c>
      <c r="O184" s="6" t="s">
        <v>1924</v>
      </c>
      <c r="P184" s="6" t="s">
        <v>1925</v>
      </c>
      <c r="Q184" s="6" t="s">
        <v>217</v>
      </c>
      <c r="R184" s="6">
        <v>24</v>
      </c>
      <c r="S184" s="6">
        <v>1</v>
      </c>
      <c r="T184" s="6">
        <v>115</v>
      </c>
      <c r="U184" s="6" t="s">
        <v>9262</v>
      </c>
      <c r="V184" s="6"/>
      <c r="W184" s="6"/>
      <c r="X184" s="6"/>
      <c r="Y184" s="6"/>
      <c r="Z184" s="6"/>
      <c r="AA184" s="6"/>
      <c r="AB184" s="6"/>
      <c r="AC184" s="6"/>
      <c r="AD184" s="7"/>
    </row>
    <row r="185" spans="1:30" ht="15.6" x14ac:dyDescent="0.3">
      <c r="A185" s="4">
        <v>435</v>
      </c>
      <c r="B185" s="5" t="s">
        <v>1926</v>
      </c>
      <c r="C185" s="6" t="s">
        <v>148</v>
      </c>
      <c r="D185" s="5" t="s">
        <v>1927</v>
      </c>
      <c r="E185" s="5" t="s">
        <v>33</v>
      </c>
      <c r="F185" s="6" t="s">
        <v>1928</v>
      </c>
      <c r="G185" s="6" t="s">
        <v>1929</v>
      </c>
      <c r="H185" s="8">
        <v>0</v>
      </c>
      <c r="I185" s="6" t="s">
        <v>806</v>
      </c>
      <c r="J185" s="6" t="s">
        <v>1649</v>
      </c>
      <c r="K185" s="6" t="s">
        <v>1930</v>
      </c>
      <c r="L185" s="6">
        <f>36%</f>
        <v>0.36</v>
      </c>
      <c r="M185" s="6" t="s">
        <v>1931</v>
      </c>
      <c r="N185" s="6">
        <f>36%</f>
        <v>0.36</v>
      </c>
      <c r="O185" s="6" t="s">
        <v>1932</v>
      </c>
      <c r="P185" s="6" t="s">
        <v>1933</v>
      </c>
      <c r="Q185" s="6">
        <f>430%</f>
        <v>4.3</v>
      </c>
      <c r="R185" s="6" t="s">
        <v>1934</v>
      </c>
      <c r="S185" s="6">
        <v>12</v>
      </c>
      <c r="T185" s="6" t="s">
        <v>1935</v>
      </c>
      <c r="U185" s="6"/>
      <c r="V185" s="6"/>
      <c r="W185" s="6"/>
      <c r="X185" s="6"/>
      <c r="Y185" s="6"/>
      <c r="Z185" s="6"/>
      <c r="AA185" s="6"/>
      <c r="AB185" s="6"/>
      <c r="AC185" s="6"/>
      <c r="AD185" s="7"/>
    </row>
    <row r="186" spans="1:30" ht="15.6" x14ac:dyDescent="0.3">
      <c r="A186" s="4">
        <v>436</v>
      </c>
      <c r="B186" s="5" t="s">
        <v>1936</v>
      </c>
      <c r="C186" s="6" t="s">
        <v>72</v>
      </c>
      <c r="D186" s="5" t="s">
        <v>1937</v>
      </c>
      <c r="E186" s="5" t="s">
        <v>33</v>
      </c>
      <c r="F186" s="6" t="s">
        <v>1025</v>
      </c>
      <c r="G186" s="6" t="s">
        <v>1938</v>
      </c>
      <c r="H186" s="8">
        <v>0</v>
      </c>
      <c r="I186" s="6" t="s">
        <v>877</v>
      </c>
      <c r="J186" s="6" t="s">
        <v>199</v>
      </c>
      <c r="K186" s="6" t="s">
        <v>1939</v>
      </c>
      <c r="L186" s="8">
        <v>-0.16</v>
      </c>
      <c r="M186" s="6" t="s">
        <v>1940</v>
      </c>
      <c r="N186" s="8">
        <v>-0.16</v>
      </c>
      <c r="O186" s="6" t="s">
        <v>1941</v>
      </c>
      <c r="P186" s="6" t="s">
        <v>1942</v>
      </c>
      <c r="Q186" s="6">
        <f>59%</f>
        <v>0.59</v>
      </c>
      <c r="R186" s="6">
        <v>891</v>
      </c>
      <c r="S186" s="6">
        <v>4</v>
      </c>
      <c r="T186" s="6" t="s">
        <v>1943</v>
      </c>
      <c r="U186" s="6">
        <f>260%</f>
        <v>2.6</v>
      </c>
      <c r="V186" s="6"/>
      <c r="W186" s="6"/>
      <c r="X186" s="6"/>
      <c r="Y186" s="6"/>
      <c r="Z186" s="6"/>
      <c r="AA186" s="6"/>
      <c r="AB186" s="6"/>
      <c r="AC186" s="6"/>
      <c r="AD186" s="7"/>
    </row>
    <row r="187" spans="1:30" ht="15.6" x14ac:dyDescent="0.3">
      <c r="A187" s="4">
        <v>437</v>
      </c>
      <c r="B187" s="5" t="s">
        <v>1944</v>
      </c>
      <c r="C187" s="6" t="s">
        <v>1002</v>
      </c>
      <c r="D187" s="5" t="s">
        <v>1945</v>
      </c>
      <c r="E187" s="5" t="s">
        <v>48</v>
      </c>
      <c r="F187" s="6" t="s">
        <v>1946</v>
      </c>
      <c r="G187" s="6" t="s">
        <v>1947</v>
      </c>
      <c r="H187" s="8">
        <v>0</v>
      </c>
      <c r="I187" s="8">
        <v>-0.44</v>
      </c>
      <c r="J187" s="6" t="s">
        <v>1912</v>
      </c>
      <c r="K187" s="6" t="s">
        <v>1948</v>
      </c>
      <c r="L187" s="8">
        <v>-0.4</v>
      </c>
      <c r="M187" s="6" t="s">
        <v>1949</v>
      </c>
      <c r="N187" s="8">
        <v>-0.4</v>
      </c>
      <c r="O187" s="6" t="s">
        <v>1950</v>
      </c>
      <c r="P187" s="6" t="s">
        <v>1951</v>
      </c>
      <c r="Q187" s="6" t="s">
        <v>217</v>
      </c>
      <c r="R187" s="6" t="s">
        <v>1952</v>
      </c>
      <c r="S187" s="6">
        <v>19</v>
      </c>
      <c r="T187" s="6" t="s">
        <v>1953</v>
      </c>
      <c r="U187" s="6" t="s">
        <v>217</v>
      </c>
      <c r="V187" s="6"/>
      <c r="W187" s="6"/>
      <c r="X187" s="6"/>
      <c r="Y187" s="6"/>
      <c r="Z187" s="6"/>
      <c r="AA187" s="6"/>
      <c r="AB187" s="6"/>
      <c r="AC187" s="6"/>
      <c r="AD187" s="7"/>
    </row>
    <row r="188" spans="1:30" ht="15.6" x14ac:dyDescent="0.3">
      <c r="A188" s="4">
        <v>438</v>
      </c>
      <c r="B188" s="5" t="s">
        <v>1954</v>
      </c>
      <c r="C188" s="6" t="s">
        <v>126</v>
      </c>
      <c r="D188" s="5" t="s">
        <v>1955</v>
      </c>
      <c r="E188" s="5" t="s">
        <v>48</v>
      </c>
      <c r="F188" s="6" t="s">
        <v>1956</v>
      </c>
      <c r="G188" s="6" t="s">
        <v>1957</v>
      </c>
      <c r="H188" s="8">
        <v>0</v>
      </c>
      <c r="I188" s="6" t="s">
        <v>1548</v>
      </c>
      <c r="J188" s="6" t="s">
        <v>153</v>
      </c>
      <c r="K188" s="6" t="s">
        <v>53</v>
      </c>
      <c r="L188" s="6">
        <f>10%</f>
        <v>0.1</v>
      </c>
      <c r="M188" s="6" t="s">
        <v>551</v>
      </c>
      <c r="N188" s="6">
        <f>10%</f>
        <v>0.1</v>
      </c>
      <c r="O188" s="6" t="s">
        <v>1958</v>
      </c>
      <c r="P188" s="6" t="s">
        <v>1959</v>
      </c>
      <c r="Q188" s="6">
        <f>12%</f>
        <v>0.12</v>
      </c>
      <c r="R188" s="6">
        <v>851</v>
      </c>
      <c r="S188" s="6">
        <v>5</v>
      </c>
      <c r="T188" s="6" t="s">
        <v>1960</v>
      </c>
      <c r="U188" s="8">
        <v>-0.72</v>
      </c>
      <c r="V188" s="6"/>
      <c r="W188" s="6"/>
      <c r="X188" s="6"/>
      <c r="Y188" s="6"/>
      <c r="Z188" s="6"/>
      <c r="AA188" s="6"/>
      <c r="AB188" s="6"/>
      <c r="AC188" s="6"/>
      <c r="AD188" s="7"/>
    </row>
    <row r="189" spans="1:30" ht="15.6" x14ac:dyDescent="0.3">
      <c r="A189" s="4">
        <v>439</v>
      </c>
      <c r="B189" s="5" t="s">
        <v>1961</v>
      </c>
      <c r="C189" s="6">
        <v>0</v>
      </c>
      <c r="D189" s="5" t="s">
        <v>1962</v>
      </c>
      <c r="E189" s="5" t="s">
        <v>48</v>
      </c>
      <c r="F189" s="6" t="s">
        <v>1963</v>
      </c>
      <c r="G189" s="6" t="s">
        <v>1964</v>
      </c>
      <c r="H189" s="8">
        <v>0</v>
      </c>
      <c r="I189" s="8">
        <v>-0.72</v>
      </c>
      <c r="J189" s="6" t="s">
        <v>153</v>
      </c>
      <c r="K189" s="6" t="s">
        <v>1965</v>
      </c>
      <c r="L189" s="8">
        <v>-0.36</v>
      </c>
      <c r="M189" s="6" t="s">
        <v>1966</v>
      </c>
      <c r="N189" s="8">
        <v>-0.36</v>
      </c>
      <c r="O189" s="6" t="s">
        <v>1967</v>
      </c>
      <c r="P189" s="6" t="s">
        <v>1968</v>
      </c>
      <c r="Q189" s="6" t="s">
        <v>217</v>
      </c>
      <c r="R189" s="6" t="s">
        <v>1969</v>
      </c>
      <c r="S189" s="6">
        <v>15</v>
      </c>
      <c r="T189" s="6" t="s">
        <v>1970</v>
      </c>
      <c r="U189" s="6" t="s">
        <v>217</v>
      </c>
      <c r="V189" s="6"/>
      <c r="W189" s="6"/>
      <c r="X189" s="6"/>
      <c r="Y189" s="6"/>
      <c r="Z189" s="6"/>
      <c r="AA189" s="6"/>
      <c r="AB189" s="6"/>
      <c r="AC189" s="6"/>
      <c r="AD189" s="7"/>
    </row>
    <row r="190" spans="1:30" ht="15.6" x14ac:dyDescent="0.3">
      <c r="A190" s="4">
        <v>440</v>
      </c>
      <c r="B190" s="5" t="s">
        <v>1971</v>
      </c>
      <c r="C190" s="6" t="s">
        <v>85</v>
      </c>
      <c r="D190" s="5" t="s">
        <v>1972</v>
      </c>
      <c r="E190" s="5" t="s">
        <v>48</v>
      </c>
      <c r="F190" s="6" t="s">
        <v>1973</v>
      </c>
      <c r="G190" s="6" t="s">
        <v>1974</v>
      </c>
      <c r="H190" s="8">
        <v>0</v>
      </c>
      <c r="I190" s="6" t="s">
        <v>1975</v>
      </c>
      <c r="J190" s="6" t="s">
        <v>225</v>
      </c>
      <c r="K190" s="6" t="s">
        <v>1976</v>
      </c>
      <c r="L190" s="8">
        <v>-0.28999999999999998</v>
      </c>
      <c r="M190" s="6" t="s">
        <v>1977</v>
      </c>
      <c r="N190" s="8">
        <v>-0.28999999999999998</v>
      </c>
      <c r="O190" s="6" t="s">
        <v>1978</v>
      </c>
      <c r="P190" s="6" t="s">
        <v>1979</v>
      </c>
      <c r="Q190" s="6" t="s">
        <v>217</v>
      </c>
      <c r="R190" s="6">
        <v>290</v>
      </c>
      <c r="S190" s="6">
        <v>1</v>
      </c>
      <c r="T190" s="6">
        <v>277</v>
      </c>
      <c r="U190" s="6">
        <f>68%</f>
        <v>0.68</v>
      </c>
      <c r="V190" s="6"/>
      <c r="W190" s="6"/>
      <c r="X190" s="6"/>
      <c r="Y190" s="6"/>
      <c r="Z190" s="6"/>
      <c r="AA190" s="6"/>
      <c r="AB190" s="6"/>
      <c r="AC190" s="6"/>
      <c r="AD190" s="7"/>
    </row>
    <row r="191" spans="1:30" ht="15.6" x14ac:dyDescent="0.3">
      <c r="A191" s="4">
        <v>442</v>
      </c>
      <c r="B191" s="5" t="s">
        <v>1980</v>
      </c>
      <c r="C191" s="6" t="s">
        <v>126</v>
      </c>
      <c r="D191" s="5" t="s">
        <v>1981</v>
      </c>
      <c r="E191" s="5" t="s">
        <v>48</v>
      </c>
      <c r="F191" s="6" t="s">
        <v>1982</v>
      </c>
      <c r="G191" s="6" t="s">
        <v>1983</v>
      </c>
      <c r="H191" s="8">
        <v>0</v>
      </c>
      <c r="I191" s="8">
        <v>-0.74</v>
      </c>
      <c r="J191" s="6" t="s">
        <v>1071</v>
      </c>
      <c r="K191" s="6" t="s">
        <v>1984</v>
      </c>
      <c r="L191" s="8">
        <v>-0.45</v>
      </c>
      <c r="M191" s="6" t="s">
        <v>1985</v>
      </c>
      <c r="N191" s="8">
        <v>-0.45</v>
      </c>
      <c r="O191" s="6" t="s">
        <v>1986</v>
      </c>
      <c r="P191" s="6" t="s">
        <v>1987</v>
      </c>
      <c r="Q191" s="6" t="s">
        <v>217</v>
      </c>
      <c r="R191" s="6">
        <v>713</v>
      </c>
      <c r="S191" s="6">
        <v>8</v>
      </c>
      <c r="T191" s="6">
        <v>526</v>
      </c>
      <c r="U191" s="8">
        <v>-0.54</v>
      </c>
      <c r="V191" s="5" t="s">
        <v>1988</v>
      </c>
      <c r="W191" s="5" t="s">
        <v>1989</v>
      </c>
      <c r="X191" s="6"/>
      <c r="Y191" s="6"/>
      <c r="Z191" s="6"/>
      <c r="AA191" s="6"/>
      <c r="AB191" s="6"/>
      <c r="AC191" s="6"/>
      <c r="AD191" s="7"/>
    </row>
    <row r="192" spans="1:30" ht="15.6" x14ac:dyDescent="0.3">
      <c r="A192" s="4">
        <v>443</v>
      </c>
      <c r="B192" s="5" t="s">
        <v>1990</v>
      </c>
      <c r="C192" s="6" t="s">
        <v>72</v>
      </c>
      <c r="D192" s="5" t="s">
        <v>1991</v>
      </c>
      <c r="E192" s="5" t="s">
        <v>48</v>
      </c>
      <c r="F192" s="6" t="s">
        <v>1992</v>
      </c>
      <c r="G192" s="6" t="s">
        <v>1993</v>
      </c>
      <c r="H192" s="8">
        <v>0</v>
      </c>
      <c r="I192" s="6" t="s">
        <v>1195</v>
      </c>
      <c r="J192" s="6" t="s">
        <v>1093</v>
      </c>
      <c r="K192" s="6" t="s">
        <v>285</v>
      </c>
      <c r="L192" s="8">
        <v>-0.47</v>
      </c>
      <c r="M192" s="6" t="s">
        <v>619</v>
      </c>
      <c r="N192" s="8">
        <v>-0.47</v>
      </c>
      <c r="O192" s="6" t="s">
        <v>1994</v>
      </c>
      <c r="P192" s="6" t="s">
        <v>1995</v>
      </c>
      <c r="Q192" s="8">
        <v>-0.97</v>
      </c>
      <c r="R192" s="6" t="s">
        <v>1996</v>
      </c>
      <c r="S192" s="6">
        <v>81</v>
      </c>
      <c r="T192" s="6" t="s">
        <v>1263</v>
      </c>
      <c r="U192" s="8">
        <v>-1</v>
      </c>
      <c r="V192" s="6"/>
      <c r="W192" s="6"/>
      <c r="X192" s="6"/>
      <c r="Y192" s="6"/>
      <c r="Z192" s="6"/>
      <c r="AA192" s="6"/>
      <c r="AB192" s="6"/>
      <c r="AC192" s="6"/>
      <c r="AD192" s="7"/>
    </row>
    <row r="193" spans="1:30" ht="15.6" x14ac:dyDescent="0.3">
      <c r="A193" s="4">
        <v>444</v>
      </c>
      <c r="B193" s="5" t="s">
        <v>1997</v>
      </c>
      <c r="C193" s="6" t="s">
        <v>370</v>
      </c>
      <c r="D193" s="5" t="s">
        <v>1998</v>
      </c>
      <c r="E193" s="5" t="s">
        <v>48</v>
      </c>
      <c r="F193" s="6" t="s">
        <v>1999</v>
      </c>
      <c r="G193" s="6" t="s">
        <v>2000</v>
      </c>
      <c r="H193" s="8">
        <v>0</v>
      </c>
      <c r="I193" s="6" t="s">
        <v>1027</v>
      </c>
      <c r="J193" s="6" t="s">
        <v>177</v>
      </c>
      <c r="K193" s="6" t="s">
        <v>2001</v>
      </c>
      <c r="L193" s="6">
        <f>19%</f>
        <v>0.19</v>
      </c>
      <c r="M193" s="6" t="s">
        <v>2002</v>
      </c>
      <c r="N193" s="6">
        <f>19%</f>
        <v>0.19</v>
      </c>
      <c r="O193" s="6" t="s">
        <v>2003</v>
      </c>
      <c r="P193" s="6" t="s">
        <v>2004</v>
      </c>
      <c r="Q193" s="6">
        <f>100%</f>
        <v>1</v>
      </c>
      <c r="R193" s="6">
        <v>332</v>
      </c>
      <c r="S193" s="6">
        <v>16</v>
      </c>
      <c r="T193" s="6" t="s">
        <v>1087</v>
      </c>
      <c r="U193" s="6" t="s">
        <v>217</v>
      </c>
      <c r="V193" s="6"/>
      <c r="W193" s="6"/>
      <c r="X193" s="6"/>
      <c r="Y193" s="6"/>
      <c r="Z193" s="6"/>
      <c r="AA193" s="6"/>
      <c r="AB193" s="6"/>
      <c r="AC193" s="6"/>
      <c r="AD193" s="7"/>
    </row>
    <row r="194" spans="1:30" ht="15.6" x14ac:dyDescent="0.3">
      <c r="A194" s="4">
        <v>445</v>
      </c>
      <c r="B194" s="5" t="s">
        <v>2005</v>
      </c>
      <c r="C194" s="6" t="s">
        <v>148</v>
      </c>
      <c r="D194" s="5" t="s">
        <v>2006</v>
      </c>
      <c r="E194" s="5" t="s">
        <v>33</v>
      </c>
      <c r="F194" s="6" t="s">
        <v>2007</v>
      </c>
      <c r="G194" s="6" t="s">
        <v>2008</v>
      </c>
      <c r="H194" s="8">
        <v>0</v>
      </c>
      <c r="I194" s="6" t="s">
        <v>877</v>
      </c>
      <c r="J194" s="6" t="s">
        <v>2009</v>
      </c>
      <c r="K194" s="6" t="s">
        <v>2010</v>
      </c>
      <c r="L194" s="6">
        <f>46%</f>
        <v>0.46</v>
      </c>
      <c r="M194" s="6" t="s">
        <v>2011</v>
      </c>
      <c r="N194" s="6">
        <f>46%</f>
        <v>0.46</v>
      </c>
      <c r="O194" s="6" t="s">
        <v>2012</v>
      </c>
      <c r="P194" s="6" t="s">
        <v>2013</v>
      </c>
      <c r="Q194" s="6">
        <f>93%</f>
        <v>0.93</v>
      </c>
      <c r="R194" s="6">
        <v>427</v>
      </c>
      <c r="S194" s="6">
        <v>5</v>
      </c>
      <c r="T194" s="6" t="s">
        <v>2014</v>
      </c>
      <c r="U194" s="6">
        <f>0.38%</f>
        <v>3.8E-3</v>
      </c>
      <c r="V194" s="6"/>
      <c r="W194" s="6"/>
      <c r="X194" s="6"/>
      <c r="Y194" s="6"/>
      <c r="Z194" s="6"/>
      <c r="AA194" s="6"/>
      <c r="AB194" s="6"/>
      <c r="AC194" s="6"/>
      <c r="AD194" s="7"/>
    </row>
    <row r="195" spans="1:30" ht="15.6" x14ac:dyDescent="0.3">
      <c r="A195" s="4">
        <v>446</v>
      </c>
      <c r="B195" s="5" t="s">
        <v>2015</v>
      </c>
      <c r="C195" s="6" t="s">
        <v>1408</v>
      </c>
      <c r="D195" s="5" t="s">
        <v>2016</v>
      </c>
      <c r="E195" s="5" t="s">
        <v>48</v>
      </c>
      <c r="F195" s="6" t="s">
        <v>2017</v>
      </c>
      <c r="G195" s="6" t="s">
        <v>2018</v>
      </c>
      <c r="H195" s="8">
        <v>0</v>
      </c>
      <c r="I195" s="6" t="s">
        <v>1659</v>
      </c>
      <c r="J195" s="6" t="s">
        <v>719</v>
      </c>
      <c r="K195" s="6" t="s">
        <v>2019</v>
      </c>
      <c r="L195" s="8">
        <v>-0.51</v>
      </c>
      <c r="M195" s="6" t="s">
        <v>2020</v>
      </c>
      <c r="N195" s="8">
        <v>-0.51</v>
      </c>
      <c r="O195" s="6" t="s">
        <v>2021</v>
      </c>
      <c r="P195" s="6" t="s">
        <v>2022</v>
      </c>
      <c r="Q195" s="6">
        <f>4%</f>
        <v>0.04</v>
      </c>
      <c r="R195" s="6" t="s">
        <v>2023</v>
      </c>
      <c r="S195" s="6">
        <v>32</v>
      </c>
      <c r="T195" s="6" t="s">
        <v>2024</v>
      </c>
      <c r="U195" s="6">
        <f>49%</f>
        <v>0.49</v>
      </c>
      <c r="V195" s="6"/>
      <c r="W195" s="6"/>
      <c r="X195" s="6"/>
      <c r="Y195" s="6"/>
      <c r="Z195" s="6"/>
      <c r="AA195" s="6"/>
      <c r="AB195" s="6"/>
      <c r="AC195" s="6"/>
      <c r="AD195" s="7"/>
    </row>
    <row r="196" spans="1:30" ht="15.6" x14ac:dyDescent="0.3">
      <c r="A196" s="4">
        <v>447</v>
      </c>
      <c r="B196" s="5" t="s">
        <v>2025</v>
      </c>
      <c r="C196" s="6" t="s">
        <v>72</v>
      </c>
      <c r="D196" s="5" t="s">
        <v>2026</v>
      </c>
      <c r="E196" s="5" t="s">
        <v>48</v>
      </c>
      <c r="F196" s="6" t="s">
        <v>2027</v>
      </c>
      <c r="G196" s="6" t="s">
        <v>2028</v>
      </c>
      <c r="H196" s="8">
        <v>0</v>
      </c>
      <c r="I196" s="8">
        <v>-0.8</v>
      </c>
      <c r="J196" s="6" t="s">
        <v>798</v>
      </c>
      <c r="K196" s="6" t="s">
        <v>2029</v>
      </c>
      <c r="L196" s="8">
        <v>-0.44</v>
      </c>
      <c r="M196" s="6" t="s">
        <v>2030</v>
      </c>
      <c r="N196" s="8">
        <v>-0.44</v>
      </c>
      <c r="O196" s="6" t="s">
        <v>2031</v>
      </c>
      <c r="P196" s="6" t="s">
        <v>2032</v>
      </c>
      <c r="Q196" s="6" t="s">
        <v>217</v>
      </c>
      <c r="R196" s="6">
        <v>604</v>
      </c>
      <c r="S196" s="6">
        <v>0</v>
      </c>
      <c r="T196" s="6">
        <v>581</v>
      </c>
      <c r="U196" s="6">
        <f>5.1%</f>
        <v>5.0999999999999997E-2</v>
      </c>
      <c r="V196" s="6"/>
      <c r="W196" s="6"/>
      <c r="X196" s="6"/>
      <c r="Y196" s="6"/>
      <c r="Z196" s="6"/>
      <c r="AA196" s="6"/>
      <c r="AB196" s="6"/>
      <c r="AC196" s="6"/>
      <c r="AD196" s="7"/>
    </row>
    <row r="197" spans="1:30" ht="15.6" x14ac:dyDescent="0.3">
      <c r="A197" s="4">
        <v>448</v>
      </c>
      <c r="B197" s="5" t="s">
        <v>2033</v>
      </c>
      <c r="C197" s="6" t="s">
        <v>60</v>
      </c>
      <c r="D197" s="5" t="s">
        <v>2034</v>
      </c>
      <c r="E197" s="5" t="s">
        <v>48</v>
      </c>
      <c r="F197" s="6" t="s">
        <v>2035</v>
      </c>
      <c r="G197" s="6" t="s">
        <v>2036</v>
      </c>
      <c r="H197" s="8">
        <v>0</v>
      </c>
      <c r="I197" s="8">
        <v>-0.86</v>
      </c>
      <c r="J197" s="6" t="s">
        <v>166</v>
      </c>
      <c r="K197" s="6" t="s">
        <v>1204</v>
      </c>
      <c r="L197" s="8">
        <v>-0.01</v>
      </c>
      <c r="M197" s="6" t="s">
        <v>2037</v>
      </c>
      <c r="N197" s="8">
        <v>-0.01</v>
      </c>
      <c r="O197" s="6" t="s">
        <v>2038</v>
      </c>
      <c r="P197" s="6" t="s">
        <v>2039</v>
      </c>
      <c r="Q197" s="6" t="s">
        <v>217</v>
      </c>
      <c r="R197" s="6">
        <v>381</v>
      </c>
      <c r="S197" s="6">
        <v>8</v>
      </c>
      <c r="T197" s="6">
        <v>371</v>
      </c>
      <c r="U197" s="6">
        <f>3.1%</f>
        <v>3.1E-2</v>
      </c>
      <c r="V197" s="6"/>
      <c r="W197" s="6"/>
      <c r="X197" s="6"/>
      <c r="Y197" s="6"/>
      <c r="Z197" s="6"/>
      <c r="AA197" s="6"/>
      <c r="AB197" s="6"/>
      <c r="AC197" s="6"/>
      <c r="AD197" s="7"/>
    </row>
    <row r="198" spans="1:30" ht="15.6" x14ac:dyDescent="0.3">
      <c r="A198" s="4">
        <v>449</v>
      </c>
      <c r="B198" s="5" t="s">
        <v>2040</v>
      </c>
      <c r="C198" s="6" t="s">
        <v>114</v>
      </c>
      <c r="D198" s="5" t="s">
        <v>2041</v>
      </c>
      <c r="E198" s="5" t="s">
        <v>33</v>
      </c>
      <c r="F198" s="6" t="s">
        <v>2042</v>
      </c>
      <c r="G198" s="6" t="s">
        <v>2043</v>
      </c>
      <c r="H198" s="8">
        <v>0</v>
      </c>
      <c r="I198" s="6" t="s">
        <v>1709</v>
      </c>
      <c r="J198" s="6" t="s">
        <v>90</v>
      </c>
      <c r="K198" s="6" t="s">
        <v>2044</v>
      </c>
      <c r="L198" s="6" t="s">
        <v>2045</v>
      </c>
      <c r="M198" s="6" t="s">
        <v>2046</v>
      </c>
      <c r="N198" s="6" t="s">
        <v>2045</v>
      </c>
      <c r="O198" s="6" t="s">
        <v>2047</v>
      </c>
      <c r="P198" s="6" t="s">
        <v>840</v>
      </c>
      <c r="Q198" s="6" t="s">
        <v>217</v>
      </c>
      <c r="R198" s="6">
        <v>21</v>
      </c>
      <c r="S198" s="6">
        <v>0</v>
      </c>
      <c r="T198" s="6" t="s">
        <v>2048</v>
      </c>
      <c r="U198" s="6">
        <f>32%</f>
        <v>0.32</v>
      </c>
      <c r="V198" s="6"/>
      <c r="W198" s="6"/>
      <c r="X198" s="6"/>
      <c r="Y198" s="6"/>
      <c r="Z198" s="6"/>
      <c r="AA198" s="6"/>
      <c r="AB198" s="6"/>
      <c r="AC198" s="6"/>
      <c r="AD198" s="7"/>
    </row>
    <row r="199" spans="1:30" ht="15.6" x14ac:dyDescent="0.3">
      <c r="A199" s="4">
        <v>450</v>
      </c>
      <c r="B199" s="5" t="s">
        <v>2049</v>
      </c>
      <c r="C199" s="6" t="s">
        <v>126</v>
      </c>
      <c r="D199" s="5" t="s">
        <v>2050</v>
      </c>
      <c r="E199" s="5" t="s">
        <v>33</v>
      </c>
      <c r="F199" s="6" t="s">
        <v>2051</v>
      </c>
      <c r="G199" s="6" t="s">
        <v>2052</v>
      </c>
      <c r="H199" s="8">
        <v>0</v>
      </c>
      <c r="I199" s="8">
        <v>-0.35</v>
      </c>
      <c r="J199" s="6" t="s">
        <v>506</v>
      </c>
      <c r="K199" s="6" t="s">
        <v>2053</v>
      </c>
      <c r="L199" s="6">
        <f>19%</f>
        <v>0.19</v>
      </c>
      <c r="M199" s="6" t="s">
        <v>1444</v>
      </c>
      <c r="N199" s="6">
        <f>19%</f>
        <v>0.19</v>
      </c>
      <c r="O199" s="6" t="s">
        <v>2054</v>
      </c>
      <c r="P199" s="6" t="s">
        <v>2055</v>
      </c>
      <c r="Q199" s="6" t="s">
        <v>217</v>
      </c>
      <c r="R199" s="6">
        <v>984</v>
      </c>
      <c r="S199" s="6">
        <v>13</v>
      </c>
      <c r="T199" s="6" t="s">
        <v>2056</v>
      </c>
      <c r="U199" s="6">
        <f>0.0032%</f>
        <v>3.1999999999999999E-5</v>
      </c>
      <c r="V199" s="6"/>
      <c r="W199" s="6"/>
      <c r="X199" s="6"/>
      <c r="Y199" s="6"/>
      <c r="Z199" s="6"/>
      <c r="AA199" s="6"/>
      <c r="AB199" s="6"/>
      <c r="AC199" s="6"/>
      <c r="AD199" s="7"/>
    </row>
    <row r="200" spans="1:30" ht="15.6" x14ac:dyDescent="0.3">
      <c r="A200" s="4">
        <v>452</v>
      </c>
      <c r="B200" s="5" t="s">
        <v>2057</v>
      </c>
      <c r="C200" s="6" t="s">
        <v>102</v>
      </c>
      <c r="D200" s="5" t="s">
        <v>2058</v>
      </c>
      <c r="E200" s="5" t="s">
        <v>33</v>
      </c>
      <c r="F200" s="6" t="s">
        <v>2059</v>
      </c>
      <c r="G200" s="6" t="s">
        <v>2060</v>
      </c>
      <c r="H200" s="8">
        <v>0</v>
      </c>
      <c r="I200" s="6" t="s">
        <v>2061</v>
      </c>
      <c r="J200" s="6" t="s">
        <v>798</v>
      </c>
      <c r="K200" s="6" t="s">
        <v>2062</v>
      </c>
      <c r="L200" s="8">
        <v>-0.53</v>
      </c>
      <c r="M200" s="6" t="s">
        <v>2063</v>
      </c>
      <c r="N200" s="8">
        <v>-0.53</v>
      </c>
      <c r="O200" s="6" t="s">
        <v>2064</v>
      </c>
      <c r="P200" s="6" t="s">
        <v>217</v>
      </c>
      <c r="Q200" s="6" t="s">
        <v>217</v>
      </c>
      <c r="R200" s="6" t="s">
        <v>2065</v>
      </c>
      <c r="S200" s="6">
        <v>0</v>
      </c>
      <c r="T200" s="6" t="s">
        <v>2066</v>
      </c>
      <c r="U200" s="6" t="s">
        <v>217</v>
      </c>
      <c r="V200" s="6"/>
      <c r="W200" s="6"/>
      <c r="X200" s="6"/>
      <c r="Y200" s="6"/>
      <c r="Z200" s="6"/>
      <c r="AA200" s="6"/>
      <c r="AB200" s="6"/>
      <c r="AC200" s="6"/>
      <c r="AD200" s="7"/>
    </row>
    <row r="201" spans="1:30" ht="15.6" x14ac:dyDescent="0.3">
      <c r="A201" s="4">
        <v>453</v>
      </c>
      <c r="B201" s="5" t="s">
        <v>2067</v>
      </c>
      <c r="C201" s="6" t="s">
        <v>291</v>
      </c>
      <c r="D201" s="5" t="s">
        <v>2068</v>
      </c>
      <c r="E201" s="5" t="s">
        <v>33</v>
      </c>
      <c r="F201" s="6" t="s">
        <v>2069</v>
      </c>
      <c r="G201" s="6" t="s">
        <v>2070</v>
      </c>
      <c r="H201" s="8">
        <v>0</v>
      </c>
      <c r="I201" s="6" t="s">
        <v>1027</v>
      </c>
      <c r="J201" s="6" t="s">
        <v>482</v>
      </c>
      <c r="K201" s="6" t="s">
        <v>2071</v>
      </c>
      <c r="L201" s="6">
        <f>9.4%</f>
        <v>9.4E-2</v>
      </c>
      <c r="M201" s="6" t="s">
        <v>2072</v>
      </c>
      <c r="N201" s="6">
        <f>9.4%</f>
        <v>9.4E-2</v>
      </c>
      <c r="O201" s="6" t="s">
        <v>2073</v>
      </c>
      <c r="P201" s="6" t="s">
        <v>2074</v>
      </c>
      <c r="Q201" s="6">
        <f>3.8%</f>
        <v>3.7999999999999999E-2</v>
      </c>
      <c r="R201" s="6">
        <v>719</v>
      </c>
      <c r="S201" s="6">
        <v>7</v>
      </c>
      <c r="T201" s="6">
        <v>718</v>
      </c>
      <c r="U201" s="8">
        <v>-0.93</v>
      </c>
      <c r="V201" s="6"/>
      <c r="W201" s="6"/>
      <c r="X201" s="6"/>
      <c r="Y201" s="6"/>
      <c r="Z201" s="6"/>
      <c r="AA201" s="6"/>
      <c r="AB201" s="6"/>
      <c r="AC201" s="6"/>
      <c r="AD201" s="7"/>
    </row>
    <row r="202" spans="1:30" ht="15.6" x14ac:dyDescent="0.3">
      <c r="A202" s="4">
        <v>454</v>
      </c>
      <c r="B202" s="5" t="s">
        <v>2075</v>
      </c>
      <c r="C202" s="6" t="s">
        <v>173</v>
      </c>
      <c r="D202" s="5" t="s">
        <v>2076</v>
      </c>
      <c r="E202" s="5" t="s">
        <v>33</v>
      </c>
      <c r="F202" s="6" t="s">
        <v>2077</v>
      </c>
      <c r="G202" s="6" t="s">
        <v>2078</v>
      </c>
      <c r="H202" s="8">
        <v>0</v>
      </c>
      <c r="I202" s="8">
        <v>-0.89</v>
      </c>
      <c r="J202" s="6" t="s">
        <v>758</v>
      </c>
      <c r="K202" s="6" t="s">
        <v>2079</v>
      </c>
      <c r="L202" s="6">
        <f>20%</f>
        <v>0.2</v>
      </c>
      <c r="M202" s="6" t="s">
        <v>2080</v>
      </c>
      <c r="N202" s="6">
        <f>20%</f>
        <v>0.2</v>
      </c>
      <c r="O202" s="6" t="s">
        <v>2081</v>
      </c>
      <c r="P202" s="6" t="s">
        <v>2082</v>
      </c>
      <c r="Q202" s="6" t="s">
        <v>217</v>
      </c>
      <c r="R202" s="6">
        <v>295</v>
      </c>
      <c r="S202" s="6">
        <v>2</v>
      </c>
      <c r="T202" s="6">
        <v>471</v>
      </c>
      <c r="U202" s="6">
        <f t="shared" ref="U202:U203" si="0">190%</f>
        <v>1.9</v>
      </c>
      <c r="V202" s="6"/>
      <c r="W202" s="6"/>
      <c r="X202" s="6"/>
      <c r="Y202" s="6"/>
      <c r="Z202" s="6"/>
      <c r="AA202" s="6"/>
      <c r="AB202" s="6"/>
      <c r="AC202" s="6"/>
      <c r="AD202" s="7"/>
    </row>
    <row r="203" spans="1:30" ht="15.6" x14ac:dyDescent="0.3">
      <c r="A203" s="4">
        <v>455</v>
      </c>
      <c r="B203" s="5" t="s">
        <v>2083</v>
      </c>
      <c r="C203" s="6" t="s">
        <v>126</v>
      </c>
      <c r="D203" s="5" t="s">
        <v>2084</v>
      </c>
      <c r="E203" s="5" t="s">
        <v>33</v>
      </c>
      <c r="F203" s="6" t="s">
        <v>2085</v>
      </c>
      <c r="G203" s="6" t="s">
        <v>2086</v>
      </c>
      <c r="H203" s="8">
        <v>0</v>
      </c>
      <c r="I203" s="6" t="s">
        <v>474</v>
      </c>
      <c r="J203" s="6" t="s">
        <v>550</v>
      </c>
      <c r="K203" s="6" t="s">
        <v>2087</v>
      </c>
      <c r="L203" s="6">
        <f>25%</f>
        <v>0.25</v>
      </c>
      <c r="M203" s="6" t="s">
        <v>2088</v>
      </c>
      <c r="N203" s="6">
        <f>25%</f>
        <v>0.25</v>
      </c>
      <c r="O203" s="6" t="s">
        <v>2089</v>
      </c>
      <c r="P203" s="6" t="s">
        <v>2090</v>
      </c>
      <c r="Q203" s="6" t="s">
        <v>217</v>
      </c>
      <c r="R203" s="6">
        <v>416</v>
      </c>
      <c r="S203" s="6">
        <v>26</v>
      </c>
      <c r="T203" s="6" t="s">
        <v>2091</v>
      </c>
      <c r="U203" s="6">
        <f t="shared" si="0"/>
        <v>1.9</v>
      </c>
      <c r="V203" s="6"/>
      <c r="W203" s="6"/>
      <c r="X203" s="6"/>
      <c r="Y203" s="6"/>
      <c r="Z203" s="6"/>
      <c r="AA203" s="6"/>
      <c r="AB203" s="6"/>
      <c r="AC203" s="6"/>
      <c r="AD203" s="7"/>
    </row>
    <row r="204" spans="1:30" ht="15.6" x14ac:dyDescent="0.3">
      <c r="A204" s="4">
        <v>456</v>
      </c>
      <c r="B204" s="5" t="s">
        <v>2092</v>
      </c>
      <c r="C204" s="6" t="s">
        <v>114</v>
      </c>
      <c r="D204" s="5" t="s">
        <v>2093</v>
      </c>
      <c r="E204" s="5" t="s">
        <v>33</v>
      </c>
      <c r="F204" s="6" t="s">
        <v>2094</v>
      </c>
      <c r="G204" s="6" t="s">
        <v>2095</v>
      </c>
      <c r="H204" s="8">
        <v>0</v>
      </c>
      <c r="I204" s="8">
        <v>-0.35</v>
      </c>
      <c r="J204" s="6" t="s">
        <v>550</v>
      </c>
      <c r="K204" s="6" t="s">
        <v>2096</v>
      </c>
      <c r="L204" s="8">
        <v>-0.25</v>
      </c>
      <c r="M204" s="6" t="s">
        <v>2097</v>
      </c>
      <c r="N204" s="8">
        <v>-0.25</v>
      </c>
      <c r="O204" s="6" t="s">
        <v>2098</v>
      </c>
      <c r="P204" s="6" t="s">
        <v>2032</v>
      </c>
      <c r="Q204" s="6" t="s">
        <v>217</v>
      </c>
      <c r="R204" s="6">
        <v>87</v>
      </c>
      <c r="S204" s="6">
        <v>3</v>
      </c>
      <c r="T204" s="6">
        <v>137</v>
      </c>
      <c r="U204" s="8">
        <v>-0.95</v>
      </c>
      <c r="V204" s="6"/>
      <c r="W204" s="6"/>
      <c r="X204" s="6"/>
      <c r="Y204" s="6"/>
      <c r="Z204" s="6"/>
      <c r="AA204" s="6"/>
      <c r="AB204" s="6"/>
      <c r="AC204" s="6"/>
      <c r="AD204" s="7"/>
    </row>
    <row r="205" spans="1:30" ht="15.6" x14ac:dyDescent="0.3">
      <c r="A205" s="4">
        <v>457</v>
      </c>
      <c r="B205" s="5" t="s">
        <v>2099</v>
      </c>
      <c r="C205" s="6" t="s">
        <v>72</v>
      </c>
      <c r="D205" s="5" t="s">
        <v>2100</v>
      </c>
      <c r="E205" s="5" t="s">
        <v>33</v>
      </c>
      <c r="F205" s="6" t="s">
        <v>2101</v>
      </c>
      <c r="G205" s="6" t="s">
        <v>2102</v>
      </c>
      <c r="H205" s="8">
        <v>0</v>
      </c>
      <c r="I205" s="6" t="s">
        <v>2103</v>
      </c>
      <c r="J205" s="6" t="s">
        <v>36</v>
      </c>
      <c r="K205" s="6" t="s">
        <v>2104</v>
      </c>
      <c r="L205" s="6">
        <f>34%</f>
        <v>0.34</v>
      </c>
      <c r="M205" s="6" t="s">
        <v>2105</v>
      </c>
      <c r="N205" s="6">
        <f>34%</f>
        <v>0.34</v>
      </c>
      <c r="O205" s="6" t="s">
        <v>2106</v>
      </c>
      <c r="P205" s="6" t="s">
        <v>2107</v>
      </c>
      <c r="Q205" s="6" t="s">
        <v>217</v>
      </c>
      <c r="R205" s="6">
        <v>17</v>
      </c>
      <c r="S205" s="6">
        <v>1</v>
      </c>
      <c r="T205" s="6">
        <v>83</v>
      </c>
      <c r="U205" s="6" t="s">
        <v>9262</v>
      </c>
      <c r="V205" s="6"/>
      <c r="W205" s="6"/>
      <c r="X205" s="6"/>
      <c r="Y205" s="6"/>
      <c r="Z205" s="6"/>
      <c r="AA205" s="6"/>
      <c r="AB205" s="6"/>
      <c r="AC205" s="6"/>
      <c r="AD205" s="7"/>
    </row>
    <row r="206" spans="1:30" ht="15.6" x14ac:dyDescent="0.3">
      <c r="A206" s="4">
        <v>458</v>
      </c>
      <c r="B206" s="5" t="s">
        <v>2108</v>
      </c>
      <c r="C206" s="6" t="s">
        <v>291</v>
      </c>
      <c r="D206" s="5" t="s">
        <v>2109</v>
      </c>
      <c r="E206" s="5" t="s">
        <v>48</v>
      </c>
      <c r="F206" s="6" t="s">
        <v>2110</v>
      </c>
      <c r="G206" s="6" t="s">
        <v>2111</v>
      </c>
      <c r="H206" s="8">
        <v>0</v>
      </c>
      <c r="I206" s="8">
        <v>-0.89</v>
      </c>
      <c r="J206" s="6" t="s">
        <v>1184</v>
      </c>
      <c r="K206" s="6" t="s">
        <v>2112</v>
      </c>
      <c r="L206" s="8">
        <v>-0.86</v>
      </c>
      <c r="M206" s="6" t="s">
        <v>2113</v>
      </c>
      <c r="N206" s="8">
        <v>-0.86</v>
      </c>
      <c r="O206" s="6" t="s">
        <v>2114</v>
      </c>
      <c r="P206" s="6" t="s">
        <v>2115</v>
      </c>
      <c r="Q206" s="6" t="s">
        <v>217</v>
      </c>
      <c r="R206" s="6" t="s">
        <v>2116</v>
      </c>
      <c r="S206" s="6">
        <v>67</v>
      </c>
      <c r="T206" s="6" t="s">
        <v>2117</v>
      </c>
      <c r="U206" s="8">
        <v>-0.73</v>
      </c>
      <c r="V206" s="6"/>
      <c r="W206" s="6"/>
      <c r="X206" s="6"/>
      <c r="Y206" s="6"/>
      <c r="Z206" s="6"/>
      <c r="AA206" s="6"/>
      <c r="AB206" s="6"/>
      <c r="AC206" s="6"/>
      <c r="AD206" s="7"/>
    </row>
    <row r="207" spans="1:30" ht="15.6" x14ac:dyDescent="0.3">
      <c r="A207" s="4">
        <v>459</v>
      </c>
      <c r="B207" s="5" t="s">
        <v>2118</v>
      </c>
      <c r="C207" s="6" t="s">
        <v>567</v>
      </c>
      <c r="D207" s="5" t="s">
        <v>2119</v>
      </c>
      <c r="E207" s="5" t="s">
        <v>48</v>
      </c>
      <c r="F207" s="6" t="s">
        <v>2120</v>
      </c>
      <c r="G207" s="6" t="s">
        <v>2121</v>
      </c>
      <c r="H207" s="8">
        <v>0</v>
      </c>
      <c r="I207" s="8">
        <v>-0.34</v>
      </c>
      <c r="J207" s="6" t="s">
        <v>1354</v>
      </c>
      <c r="K207" s="6" t="s">
        <v>2122</v>
      </c>
      <c r="L207" s="8">
        <v>-0.12</v>
      </c>
      <c r="M207" s="6" t="s">
        <v>2123</v>
      </c>
      <c r="N207" s="8">
        <v>-0.12</v>
      </c>
      <c r="O207" s="6" t="s">
        <v>2124</v>
      </c>
      <c r="P207" s="6" t="s">
        <v>2125</v>
      </c>
      <c r="Q207" s="6" t="s">
        <v>217</v>
      </c>
      <c r="R207" s="6" t="s">
        <v>2126</v>
      </c>
      <c r="S207" s="6">
        <v>40</v>
      </c>
      <c r="T207" s="6" t="s">
        <v>1163</v>
      </c>
      <c r="U207" s="6" t="s">
        <v>217</v>
      </c>
      <c r="V207" s="6"/>
      <c r="W207" s="6"/>
      <c r="X207" s="6"/>
      <c r="Y207" s="6"/>
      <c r="Z207" s="6"/>
      <c r="AA207" s="6"/>
      <c r="AB207" s="6"/>
      <c r="AC207" s="6"/>
      <c r="AD207" s="7"/>
    </row>
    <row r="208" spans="1:30" ht="15.6" x14ac:dyDescent="0.3">
      <c r="A208" s="4">
        <v>460</v>
      </c>
      <c r="B208" s="5" t="s">
        <v>2127</v>
      </c>
      <c r="C208" s="6" t="s">
        <v>102</v>
      </c>
      <c r="D208" s="5" t="s">
        <v>2128</v>
      </c>
      <c r="E208" s="5" t="s">
        <v>48</v>
      </c>
      <c r="F208" s="6" t="s">
        <v>2129</v>
      </c>
      <c r="G208" s="6" t="s">
        <v>2130</v>
      </c>
      <c r="H208" s="8">
        <v>0</v>
      </c>
      <c r="I208" s="8">
        <v>-0.48</v>
      </c>
      <c r="J208" s="6" t="s">
        <v>824</v>
      </c>
      <c r="K208" s="6" t="s">
        <v>618</v>
      </c>
      <c r="L208" s="6" t="s">
        <v>217</v>
      </c>
      <c r="M208" s="6" t="s">
        <v>619</v>
      </c>
      <c r="N208" s="6" t="s">
        <v>2131</v>
      </c>
      <c r="O208" s="6" t="s">
        <v>2132</v>
      </c>
      <c r="P208" s="6" t="s">
        <v>2133</v>
      </c>
      <c r="Q208" s="6" t="s">
        <v>217</v>
      </c>
      <c r="R208" s="6" t="s">
        <v>2134</v>
      </c>
      <c r="S208" s="6">
        <v>33</v>
      </c>
      <c r="T208" s="6">
        <v>565</v>
      </c>
      <c r="U208" s="6">
        <f>27%</f>
        <v>0.27</v>
      </c>
      <c r="V208" s="6"/>
      <c r="W208" s="6"/>
      <c r="X208" s="6"/>
      <c r="Y208" s="6"/>
      <c r="Z208" s="6"/>
      <c r="AA208" s="6"/>
      <c r="AB208" s="6"/>
      <c r="AC208" s="6"/>
      <c r="AD208" s="7"/>
    </row>
    <row r="209" spans="1:30" ht="15.6" x14ac:dyDescent="0.3">
      <c r="A209" s="4">
        <v>461</v>
      </c>
      <c r="B209" s="5" t="s">
        <v>2135</v>
      </c>
      <c r="C209" s="6" t="s">
        <v>60</v>
      </c>
      <c r="D209" s="5" t="s">
        <v>2136</v>
      </c>
      <c r="E209" s="5" t="s">
        <v>48</v>
      </c>
      <c r="F209" s="6" t="s">
        <v>2137</v>
      </c>
      <c r="G209" s="6" t="s">
        <v>2138</v>
      </c>
      <c r="H209" s="8">
        <v>0</v>
      </c>
      <c r="I209" s="6" t="s">
        <v>433</v>
      </c>
      <c r="J209" s="6" t="s">
        <v>1479</v>
      </c>
      <c r="K209" s="6" t="s">
        <v>2139</v>
      </c>
      <c r="L209" s="6" t="s">
        <v>217</v>
      </c>
      <c r="M209" s="6" t="s">
        <v>2140</v>
      </c>
      <c r="N209" s="8">
        <v>-0.12</v>
      </c>
      <c r="O209" s="6" t="s">
        <v>2141</v>
      </c>
      <c r="P209" s="6" t="s">
        <v>217</v>
      </c>
      <c r="Q209" s="6" t="s">
        <v>217</v>
      </c>
      <c r="R209" s="6" t="s">
        <v>2142</v>
      </c>
      <c r="S209" s="6">
        <v>0</v>
      </c>
      <c r="T209" s="6">
        <v>165</v>
      </c>
      <c r="U209" s="6" t="s">
        <v>217</v>
      </c>
      <c r="V209" s="6"/>
      <c r="W209" s="6"/>
      <c r="X209" s="6"/>
      <c r="Y209" s="6"/>
      <c r="Z209" s="6"/>
      <c r="AA209" s="6"/>
      <c r="AB209" s="6"/>
      <c r="AC209" s="6"/>
      <c r="AD209" s="7"/>
    </row>
    <row r="210" spans="1:30" ht="15.6" x14ac:dyDescent="0.3">
      <c r="A210" s="4">
        <v>462</v>
      </c>
      <c r="B210" s="5" t="s">
        <v>2143</v>
      </c>
      <c r="C210" s="6" t="s">
        <v>85</v>
      </c>
      <c r="D210" s="5" t="s">
        <v>2144</v>
      </c>
      <c r="E210" s="5" t="s">
        <v>48</v>
      </c>
      <c r="F210" s="6" t="s">
        <v>2145</v>
      </c>
      <c r="G210" s="6" t="s">
        <v>2146</v>
      </c>
      <c r="H210" s="8">
        <v>0</v>
      </c>
      <c r="I210" s="8">
        <v>-0.1</v>
      </c>
      <c r="J210" s="6" t="s">
        <v>236</v>
      </c>
      <c r="K210" s="6" t="s">
        <v>2147</v>
      </c>
      <c r="L210" s="8">
        <v>-0.24</v>
      </c>
      <c r="M210" s="6" t="s">
        <v>2148</v>
      </c>
      <c r="N210" s="8">
        <v>-0.24</v>
      </c>
      <c r="O210" s="6" t="s">
        <v>2149</v>
      </c>
      <c r="P210" s="6" t="s">
        <v>2150</v>
      </c>
      <c r="Q210" s="6" t="s">
        <v>217</v>
      </c>
      <c r="R210" s="6">
        <v>955</v>
      </c>
      <c r="S210" s="6">
        <v>12</v>
      </c>
      <c r="T210" s="6" t="s">
        <v>2151</v>
      </c>
      <c r="U210" s="6" t="s">
        <v>217</v>
      </c>
      <c r="V210" s="6"/>
      <c r="W210" s="6"/>
      <c r="X210" s="6"/>
      <c r="Y210" s="6"/>
      <c r="Z210" s="6"/>
      <c r="AA210" s="6"/>
      <c r="AB210" s="6"/>
      <c r="AC210" s="6"/>
      <c r="AD210" s="7"/>
    </row>
    <row r="211" spans="1:30" ht="15.6" x14ac:dyDescent="0.3">
      <c r="A211" s="4">
        <v>463</v>
      </c>
      <c r="B211" s="5" t="s">
        <v>2152</v>
      </c>
      <c r="C211" s="6" t="s">
        <v>72</v>
      </c>
      <c r="D211" s="5" t="s">
        <v>2153</v>
      </c>
      <c r="E211" s="5" t="s">
        <v>48</v>
      </c>
      <c r="F211" s="6" t="s">
        <v>2154</v>
      </c>
      <c r="G211" s="6" t="s">
        <v>2155</v>
      </c>
      <c r="H211" s="8">
        <v>0</v>
      </c>
      <c r="I211" s="6" t="s">
        <v>877</v>
      </c>
      <c r="J211" s="6" t="s">
        <v>1529</v>
      </c>
      <c r="K211" s="6" t="s">
        <v>2156</v>
      </c>
      <c r="L211" s="8">
        <v>-0.42</v>
      </c>
      <c r="M211" s="6" t="s">
        <v>2157</v>
      </c>
      <c r="N211" s="8">
        <v>-0.42</v>
      </c>
      <c r="O211" s="6" t="s">
        <v>925</v>
      </c>
      <c r="P211" s="6" t="s">
        <v>2158</v>
      </c>
      <c r="Q211" s="6" t="s">
        <v>217</v>
      </c>
      <c r="R211" s="6">
        <v>998</v>
      </c>
      <c r="S211" s="6">
        <v>8</v>
      </c>
      <c r="T211" s="6">
        <v>762</v>
      </c>
      <c r="U211" s="6" t="s">
        <v>217</v>
      </c>
      <c r="V211" s="6"/>
      <c r="W211" s="6"/>
      <c r="X211" s="6"/>
      <c r="Y211" s="6"/>
      <c r="Z211" s="6"/>
      <c r="AA211" s="6"/>
      <c r="AB211" s="6"/>
      <c r="AC211" s="6"/>
      <c r="AD211" s="7"/>
    </row>
    <row r="212" spans="1:30" ht="15.6" x14ac:dyDescent="0.3">
      <c r="A212" s="4">
        <v>464</v>
      </c>
      <c r="B212" s="5" t="s">
        <v>2159</v>
      </c>
      <c r="C212" s="6" t="s">
        <v>85</v>
      </c>
      <c r="D212" s="5" t="s">
        <v>2160</v>
      </c>
      <c r="E212" s="5" t="s">
        <v>48</v>
      </c>
      <c r="F212" s="6" t="s">
        <v>2161</v>
      </c>
      <c r="G212" s="6" t="s">
        <v>2162</v>
      </c>
      <c r="H212" s="8">
        <v>0</v>
      </c>
      <c r="I212" s="8">
        <v>-0.87</v>
      </c>
      <c r="J212" s="6" t="s">
        <v>1453</v>
      </c>
      <c r="K212" s="6" t="s">
        <v>2163</v>
      </c>
      <c r="L212" s="8">
        <v>-0.4</v>
      </c>
      <c r="M212" s="6" t="s">
        <v>2164</v>
      </c>
      <c r="N212" s="8">
        <v>-0.4</v>
      </c>
      <c r="O212" s="6" t="s">
        <v>2165</v>
      </c>
      <c r="P212" s="6" t="s">
        <v>2166</v>
      </c>
      <c r="Q212" s="6" t="s">
        <v>217</v>
      </c>
      <c r="R212" s="6" t="s">
        <v>2167</v>
      </c>
      <c r="S212" s="6">
        <v>50</v>
      </c>
      <c r="T212" s="6" t="s">
        <v>2168</v>
      </c>
      <c r="U212" s="8">
        <v>-0.49</v>
      </c>
      <c r="V212" s="6"/>
      <c r="W212" s="6"/>
      <c r="X212" s="6"/>
      <c r="Y212" s="6"/>
      <c r="Z212" s="6"/>
      <c r="AA212" s="6"/>
      <c r="AB212" s="6"/>
      <c r="AC212" s="6"/>
      <c r="AD212" s="7"/>
    </row>
    <row r="213" spans="1:30" ht="15.6" x14ac:dyDescent="0.3">
      <c r="A213" s="4">
        <v>466</v>
      </c>
      <c r="B213" s="5" t="s">
        <v>2169</v>
      </c>
      <c r="C213" s="6" t="s">
        <v>46</v>
      </c>
      <c r="D213" s="5" t="s">
        <v>2170</v>
      </c>
      <c r="E213" s="5" t="s">
        <v>33</v>
      </c>
      <c r="F213" s="6" t="s">
        <v>2171</v>
      </c>
      <c r="G213" s="6" t="s">
        <v>2172</v>
      </c>
      <c r="H213" s="8">
        <v>0</v>
      </c>
      <c r="I213" s="6" t="s">
        <v>1818</v>
      </c>
      <c r="J213" s="6" t="s">
        <v>199</v>
      </c>
      <c r="K213" s="6" t="s">
        <v>2173</v>
      </c>
      <c r="L213" s="6" t="s">
        <v>2174</v>
      </c>
      <c r="M213" s="6" t="s">
        <v>2175</v>
      </c>
      <c r="N213" s="6" t="s">
        <v>2174</v>
      </c>
      <c r="O213" s="6" t="s">
        <v>2176</v>
      </c>
      <c r="P213" s="6" t="s">
        <v>2177</v>
      </c>
      <c r="Q213" s="6" t="s">
        <v>217</v>
      </c>
      <c r="R213" s="6">
        <v>0</v>
      </c>
      <c r="S213" s="6">
        <v>0</v>
      </c>
      <c r="T213" s="6">
        <v>65</v>
      </c>
      <c r="U213" s="6" t="e">
        <f>+∞%</f>
        <v>#NAME?</v>
      </c>
      <c r="V213" s="6"/>
      <c r="W213" s="6"/>
      <c r="X213" s="6"/>
      <c r="Y213" s="6"/>
      <c r="Z213" s="6"/>
      <c r="AA213" s="6"/>
      <c r="AB213" s="6"/>
      <c r="AC213" s="6"/>
      <c r="AD213" s="7"/>
    </row>
    <row r="214" spans="1:30" ht="15.6" x14ac:dyDescent="0.3">
      <c r="A214" s="4">
        <v>467</v>
      </c>
      <c r="B214" s="5" t="s">
        <v>2178</v>
      </c>
      <c r="C214" s="6" t="s">
        <v>219</v>
      </c>
      <c r="D214" s="5" t="s">
        <v>2179</v>
      </c>
      <c r="E214" s="5" t="s">
        <v>33</v>
      </c>
      <c r="F214" s="6" t="s">
        <v>2180</v>
      </c>
      <c r="G214" s="6" t="s">
        <v>2181</v>
      </c>
      <c r="H214" s="8">
        <v>0</v>
      </c>
      <c r="I214" s="6" t="s">
        <v>2182</v>
      </c>
      <c r="J214" s="6" t="s">
        <v>421</v>
      </c>
      <c r="K214" s="6" t="s">
        <v>2183</v>
      </c>
      <c r="L214" s="8">
        <v>-0.66</v>
      </c>
      <c r="M214" s="6" t="s">
        <v>2184</v>
      </c>
      <c r="N214" s="8">
        <v>-0.66</v>
      </c>
      <c r="O214" s="6" t="s">
        <v>2185</v>
      </c>
      <c r="P214" s="6" t="s">
        <v>2186</v>
      </c>
      <c r="Q214" s="6" t="s">
        <v>217</v>
      </c>
      <c r="R214" s="6">
        <v>170</v>
      </c>
      <c r="S214" s="6">
        <v>1</v>
      </c>
      <c r="T214" s="6" t="s">
        <v>2187</v>
      </c>
      <c r="U214" s="6">
        <f>270%</f>
        <v>2.7</v>
      </c>
      <c r="V214" s="6"/>
      <c r="W214" s="6"/>
      <c r="X214" s="6"/>
      <c r="Y214" s="6"/>
      <c r="Z214" s="6"/>
      <c r="AA214" s="6"/>
      <c r="AB214" s="6"/>
      <c r="AC214" s="6"/>
      <c r="AD214" s="7"/>
    </row>
    <row r="215" spans="1:30" ht="15.6" x14ac:dyDescent="0.3">
      <c r="A215" s="4">
        <v>468</v>
      </c>
      <c r="B215" s="5" t="s">
        <v>2188</v>
      </c>
      <c r="C215" s="6" t="s">
        <v>370</v>
      </c>
      <c r="D215" s="5" t="s">
        <v>2189</v>
      </c>
      <c r="E215" s="5" t="s">
        <v>33</v>
      </c>
      <c r="F215" s="6" t="s">
        <v>2190</v>
      </c>
      <c r="G215" s="6" t="s">
        <v>2191</v>
      </c>
      <c r="H215" s="8">
        <v>0</v>
      </c>
      <c r="I215" s="6" t="s">
        <v>472</v>
      </c>
      <c r="J215" s="6" t="s">
        <v>1479</v>
      </c>
      <c r="K215" s="6" t="s">
        <v>560</v>
      </c>
      <c r="L215" s="8">
        <v>-0.26</v>
      </c>
      <c r="M215" s="6" t="s">
        <v>2192</v>
      </c>
      <c r="N215" s="8">
        <v>-0.26</v>
      </c>
      <c r="O215" s="6" t="s">
        <v>2193</v>
      </c>
      <c r="P215" s="6" t="s">
        <v>2194</v>
      </c>
      <c r="Q215" s="6" t="s">
        <v>217</v>
      </c>
      <c r="R215" s="6">
        <v>94</v>
      </c>
      <c r="S215" s="6">
        <v>3</v>
      </c>
      <c r="T215" s="6" t="s">
        <v>2195</v>
      </c>
      <c r="U215" s="6">
        <f>21%</f>
        <v>0.21</v>
      </c>
      <c r="V215" s="6"/>
      <c r="W215" s="6"/>
      <c r="X215" s="6"/>
      <c r="Y215" s="6"/>
      <c r="Z215" s="6"/>
      <c r="AA215" s="6"/>
      <c r="AB215" s="6"/>
      <c r="AC215" s="6"/>
      <c r="AD215" s="7"/>
    </row>
    <row r="216" spans="1:30" ht="15.6" x14ac:dyDescent="0.3">
      <c r="A216" s="4">
        <v>469</v>
      </c>
      <c r="B216" s="5" t="s">
        <v>2196</v>
      </c>
      <c r="C216" s="6" t="s">
        <v>102</v>
      </c>
      <c r="D216" s="5" t="s">
        <v>2197</v>
      </c>
      <c r="E216" s="5" t="s">
        <v>33</v>
      </c>
      <c r="F216" s="6" t="s">
        <v>2198</v>
      </c>
      <c r="G216" s="6" t="s">
        <v>2199</v>
      </c>
      <c r="H216" s="8">
        <v>0</v>
      </c>
      <c r="I216" s="6" t="s">
        <v>2200</v>
      </c>
      <c r="J216" s="6" t="s">
        <v>236</v>
      </c>
      <c r="K216" s="6" t="s">
        <v>78</v>
      </c>
      <c r="L216" s="8">
        <v>-0.36</v>
      </c>
      <c r="M216" s="6" t="s">
        <v>2201</v>
      </c>
      <c r="N216" s="8">
        <v>-0.36</v>
      </c>
      <c r="O216" s="6" t="s">
        <v>2202</v>
      </c>
      <c r="P216" s="6" t="s">
        <v>2203</v>
      </c>
      <c r="Q216" s="8">
        <v>-0.6</v>
      </c>
      <c r="R216" s="6" t="s">
        <v>2204</v>
      </c>
      <c r="S216" s="6">
        <v>50</v>
      </c>
      <c r="T216" s="6" t="s">
        <v>2205</v>
      </c>
      <c r="U216" s="8">
        <v>-0.6</v>
      </c>
      <c r="V216" s="6"/>
      <c r="W216" s="6"/>
      <c r="X216" s="6"/>
      <c r="Y216" s="6"/>
      <c r="Z216" s="6"/>
      <c r="AA216" s="6"/>
      <c r="AB216" s="6"/>
      <c r="AC216" s="6"/>
      <c r="AD216" s="7"/>
    </row>
    <row r="217" spans="1:30" ht="15.6" x14ac:dyDescent="0.3">
      <c r="A217" s="4">
        <v>470</v>
      </c>
      <c r="B217" s="5" t="s">
        <v>2206</v>
      </c>
      <c r="C217" s="6" t="s">
        <v>126</v>
      </c>
      <c r="D217" s="5" t="s">
        <v>2207</v>
      </c>
      <c r="E217" s="5" t="s">
        <v>48</v>
      </c>
      <c r="F217" s="6" t="s">
        <v>2208</v>
      </c>
      <c r="G217" s="6" t="s">
        <v>2209</v>
      </c>
      <c r="H217" s="8">
        <v>0</v>
      </c>
      <c r="I217" s="8">
        <v>-0.6</v>
      </c>
      <c r="J217" s="6" t="s">
        <v>211</v>
      </c>
      <c r="K217" s="6" t="s">
        <v>2210</v>
      </c>
      <c r="L217" s="8">
        <v>-0.28999999999999998</v>
      </c>
      <c r="M217" s="6" t="s">
        <v>2211</v>
      </c>
      <c r="N217" s="8">
        <v>-0.28999999999999998</v>
      </c>
      <c r="O217" s="6" t="s">
        <v>1977</v>
      </c>
      <c r="P217" s="6" t="s">
        <v>2212</v>
      </c>
      <c r="Q217" s="6" t="s">
        <v>217</v>
      </c>
      <c r="R217" s="6">
        <v>0</v>
      </c>
      <c r="S217" s="6">
        <v>13</v>
      </c>
      <c r="T217" s="6">
        <v>898</v>
      </c>
      <c r="U217" s="6" t="s">
        <v>217</v>
      </c>
      <c r="V217" s="6"/>
      <c r="W217" s="6"/>
      <c r="X217" s="6"/>
      <c r="Y217" s="6"/>
      <c r="Z217" s="6"/>
      <c r="AA217" s="6"/>
      <c r="AB217" s="6"/>
      <c r="AC217" s="6"/>
      <c r="AD217" s="7"/>
    </row>
    <row r="218" spans="1:30" ht="15.6" x14ac:dyDescent="0.3">
      <c r="A218" s="4">
        <v>471</v>
      </c>
      <c r="B218" s="5" t="s">
        <v>2213</v>
      </c>
      <c r="C218" s="6" t="s">
        <v>85</v>
      </c>
      <c r="D218" s="5" t="s">
        <v>2214</v>
      </c>
      <c r="E218" s="5" t="s">
        <v>48</v>
      </c>
      <c r="F218" s="6" t="s">
        <v>2215</v>
      </c>
      <c r="G218" s="6" t="s">
        <v>2216</v>
      </c>
      <c r="H218" s="8">
        <v>0</v>
      </c>
      <c r="I218" s="8">
        <v>-0.49</v>
      </c>
      <c r="J218" s="6" t="s">
        <v>584</v>
      </c>
      <c r="K218" s="6" t="s">
        <v>2217</v>
      </c>
      <c r="L218" s="6">
        <f>30%</f>
        <v>0.3</v>
      </c>
      <c r="M218" s="6" t="s">
        <v>2218</v>
      </c>
      <c r="N218" s="6">
        <f>30%</f>
        <v>0.3</v>
      </c>
      <c r="O218" s="6" t="s">
        <v>2219</v>
      </c>
      <c r="P218" s="6" t="s">
        <v>2220</v>
      </c>
      <c r="Q218" s="6" t="s">
        <v>217</v>
      </c>
      <c r="R218" s="6" t="s">
        <v>2221</v>
      </c>
      <c r="S218" s="6">
        <v>37</v>
      </c>
      <c r="T218" s="6" t="s">
        <v>2222</v>
      </c>
      <c r="U218" s="8">
        <v>-0.72</v>
      </c>
      <c r="V218" s="6"/>
      <c r="W218" s="6"/>
      <c r="X218" s="6"/>
      <c r="Y218" s="6"/>
      <c r="Z218" s="6"/>
      <c r="AA218" s="6"/>
      <c r="AB218" s="6"/>
      <c r="AC218" s="6"/>
      <c r="AD218" s="7"/>
    </row>
    <row r="219" spans="1:30" ht="15.6" x14ac:dyDescent="0.3">
      <c r="A219" s="4">
        <v>472</v>
      </c>
      <c r="B219" s="5" t="s">
        <v>2223</v>
      </c>
      <c r="C219" s="6" t="s">
        <v>85</v>
      </c>
      <c r="D219" s="5" t="s">
        <v>2224</v>
      </c>
      <c r="E219" s="5" t="s">
        <v>48</v>
      </c>
      <c r="F219" s="6" t="s">
        <v>2225</v>
      </c>
      <c r="G219" s="6" t="s">
        <v>2226</v>
      </c>
      <c r="H219" s="8">
        <v>0</v>
      </c>
      <c r="I219" s="8">
        <v>-0.5</v>
      </c>
      <c r="J219" s="6" t="s">
        <v>296</v>
      </c>
      <c r="K219" s="6" t="s">
        <v>2227</v>
      </c>
      <c r="L219" s="8">
        <v>-0.22</v>
      </c>
      <c r="M219" s="6" t="s">
        <v>2228</v>
      </c>
      <c r="N219" s="8">
        <v>-0.22</v>
      </c>
      <c r="O219" s="6" t="s">
        <v>2229</v>
      </c>
      <c r="P219" s="6" t="s">
        <v>1550</v>
      </c>
      <c r="Q219" s="6" t="s">
        <v>217</v>
      </c>
      <c r="R219" s="6" t="s">
        <v>2230</v>
      </c>
      <c r="S219" s="6">
        <v>16</v>
      </c>
      <c r="T219" s="6" t="s">
        <v>2231</v>
      </c>
      <c r="U219" s="6">
        <f>57%</f>
        <v>0.56999999999999995</v>
      </c>
      <c r="V219" s="6"/>
      <c r="W219" s="6"/>
      <c r="X219" s="6"/>
      <c r="Y219" s="6"/>
      <c r="Z219" s="6"/>
      <c r="AA219" s="6"/>
      <c r="AB219" s="6"/>
      <c r="AC219" s="6"/>
      <c r="AD219" s="7"/>
    </row>
    <row r="220" spans="1:30" ht="15.6" x14ac:dyDescent="0.3">
      <c r="A220" s="4">
        <v>473</v>
      </c>
      <c r="B220" s="5" t="s">
        <v>2232</v>
      </c>
      <c r="C220" s="6" t="s">
        <v>1013</v>
      </c>
      <c r="D220" s="5" t="s">
        <v>2233</v>
      </c>
      <c r="E220" s="5" t="s">
        <v>48</v>
      </c>
      <c r="F220" s="6" t="s">
        <v>2234</v>
      </c>
      <c r="G220" s="6" t="s">
        <v>2235</v>
      </c>
      <c r="H220" s="8">
        <v>0</v>
      </c>
      <c r="I220" s="6" t="s">
        <v>1027</v>
      </c>
      <c r="J220" s="6" t="s">
        <v>1059</v>
      </c>
      <c r="K220" s="6" t="s">
        <v>2236</v>
      </c>
      <c r="L220" s="8">
        <v>-0.22</v>
      </c>
      <c r="M220" s="6" t="s">
        <v>2237</v>
      </c>
      <c r="N220" s="8">
        <v>-0.22</v>
      </c>
      <c r="O220" s="6" t="s">
        <v>2238</v>
      </c>
      <c r="P220" s="6" t="s">
        <v>2239</v>
      </c>
      <c r="Q220" s="6">
        <f>14%</f>
        <v>0.14000000000000001</v>
      </c>
      <c r="R220" s="6" t="s">
        <v>2240</v>
      </c>
      <c r="S220" s="6">
        <v>28</v>
      </c>
      <c r="T220" s="6" t="s">
        <v>2241</v>
      </c>
      <c r="U220" s="6" t="s">
        <v>1628</v>
      </c>
      <c r="V220" s="6"/>
      <c r="W220" s="6"/>
      <c r="X220" s="6"/>
      <c r="Y220" s="6"/>
      <c r="Z220" s="6"/>
      <c r="AA220" s="6"/>
      <c r="AB220" s="6"/>
      <c r="AC220" s="6"/>
      <c r="AD220" s="7"/>
    </row>
    <row r="221" spans="1:30" ht="15.6" x14ac:dyDescent="0.3">
      <c r="A221" s="4">
        <v>474</v>
      </c>
      <c r="B221" s="5" t="s">
        <v>2242</v>
      </c>
      <c r="C221" s="6" t="s">
        <v>304</v>
      </c>
      <c r="D221" s="5" t="s">
        <v>2243</v>
      </c>
      <c r="E221" s="5" t="s">
        <v>48</v>
      </c>
      <c r="F221" s="6" t="s">
        <v>2244</v>
      </c>
      <c r="G221" s="6" t="s">
        <v>2245</v>
      </c>
      <c r="H221" s="8">
        <v>0</v>
      </c>
      <c r="I221" s="6" t="s">
        <v>2246</v>
      </c>
      <c r="J221" s="6" t="s">
        <v>250</v>
      </c>
      <c r="K221" s="6" t="s">
        <v>2247</v>
      </c>
      <c r="L221" s="8">
        <v>-0.43</v>
      </c>
      <c r="M221" s="6" t="s">
        <v>2248</v>
      </c>
      <c r="N221" s="8">
        <v>-0.43</v>
      </c>
      <c r="O221" s="6" t="s">
        <v>2249</v>
      </c>
      <c r="P221" s="6" t="s">
        <v>743</v>
      </c>
      <c r="Q221" s="6" t="s">
        <v>217</v>
      </c>
      <c r="R221" s="6">
        <v>294</v>
      </c>
      <c r="S221" s="6">
        <v>6</v>
      </c>
      <c r="T221" s="6">
        <v>267</v>
      </c>
      <c r="U221" s="6">
        <f>180%</f>
        <v>1.8</v>
      </c>
      <c r="V221" s="6"/>
      <c r="W221" s="6"/>
      <c r="X221" s="6"/>
      <c r="Y221" s="6"/>
      <c r="Z221" s="6"/>
      <c r="AA221" s="6"/>
      <c r="AB221" s="6"/>
      <c r="AC221" s="6"/>
      <c r="AD221" s="7"/>
    </row>
    <row r="222" spans="1:30" ht="15.6" x14ac:dyDescent="0.3">
      <c r="A222" s="4">
        <v>475</v>
      </c>
      <c r="B222" s="5" t="s">
        <v>2250</v>
      </c>
      <c r="C222" s="6" t="s">
        <v>820</v>
      </c>
      <c r="D222" s="5" t="s">
        <v>2251</v>
      </c>
      <c r="E222" s="5" t="s">
        <v>48</v>
      </c>
      <c r="F222" s="6" t="s">
        <v>2252</v>
      </c>
      <c r="G222" s="6" t="s">
        <v>2253</v>
      </c>
      <c r="H222" s="8">
        <v>0</v>
      </c>
      <c r="I222" s="6">
        <f>170%</f>
        <v>1.7</v>
      </c>
      <c r="J222" s="6" t="s">
        <v>1071</v>
      </c>
      <c r="K222" s="6" t="s">
        <v>2254</v>
      </c>
      <c r="L222" s="6">
        <f>38%</f>
        <v>0.38</v>
      </c>
      <c r="M222" s="6" t="s">
        <v>2255</v>
      </c>
      <c r="N222" s="6">
        <f>38%</f>
        <v>0.38</v>
      </c>
      <c r="O222" s="6" t="s">
        <v>2256</v>
      </c>
      <c r="P222" s="6" t="s">
        <v>2257</v>
      </c>
      <c r="Q222" s="6" t="s">
        <v>217</v>
      </c>
      <c r="R222" s="6">
        <v>551</v>
      </c>
      <c r="S222" s="6">
        <v>2</v>
      </c>
      <c r="T222" s="6" t="s">
        <v>590</v>
      </c>
      <c r="U222" s="6" t="s">
        <v>9262</v>
      </c>
      <c r="V222" s="6"/>
      <c r="W222" s="6"/>
      <c r="X222" s="6"/>
      <c r="Y222" s="6"/>
      <c r="Z222" s="6"/>
      <c r="AA222" s="6"/>
      <c r="AB222" s="6"/>
      <c r="AC222" s="6"/>
      <c r="AD222" s="7"/>
    </row>
    <row r="223" spans="1:30" ht="15.6" x14ac:dyDescent="0.3">
      <c r="A223" s="4">
        <v>476</v>
      </c>
      <c r="B223" s="5" t="s">
        <v>2258</v>
      </c>
      <c r="C223" s="6" t="s">
        <v>102</v>
      </c>
      <c r="D223" s="5" t="s">
        <v>2259</v>
      </c>
      <c r="E223" s="5" t="s">
        <v>48</v>
      </c>
      <c r="F223" s="6" t="s">
        <v>2260</v>
      </c>
      <c r="G223" s="6" t="s">
        <v>2261</v>
      </c>
      <c r="H223" s="8">
        <v>0</v>
      </c>
      <c r="I223" s="8">
        <v>-0.79</v>
      </c>
      <c r="J223" s="6" t="s">
        <v>550</v>
      </c>
      <c r="K223" s="6" t="s">
        <v>658</v>
      </c>
      <c r="L223" s="8">
        <v>-0.36</v>
      </c>
      <c r="M223" s="6" t="s">
        <v>2262</v>
      </c>
      <c r="N223" s="8">
        <v>-0.36</v>
      </c>
      <c r="O223" s="6" t="s">
        <v>2263</v>
      </c>
      <c r="P223" s="6" t="s">
        <v>2264</v>
      </c>
      <c r="Q223" s="6" t="s">
        <v>217</v>
      </c>
      <c r="R223" s="6" t="s">
        <v>2265</v>
      </c>
      <c r="S223" s="6">
        <v>48</v>
      </c>
      <c r="T223" s="6" t="s">
        <v>2266</v>
      </c>
      <c r="U223" s="8">
        <v>-0.96</v>
      </c>
      <c r="V223" s="6"/>
      <c r="W223" s="6"/>
      <c r="X223" s="6"/>
      <c r="Y223" s="6"/>
      <c r="Z223" s="6"/>
      <c r="AA223" s="6"/>
      <c r="AB223" s="6"/>
      <c r="AC223" s="6"/>
      <c r="AD223" s="7"/>
    </row>
    <row r="224" spans="1:30" ht="15.6" x14ac:dyDescent="0.3">
      <c r="A224" s="4">
        <v>477</v>
      </c>
      <c r="B224" s="5" t="s">
        <v>2267</v>
      </c>
      <c r="C224" s="6" t="s">
        <v>72</v>
      </c>
      <c r="D224" s="5" t="s">
        <v>2268</v>
      </c>
      <c r="E224" s="5" t="s">
        <v>48</v>
      </c>
      <c r="F224" s="6" t="s">
        <v>2269</v>
      </c>
      <c r="G224" s="6" t="s">
        <v>2270</v>
      </c>
      <c r="H224" s="8">
        <v>0</v>
      </c>
      <c r="I224" s="8">
        <v>-0.04</v>
      </c>
      <c r="J224" s="6" t="s">
        <v>973</v>
      </c>
      <c r="K224" s="6" t="s">
        <v>2271</v>
      </c>
      <c r="L224" s="8">
        <v>-0.25</v>
      </c>
      <c r="M224" s="6" t="s">
        <v>2272</v>
      </c>
      <c r="N224" s="8">
        <v>-0.25</v>
      </c>
      <c r="O224" s="6" t="s">
        <v>2273</v>
      </c>
      <c r="P224" s="6" t="s">
        <v>2274</v>
      </c>
      <c r="Q224" s="6" t="s">
        <v>217</v>
      </c>
      <c r="R224" s="6">
        <v>548</v>
      </c>
      <c r="S224" s="6">
        <v>0</v>
      </c>
      <c r="T224" s="6" t="s">
        <v>2275</v>
      </c>
      <c r="U224" s="6">
        <f>170%</f>
        <v>1.7</v>
      </c>
      <c r="V224" s="6"/>
      <c r="W224" s="6"/>
      <c r="X224" s="6"/>
      <c r="Y224" s="6"/>
      <c r="Z224" s="6"/>
      <c r="AA224" s="6"/>
      <c r="AB224" s="6"/>
      <c r="AC224" s="6"/>
      <c r="AD224" s="7"/>
    </row>
    <row r="225" spans="1:30" ht="15.6" x14ac:dyDescent="0.3">
      <c r="A225" s="4">
        <v>478</v>
      </c>
      <c r="B225" s="5" t="s">
        <v>2276</v>
      </c>
      <c r="C225" s="6" t="s">
        <v>2277</v>
      </c>
      <c r="D225" s="5" t="s">
        <v>2278</v>
      </c>
      <c r="E225" s="5" t="s">
        <v>48</v>
      </c>
      <c r="F225" s="6" t="s">
        <v>2279</v>
      </c>
      <c r="G225" s="6" t="s">
        <v>2280</v>
      </c>
      <c r="H225" s="8">
        <v>0</v>
      </c>
      <c r="I225" s="8">
        <v>-0.86</v>
      </c>
      <c r="J225" s="6" t="s">
        <v>1258</v>
      </c>
      <c r="K225" s="6" t="s">
        <v>2281</v>
      </c>
      <c r="L225" s="8">
        <v>-0.57999999999999996</v>
      </c>
      <c r="M225" s="6" t="s">
        <v>2282</v>
      </c>
      <c r="N225" s="8">
        <v>-0.57999999999999996</v>
      </c>
      <c r="O225" s="6" t="s">
        <v>2283</v>
      </c>
      <c r="P225" s="6" t="s">
        <v>2222</v>
      </c>
      <c r="Q225" s="6" t="s">
        <v>217</v>
      </c>
      <c r="R225" s="6">
        <v>521</v>
      </c>
      <c r="S225" s="6">
        <v>6</v>
      </c>
      <c r="T225" s="6">
        <v>132</v>
      </c>
      <c r="U225" s="8">
        <v>-0.26</v>
      </c>
      <c r="V225" s="6"/>
      <c r="W225" s="6"/>
      <c r="X225" s="6"/>
      <c r="Y225" s="6"/>
      <c r="Z225" s="6"/>
      <c r="AA225" s="6"/>
      <c r="AB225" s="6"/>
      <c r="AC225" s="6"/>
      <c r="AD225" s="7"/>
    </row>
    <row r="226" spans="1:30" ht="15.6" x14ac:dyDescent="0.3">
      <c r="A226" s="4">
        <v>479</v>
      </c>
      <c r="B226" s="5" t="s">
        <v>2284</v>
      </c>
      <c r="C226" s="6" t="s">
        <v>1244</v>
      </c>
      <c r="D226" s="5" t="s">
        <v>2285</v>
      </c>
      <c r="E226" s="5" t="s">
        <v>48</v>
      </c>
      <c r="F226" s="6" t="s">
        <v>2286</v>
      </c>
      <c r="G226" s="6" t="s">
        <v>2287</v>
      </c>
      <c r="H226" s="8">
        <v>0</v>
      </c>
      <c r="I226" s="8">
        <v>-0.93</v>
      </c>
      <c r="J226" s="6" t="s">
        <v>36</v>
      </c>
      <c r="K226" s="6" t="s">
        <v>2288</v>
      </c>
      <c r="L226" s="8">
        <v>-0.12</v>
      </c>
      <c r="M226" s="6" t="s">
        <v>2289</v>
      </c>
      <c r="N226" s="8">
        <v>-0.12</v>
      </c>
      <c r="O226" s="6" t="s">
        <v>2290</v>
      </c>
      <c r="P226" s="6" t="s">
        <v>2291</v>
      </c>
      <c r="Q226" s="6" t="s">
        <v>217</v>
      </c>
      <c r="R226" s="6">
        <v>62</v>
      </c>
      <c r="S226" s="6">
        <v>0</v>
      </c>
      <c r="T226" s="6">
        <v>89</v>
      </c>
      <c r="U226" s="6">
        <f>38%</f>
        <v>0.38</v>
      </c>
      <c r="V226" s="6"/>
      <c r="W226" s="6"/>
      <c r="X226" s="6"/>
      <c r="Y226" s="6"/>
      <c r="Z226" s="6"/>
      <c r="AA226" s="6"/>
      <c r="AB226" s="6"/>
      <c r="AC226" s="6"/>
      <c r="AD226" s="7"/>
    </row>
    <row r="227" spans="1:30" ht="15.6" x14ac:dyDescent="0.3">
      <c r="A227" s="4">
        <v>480</v>
      </c>
      <c r="B227" s="5" t="s">
        <v>2292</v>
      </c>
      <c r="C227" s="6" t="s">
        <v>31</v>
      </c>
      <c r="D227" s="5" t="s">
        <v>2293</v>
      </c>
      <c r="E227" s="5" t="s">
        <v>48</v>
      </c>
      <c r="F227" s="6" t="s">
        <v>2294</v>
      </c>
      <c r="G227" s="6" t="s">
        <v>2295</v>
      </c>
      <c r="H227" s="8">
        <v>0</v>
      </c>
      <c r="I227" s="8">
        <v>-0.88</v>
      </c>
      <c r="J227" s="6" t="s">
        <v>1238</v>
      </c>
      <c r="K227" s="6" t="s">
        <v>2183</v>
      </c>
      <c r="L227" s="8">
        <v>-0.14000000000000001</v>
      </c>
      <c r="M227" s="6" t="s">
        <v>2296</v>
      </c>
      <c r="N227" s="8">
        <v>-0.18</v>
      </c>
      <c r="O227" s="6" t="s">
        <v>2297</v>
      </c>
      <c r="P227" s="6" t="s">
        <v>2298</v>
      </c>
      <c r="Q227" s="6" t="s">
        <v>217</v>
      </c>
      <c r="R227" s="6" t="s">
        <v>2299</v>
      </c>
      <c r="S227" s="6">
        <v>11</v>
      </c>
      <c r="T227" s="6">
        <v>563</v>
      </c>
      <c r="U227" s="6">
        <f>16%</f>
        <v>0.16</v>
      </c>
      <c r="V227" s="6"/>
      <c r="W227" s="6"/>
      <c r="X227" s="6"/>
      <c r="Y227" s="6"/>
      <c r="Z227" s="6"/>
      <c r="AA227" s="6"/>
      <c r="AB227" s="6"/>
      <c r="AC227" s="6"/>
      <c r="AD227" s="7"/>
    </row>
    <row r="228" spans="1:30" ht="15.6" x14ac:dyDescent="0.3">
      <c r="A228" s="4">
        <v>481</v>
      </c>
      <c r="B228" s="5" t="s">
        <v>2300</v>
      </c>
      <c r="C228" s="6" t="s">
        <v>1408</v>
      </c>
      <c r="D228" s="5" t="s">
        <v>2301</v>
      </c>
      <c r="E228" s="5" t="s">
        <v>48</v>
      </c>
      <c r="F228" s="6" t="s">
        <v>2302</v>
      </c>
      <c r="G228" s="6" t="s">
        <v>2303</v>
      </c>
      <c r="H228" s="8">
        <v>0</v>
      </c>
      <c r="I228" s="8">
        <v>-0.87</v>
      </c>
      <c r="J228" s="6" t="s">
        <v>1491</v>
      </c>
      <c r="K228" s="6" t="s">
        <v>2304</v>
      </c>
      <c r="L228" s="6" t="s">
        <v>217</v>
      </c>
      <c r="M228" s="6" t="s">
        <v>2305</v>
      </c>
      <c r="N228" s="8">
        <v>-0.14000000000000001</v>
      </c>
      <c r="O228" s="6" t="s">
        <v>2306</v>
      </c>
      <c r="P228" s="10">
        <v>45918</v>
      </c>
      <c r="Q228" s="6" t="s">
        <v>217</v>
      </c>
      <c r="R228" s="6">
        <v>93</v>
      </c>
      <c r="S228" s="6">
        <v>0</v>
      </c>
      <c r="T228" s="6">
        <v>201</v>
      </c>
      <c r="U228" s="8">
        <v>-0.5</v>
      </c>
      <c r="V228" s="6"/>
      <c r="W228" s="6"/>
      <c r="X228" s="6"/>
      <c r="Y228" s="6"/>
      <c r="Z228" s="6"/>
      <c r="AA228" s="6"/>
      <c r="AB228" s="6"/>
      <c r="AC228" s="6"/>
      <c r="AD228" s="7"/>
    </row>
    <row r="229" spans="1:30" ht="15.6" x14ac:dyDescent="0.3">
      <c r="A229" s="4">
        <v>482</v>
      </c>
      <c r="B229" s="5" t="s">
        <v>2307</v>
      </c>
      <c r="C229" s="6" t="s">
        <v>1013</v>
      </c>
      <c r="D229" s="5" t="s">
        <v>2308</v>
      </c>
      <c r="E229" s="5" t="s">
        <v>48</v>
      </c>
      <c r="F229" s="6" t="s">
        <v>2309</v>
      </c>
      <c r="G229" s="6" t="s">
        <v>2310</v>
      </c>
      <c r="H229" s="8">
        <v>0</v>
      </c>
      <c r="I229" s="8">
        <v>-0.8</v>
      </c>
      <c r="J229" s="6" t="s">
        <v>1390</v>
      </c>
      <c r="K229" s="6" t="s">
        <v>2311</v>
      </c>
      <c r="L229" s="8">
        <v>-0.36</v>
      </c>
      <c r="M229" s="6" t="s">
        <v>2312</v>
      </c>
      <c r="N229" s="8">
        <v>-0.36</v>
      </c>
      <c r="O229" s="6" t="s">
        <v>2313</v>
      </c>
      <c r="P229" s="6" t="s">
        <v>2314</v>
      </c>
      <c r="Q229" s="6" t="s">
        <v>217</v>
      </c>
      <c r="R229" s="6">
        <v>42</v>
      </c>
      <c r="S229" s="6">
        <v>0</v>
      </c>
      <c r="T229" s="6">
        <v>106</v>
      </c>
      <c r="U229" s="6">
        <f>150%</f>
        <v>1.5</v>
      </c>
      <c r="V229" s="6"/>
      <c r="W229" s="6"/>
      <c r="X229" s="6"/>
      <c r="Y229" s="6"/>
      <c r="Z229" s="6"/>
      <c r="AA229" s="6"/>
      <c r="AB229" s="6"/>
      <c r="AC229" s="6"/>
      <c r="AD229" s="7"/>
    </row>
    <row r="230" spans="1:30" ht="15.6" x14ac:dyDescent="0.3">
      <c r="A230" s="4">
        <v>483</v>
      </c>
      <c r="B230" s="5" t="s">
        <v>2315</v>
      </c>
      <c r="C230" s="6" t="s">
        <v>304</v>
      </c>
      <c r="D230" s="5" t="s">
        <v>2316</v>
      </c>
      <c r="E230" s="5" t="s">
        <v>48</v>
      </c>
      <c r="F230" s="6" t="s">
        <v>2317</v>
      </c>
      <c r="G230" s="6" t="s">
        <v>2318</v>
      </c>
      <c r="H230" s="8">
        <v>0</v>
      </c>
      <c r="I230" s="6" t="s">
        <v>877</v>
      </c>
      <c r="J230" s="6" t="s">
        <v>1453</v>
      </c>
      <c r="K230" s="6" t="s">
        <v>2319</v>
      </c>
      <c r="L230" s="8">
        <v>-0.2</v>
      </c>
      <c r="M230" s="6" t="s">
        <v>2320</v>
      </c>
      <c r="N230" s="8">
        <v>-0.2</v>
      </c>
      <c r="O230" s="6" t="s">
        <v>2321</v>
      </c>
      <c r="P230" s="6" t="s">
        <v>2322</v>
      </c>
      <c r="Q230" s="6">
        <f>150%</f>
        <v>1.5</v>
      </c>
      <c r="R230" s="6">
        <v>317</v>
      </c>
      <c r="S230" s="6">
        <v>2</v>
      </c>
      <c r="T230" s="6">
        <v>234</v>
      </c>
      <c r="U230" s="6">
        <f>3.1%</f>
        <v>3.1E-2</v>
      </c>
      <c r="V230" s="6"/>
      <c r="W230" s="6"/>
      <c r="X230" s="6"/>
      <c r="Y230" s="6"/>
      <c r="Z230" s="6"/>
      <c r="AA230" s="6"/>
      <c r="AB230" s="6"/>
      <c r="AC230" s="6"/>
      <c r="AD230" s="7"/>
    </row>
    <row r="231" spans="1:30" ht="15.6" x14ac:dyDescent="0.3">
      <c r="A231" s="4">
        <v>484</v>
      </c>
      <c r="B231" s="5" t="s">
        <v>2323</v>
      </c>
      <c r="C231" s="6" t="s">
        <v>567</v>
      </c>
      <c r="D231" s="5" t="s">
        <v>2324</v>
      </c>
      <c r="E231" s="5" t="s">
        <v>48</v>
      </c>
      <c r="F231" s="6" t="s">
        <v>2325</v>
      </c>
      <c r="G231" s="6" t="s">
        <v>2326</v>
      </c>
      <c r="H231" s="8">
        <v>0</v>
      </c>
      <c r="I231" s="8">
        <v>-0.85</v>
      </c>
      <c r="J231" s="6" t="s">
        <v>177</v>
      </c>
      <c r="K231" s="6" t="s">
        <v>2327</v>
      </c>
      <c r="L231" s="8">
        <v>-0.32</v>
      </c>
      <c r="M231" s="6" t="s">
        <v>2328</v>
      </c>
      <c r="N231" s="8">
        <v>-0.32</v>
      </c>
      <c r="O231" s="6" t="s">
        <v>2329</v>
      </c>
      <c r="P231" s="6" t="s">
        <v>2330</v>
      </c>
      <c r="Q231" s="6" t="s">
        <v>217</v>
      </c>
      <c r="R231" s="6">
        <v>638</v>
      </c>
      <c r="S231" s="6">
        <v>6</v>
      </c>
      <c r="T231" s="6">
        <v>658</v>
      </c>
      <c r="U231" s="6" t="s">
        <v>217</v>
      </c>
      <c r="V231" s="6"/>
      <c r="W231" s="6"/>
      <c r="X231" s="6"/>
      <c r="Y231" s="6"/>
      <c r="Z231" s="6"/>
      <c r="AA231" s="6"/>
      <c r="AB231" s="6"/>
      <c r="AC231" s="6"/>
      <c r="AD231" s="7"/>
    </row>
    <row r="232" spans="1:30" ht="15.6" x14ac:dyDescent="0.3">
      <c r="A232" s="4">
        <v>485</v>
      </c>
      <c r="B232" s="5" t="s">
        <v>2331</v>
      </c>
      <c r="C232" s="6" t="s">
        <v>126</v>
      </c>
      <c r="D232" s="5" t="s">
        <v>2332</v>
      </c>
      <c r="E232" s="5" t="s">
        <v>48</v>
      </c>
      <c r="F232" s="6" t="s">
        <v>2333</v>
      </c>
      <c r="G232" s="6" t="s">
        <v>2334</v>
      </c>
      <c r="H232" s="8">
        <v>0</v>
      </c>
      <c r="I232" s="8">
        <v>-0.51</v>
      </c>
      <c r="J232" s="6" t="s">
        <v>2009</v>
      </c>
      <c r="K232" s="6" t="s">
        <v>1699</v>
      </c>
      <c r="L232" s="8">
        <v>-0.46</v>
      </c>
      <c r="M232" s="6" t="s">
        <v>2335</v>
      </c>
      <c r="N232" s="8">
        <v>-0.46</v>
      </c>
      <c r="O232" s="6" t="s">
        <v>2336</v>
      </c>
      <c r="P232" s="6" t="s">
        <v>2337</v>
      </c>
      <c r="Q232" s="6" t="s">
        <v>217</v>
      </c>
      <c r="R232" s="6">
        <v>304</v>
      </c>
      <c r="S232" s="6">
        <v>7</v>
      </c>
      <c r="T232" s="6">
        <v>567</v>
      </c>
      <c r="U232" s="8">
        <v>-0.5</v>
      </c>
      <c r="V232" s="6"/>
      <c r="W232" s="6"/>
      <c r="X232" s="6"/>
      <c r="Y232" s="6"/>
      <c r="Z232" s="6"/>
      <c r="AA232" s="6"/>
      <c r="AB232" s="6"/>
      <c r="AC232" s="6"/>
      <c r="AD232" s="7"/>
    </row>
    <row r="233" spans="1:30" ht="15.6" x14ac:dyDescent="0.3">
      <c r="A233" s="4">
        <v>486</v>
      </c>
      <c r="B233" s="5" t="s">
        <v>2338</v>
      </c>
      <c r="C233" s="6" t="s">
        <v>304</v>
      </c>
      <c r="D233" s="5" t="s">
        <v>2339</v>
      </c>
      <c r="E233" s="5" t="s">
        <v>48</v>
      </c>
      <c r="F233" s="6" t="s">
        <v>2340</v>
      </c>
      <c r="G233" s="6" t="s">
        <v>2341</v>
      </c>
      <c r="H233" s="8">
        <v>0</v>
      </c>
      <c r="I233" s="8">
        <v>-0.86</v>
      </c>
      <c r="J233" s="6" t="s">
        <v>1529</v>
      </c>
      <c r="K233" s="6" t="s">
        <v>2342</v>
      </c>
      <c r="L233" s="8">
        <v>-0.12</v>
      </c>
      <c r="M233" s="6" t="s">
        <v>2343</v>
      </c>
      <c r="N233" s="8">
        <v>-0.12</v>
      </c>
      <c r="O233" s="6" t="s">
        <v>2344</v>
      </c>
      <c r="P233" s="6" t="s">
        <v>2345</v>
      </c>
      <c r="Q233" s="6" t="s">
        <v>217</v>
      </c>
      <c r="R233" s="6" t="s">
        <v>622</v>
      </c>
      <c r="S233" s="6">
        <v>56</v>
      </c>
      <c r="T233" s="6">
        <v>80</v>
      </c>
      <c r="U233" s="6" t="s">
        <v>217</v>
      </c>
      <c r="V233" s="6"/>
      <c r="W233" s="6"/>
      <c r="X233" s="6"/>
      <c r="Y233" s="6"/>
      <c r="Z233" s="6"/>
      <c r="AA233" s="6"/>
      <c r="AB233" s="6"/>
      <c r="AC233" s="6"/>
      <c r="AD233" s="7"/>
    </row>
    <row r="234" spans="1:30" ht="15.6" x14ac:dyDescent="0.3">
      <c r="A234" s="4">
        <v>487</v>
      </c>
      <c r="B234" s="5" t="s">
        <v>2346</v>
      </c>
      <c r="C234" s="6" t="s">
        <v>304</v>
      </c>
      <c r="D234" s="5" t="s">
        <v>2347</v>
      </c>
      <c r="E234" s="5" t="s">
        <v>48</v>
      </c>
      <c r="F234" s="6" t="s">
        <v>2348</v>
      </c>
      <c r="G234" s="6" t="s">
        <v>2349</v>
      </c>
      <c r="H234" s="8">
        <v>0</v>
      </c>
      <c r="I234" s="6" t="s">
        <v>2350</v>
      </c>
      <c r="J234" s="6" t="s">
        <v>250</v>
      </c>
      <c r="K234" s="6" t="s">
        <v>2351</v>
      </c>
      <c r="L234" s="8">
        <v>-0.15</v>
      </c>
      <c r="M234" s="6" t="s">
        <v>2352</v>
      </c>
      <c r="N234" s="8">
        <v>-0.15</v>
      </c>
      <c r="O234" s="6" t="s">
        <v>2353</v>
      </c>
      <c r="P234" s="6" t="s">
        <v>217</v>
      </c>
      <c r="Q234" s="6" t="s">
        <v>217</v>
      </c>
      <c r="R234" s="6">
        <v>145</v>
      </c>
      <c r="S234" s="6">
        <v>5</v>
      </c>
      <c r="T234" s="6">
        <v>161</v>
      </c>
      <c r="U234" s="6" t="s">
        <v>217</v>
      </c>
      <c r="V234" s="6"/>
      <c r="W234" s="6"/>
      <c r="X234" s="6"/>
      <c r="Y234" s="6"/>
      <c r="Z234" s="6"/>
      <c r="AA234" s="6"/>
      <c r="AB234" s="6"/>
      <c r="AC234" s="6"/>
      <c r="AD234" s="7"/>
    </row>
    <row r="235" spans="1:30" ht="15.6" x14ac:dyDescent="0.3">
      <c r="A235" s="4">
        <v>488</v>
      </c>
      <c r="B235" s="5" t="s">
        <v>2354</v>
      </c>
      <c r="C235" s="6" t="s">
        <v>546</v>
      </c>
      <c r="D235" s="5" t="s">
        <v>2355</v>
      </c>
      <c r="E235" s="5" t="s">
        <v>48</v>
      </c>
      <c r="F235" s="6" t="s">
        <v>2356</v>
      </c>
      <c r="G235" s="6" t="s">
        <v>2357</v>
      </c>
      <c r="H235" s="8">
        <v>0</v>
      </c>
      <c r="I235" s="6" t="s">
        <v>2358</v>
      </c>
      <c r="J235" s="6" t="s">
        <v>1443</v>
      </c>
      <c r="K235" s="6" t="s">
        <v>2359</v>
      </c>
      <c r="L235" s="6" t="s">
        <v>217</v>
      </c>
      <c r="M235" s="6" t="s">
        <v>2360</v>
      </c>
      <c r="N235" s="8">
        <v>-0.12</v>
      </c>
      <c r="O235" s="6" t="s">
        <v>2361</v>
      </c>
      <c r="P235" s="6" t="s">
        <v>2362</v>
      </c>
      <c r="Q235" s="6" t="s">
        <v>217</v>
      </c>
      <c r="R235" s="6">
        <v>86</v>
      </c>
      <c r="S235" s="6">
        <v>0</v>
      </c>
      <c r="T235" s="6">
        <v>102</v>
      </c>
      <c r="U235" s="6" t="e">
        <f>+∞%</f>
        <v>#NAME?</v>
      </c>
      <c r="V235" s="6"/>
      <c r="W235" s="6"/>
      <c r="X235" s="6"/>
      <c r="Y235" s="6"/>
      <c r="Z235" s="6"/>
      <c r="AA235" s="6"/>
      <c r="AB235" s="6"/>
      <c r="AC235" s="6"/>
      <c r="AD235" s="7"/>
    </row>
    <row r="236" spans="1:30" ht="15.6" x14ac:dyDescent="0.3">
      <c r="A236" s="4">
        <v>489</v>
      </c>
      <c r="B236" s="5" t="s">
        <v>2363</v>
      </c>
      <c r="C236" s="6" t="s">
        <v>148</v>
      </c>
      <c r="D236" s="5" t="s">
        <v>2364</v>
      </c>
      <c r="E236" s="5" t="s">
        <v>48</v>
      </c>
      <c r="F236" s="6" t="s">
        <v>2365</v>
      </c>
      <c r="G236" s="6" t="s">
        <v>2366</v>
      </c>
      <c r="H236" s="8">
        <v>0</v>
      </c>
      <c r="I236" s="8">
        <v>-0.77</v>
      </c>
      <c r="J236" s="6" t="s">
        <v>517</v>
      </c>
      <c r="K236" s="6" t="s">
        <v>2367</v>
      </c>
      <c r="L236" s="8">
        <v>-0.35</v>
      </c>
      <c r="M236" s="6" t="s">
        <v>2368</v>
      </c>
      <c r="N236" s="8">
        <v>-0.35</v>
      </c>
      <c r="O236" s="6" t="s">
        <v>2369</v>
      </c>
      <c r="P236" s="6" t="s">
        <v>2370</v>
      </c>
      <c r="Q236" s="6" t="s">
        <v>217</v>
      </c>
      <c r="R236" s="6" t="s">
        <v>2371</v>
      </c>
      <c r="S236" s="6">
        <v>5</v>
      </c>
      <c r="T236" s="6" t="s">
        <v>2372</v>
      </c>
      <c r="U236" s="8">
        <v>-0.96</v>
      </c>
      <c r="V236" s="6"/>
      <c r="W236" s="6"/>
      <c r="X236" s="6"/>
      <c r="Y236" s="6"/>
      <c r="Z236" s="6"/>
      <c r="AA236" s="6"/>
      <c r="AB236" s="6"/>
      <c r="AC236" s="6"/>
      <c r="AD236" s="7"/>
    </row>
    <row r="237" spans="1:30" ht="15.6" x14ac:dyDescent="0.3">
      <c r="A237" s="4">
        <v>490</v>
      </c>
      <c r="B237" s="5" t="s">
        <v>2373</v>
      </c>
      <c r="C237" s="6" t="s">
        <v>114</v>
      </c>
      <c r="D237" s="5" t="s">
        <v>2374</v>
      </c>
      <c r="E237" s="5" t="s">
        <v>48</v>
      </c>
      <c r="F237" s="6" t="s">
        <v>2375</v>
      </c>
      <c r="G237" s="6" t="s">
        <v>2376</v>
      </c>
      <c r="H237" s="8">
        <v>0</v>
      </c>
      <c r="I237" s="6" t="s">
        <v>1593</v>
      </c>
      <c r="J237" s="6" t="s">
        <v>984</v>
      </c>
      <c r="K237" s="6" t="s">
        <v>2377</v>
      </c>
      <c r="L237" s="8">
        <v>-0.23</v>
      </c>
      <c r="M237" s="6" t="s">
        <v>2378</v>
      </c>
      <c r="N237" s="8">
        <v>-0.23</v>
      </c>
      <c r="O237" s="6" t="s">
        <v>2379</v>
      </c>
      <c r="P237" s="6" t="s">
        <v>217</v>
      </c>
      <c r="Q237" s="6" t="s">
        <v>217</v>
      </c>
      <c r="R237" s="6">
        <v>71</v>
      </c>
      <c r="S237" s="6">
        <v>0</v>
      </c>
      <c r="T237" s="6">
        <v>451</v>
      </c>
      <c r="U237" s="6" t="s">
        <v>217</v>
      </c>
      <c r="V237" s="6"/>
      <c r="W237" s="6"/>
      <c r="X237" s="6"/>
      <c r="Y237" s="6"/>
      <c r="Z237" s="6"/>
      <c r="AA237" s="6"/>
      <c r="AB237" s="6"/>
      <c r="AC237" s="6"/>
      <c r="AD237" s="7"/>
    </row>
    <row r="238" spans="1:30" ht="15.6" x14ac:dyDescent="0.3">
      <c r="A238" s="4">
        <v>491</v>
      </c>
      <c r="B238" s="5" t="s">
        <v>2380</v>
      </c>
      <c r="C238" s="6" t="s">
        <v>267</v>
      </c>
      <c r="D238" s="5" t="s">
        <v>2381</v>
      </c>
      <c r="E238" s="5" t="s">
        <v>48</v>
      </c>
      <c r="F238" s="6" t="s">
        <v>2382</v>
      </c>
      <c r="G238" s="6" t="s">
        <v>2383</v>
      </c>
      <c r="H238" s="8">
        <v>0</v>
      </c>
      <c r="I238" s="6" t="s">
        <v>710</v>
      </c>
      <c r="J238" s="6" t="s">
        <v>1443</v>
      </c>
      <c r="K238" s="6" t="s">
        <v>2384</v>
      </c>
      <c r="L238" s="6" t="s">
        <v>217</v>
      </c>
      <c r="M238" s="6" t="s">
        <v>2385</v>
      </c>
      <c r="N238" s="8">
        <v>-0.14000000000000001</v>
      </c>
      <c r="O238" s="6" t="s">
        <v>2386</v>
      </c>
      <c r="P238" s="6" t="s">
        <v>217</v>
      </c>
      <c r="Q238" s="6" t="s">
        <v>217</v>
      </c>
      <c r="R238" s="6">
        <v>166</v>
      </c>
      <c r="S238" s="6">
        <v>13</v>
      </c>
      <c r="T238" s="6">
        <v>186</v>
      </c>
      <c r="U238" s="6" t="s">
        <v>217</v>
      </c>
      <c r="V238" s="6"/>
      <c r="W238" s="6"/>
      <c r="X238" s="6"/>
      <c r="Y238" s="6"/>
      <c r="Z238" s="6"/>
      <c r="AA238" s="6"/>
      <c r="AB238" s="6"/>
      <c r="AC238" s="6"/>
      <c r="AD238" s="7"/>
    </row>
    <row r="239" spans="1:30" ht="15.6" x14ac:dyDescent="0.3">
      <c r="A239" s="4">
        <v>492</v>
      </c>
      <c r="B239" s="5" t="s">
        <v>2387</v>
      </c>
      <c r="C239" s="6" t="s">
        <v>173</v>
      </c>
      <c r="D239" s="5" t="s">
        <v>2388</v>
      </c>
      <c r="E239" s="5" t="s">
        <v>48</v>
      </c>
      <c r="F239" s="6" t="s">
        <v>2389</v>
      </c>
      <c r="G239" s="6" t="s">
        <v>2390</v>
      </c>
      <c r="H239" s="8">
        <v>0</v>
      </c>
      <c r="I239" s="6" t="s">
        <v>2391</v>
      </c>
      <c r="J239" s="6" t="s">
        <v>272</v>
      </c>
      <c r="K239" s="6" t="s">
        <v>2392</v>
      </c>
      <c r="L239" s="6" t="s">
        <v>217</v>
      </c>
      <c r="M239" s="6" t="s">
        <v>2393</v>
      </c>
      <c r="N239" s="6">
        <f>3.4%</f>
        <v>3.4000000000000002E-2</v>
      </c>
      <c r="O239" s="6" t="s">
        <v>2386</v>
      </c>
      <c r="P239" s="6" t="s">
        <v>1020</v>
      </c>
      <c r="Q239" s="6" t="s">
        <v>217</v>
      </c>
      <c r="R239" s="6">
        <v>238</v>
      </c>
      <c r="S239" s="6">
        <v>2</v>
      </c>
      <c r="T239" s="6">
        <v>78</v>
      </c>
      <c r="U239" s="6" t="s">
        <v>9262</v>
      </c>
      <c r="V239" s="6"/>
      <c r="W239" s="6"/>
      <c r="X239" s="6"/>
      <c r="Y239" s="6"/>
      <c r="Z239" s="6"/>
      <c r="AA239" s="6"/>
      <c r="AB239" s="6"/>
      <c r="AC239" s="6"/>
      <c r="AD239" s="7"/>
    </row>
    <row r="240" spans="1:30" ht="15.6" x14ac:dyDescent="0.3">
      <c r="A240" s="4">
        <v>493</v>
      </c>
      <c r="B240" s="5" t="s">
        <v>2394</v>
      </c>
      <c r="C240" s="6" t="s">
        <v>85</v>
      </c>
      <c r="D240" s="5" t="s">
        <v>2395</v>
      </c>
      <c r="E240" s="5" t="s">
        <v>48</v>
      </c>
      <c r="F240" s="6" t="s">
        <v>2396</v>
      </c>
      <c r="G240" s="6" t="s">
        <v>2397</v>
      </c>
      <c r="H240" s="8">
        <v>0</v>
      </c>
      <c r="I240" s="8">
        <v>-1</v>
      </c>
      <c r="J240" s="6" t="s">
        <v>846</v>
      </c>
      <c r="K240" s="6" t="s">
        <v>2398</v>
      </c>
      <c r="L240" s="8">
        <v>-0.37</v>
      </c>
      <c r="M240" s="6" t="s">
        <v>2399</v>
      </c>
      <c r="N240" s="8">
        <v>-0.37</v>
      </c>
      <c r="O240" s="6" t="s">
        <v>2400</v>
      </c>
      <c r="P240" s="6" t="s">
        <v>2401</v>
      </c>
      <c r="Q240" s="6" t="s">
        <v>217</v>
      </c>
      <c r="R240" s="6" t="s">
        <v>2402</v>
      </c>
      <c r="S240" s="6">
        <v>12</v>
      </c>
      <c r="T240" s="6">
        <v>57</v>
      </c>
      <c r="U240" s="8">
        <v>-0.52</v>
      </c>
      <c r="V240" s="6"/>
      <c r="W240" s="6"/>
      <c r="X240" s="6"/>
      <c r="Y240" s="6"/>
      <c r="Z240" s="6"/>
      <c r="AA240" s="6"/>
      <c r="AB240" s="6"/>
      <c r="AC240" s="6"/>
      <c r="AD240" s="7"/>
    </row>
    <row r="241" spans="1:30" ht="15.6" x14ac:dyDescent="0.3">
      <c r="A241" s="4">
        <v>494</v>
      </c>
      <c r="B241" s="5" t="s">
        <v>2403</v>
      </c>
      <c r="C241" s="6" t="s">
        <v>567</v>
      </c>
      <c r="D241" s="5" t="s">
        <v>2404</v>
      </c>
      <c r="E241" s="5" t="s">
        <v>48</v>
      </c>
      <c r="F241" s="6" t="s">
        <v>2405</v>
      </c>
      <c r="G241" s="6" t="s">
        <v>2406</v>
      </c>
      <c r="H241" s="8">
        <v>0</v>
      </c>
      <c r="I241" s="8">
        <v>-0.99</v>
      </c>
      <c r="J241" s="6" t="s">
        <v>1258</v>
      </c>
      <c r="K241" s="6" t="s">
        <v>1922</v>
      </c>
      <c r="L241" s="8">
        <v>-0.11</v>
      </c>
      <c r="M241" s="6" t="s">
        <v>1923</v>
      </c>
      <c r="N241" s="8">
        <v>-0.12</v>
      </c>
      <c r="O241" s="6" t="s">
        <v>2407</v>
      </c>
      <c r="P241" s="6" t="s">
        <v>2408</v>
      </c>
      <c r="Q241" s="6" t="s">
        <v>217</v>
      </c>
      <c r="R241" s="6">
        <v>203</v>
      </c>
      <c r="S241" s="6">
        <v>14</v>
      </c>
      <c r="T241" s="6">
        <v>292</v>
      </c>
      <c r="U241" s="8">
        <v>-0.73</v>
      </c>
      <c r="V241" s="6"/>
      <c r="W241" s="6"/>
      <c r="X241" s="6"/>
      <c r="Y241" s="6"/>
      <c r="Z241" s="6"/>
      <c r="AA241" s="6"/>
      <c r="AB241" s="6"/>
      <c r="AC241" s="6"/>
      <c r="AD241" s="7"/>
    </row>
    <row r="242" spans="1:30" ht="15.6" x14ac:dyDescent="0.3">
      <c r="A242" s="4">
        <v>495</v>
      </c>
      <c r="B242" s="5" t="s">
        <v>2409</v>
      </c>
      <c r="C242" s="6" t="s">
        <v>72</v>
      </c>
      <c r="D242" s="5" t="s">
        <v>2410</v>
      </c>
      <c r="E242" s="5" t="s">
        <v>48</v>
      </c>
      <c r="F242" s="6" t="s">
        <v>2411</v>
      </c>
      <c r="G242" s="6" t="s">
        <v>2412</v>
      </c>
      <c r="H242" s="8">
        <v>0</v>
      </c>
      <c r="I242" s="8">
        <v>-0.18</v>
      </c>
      <c r="J242" s="6" t="s">
        <v>550</v>
      </c>
      <c r="K242" s="6" t="s">
        <v>2413</v>
      </c>
      <c r="L242" s="8">
        <v>-0.13</v>
      </c>
      <c r="M242" s="6" t="s">
        <v>2414</v>
      </c>
      <c r="N242" s="8">
        <v>-0.13</v>
      </c>
      <c r="O242" s="6" t="s">
        <v>2415</v>
      </c>
      <c r="P242" s="6" t="s">
        <v>2416</v>
      </c>
      <c r="Q242" s="6" t="s">
        <v>217</v>
      </c>
      <c r="R242" s="6" t="s">
        <v>2417</v>
      </c>
      <c r="S242" s="6">
        <v>7</v>
      </c>
      <c r="T242" s="6" t="s">
        <v>2418</v>
      </c>
      <c r="U242" s="6" t="s">
        <v>217</v>
      </c>
      <c r="V242" s="6"/>
      <c r="W242" s="6"/>
      <c r="X242" s="6"/>
      <c r="Y242" s="6"/>
      <c r="Z242" s="6"/>
      <c r="AA242" s="6"/>
      <c r="AB242" s="6"/>
      <c r="AC242" s="6"/>
      <c r="AD242" s="7"/>
    </row>
    <row r="243" spans="1:30" ht="15.6" x14ac:dyDescent="0.3">
      <c r="A243" s="4">
        <v>496</v>
      </c>
      <c r="B243" s="5" t="s">
        <v>2419</v>
      </c>
      <c r="C243" s="6" t="s">
        <v>370</v>
      </c>
      <c r="D243" s="5" t="s">
        <v>2420</v>
      </c>
      <c r="E243" s="5" t="s">
        <v>48</v>
      </c>
      <c r="F243" s="6" t="s">
        <v>2421</v>
      </c>
      <c r="G243" s="6" t="s">
        <v>2422</v>
      </c>
      <c r="H243" s="8">
        <v>0</v>
      </c>
      <c r="I243" s="6" t="s">
        <v>1442</v>
      </c>
      <c r="J243" s="6" t="s">
        <v>1093</v>
      </c>
      <c r="K243" s="6" t="s">
        <v>119</v>
      </c>
      <c r="L243" s="8">
        <v>-0.17</v>
      </c>
      <c r="M243" s="6" t="s">
        <v>2423</v>
      </c>
      <c r="N243" s="8">
        <v>-0.17</v>
      </c>
      <c r="O243" s="6" t="s">
        <v>2424</v>
      </c>
      <c r="P243" s="6" t="s">
        <v>2425</v>
      </c>
      <c r="Q243" s="6">
        <f>31%</f>
        <v>0.31</v>
      </c>
      <c r="R243" s="6">
        <v>875</v>
      </c>
      <c r="S243" s="6">
        <v>62</v>
      </c>
      <c r="T243" s="6" t="s">
        <v>2426</v>
      </c>
      <c r="U243" s="8">
        <v>-0.05</v>
      </c>
      <c r="V243" s="6"/>
      <c r="W243" s="6"/>
      <c r="X243" s="6"/>
      <c r="Y243" s="6"/>
      <c r="Z243" s="6"/>
      <c r="AA243" s="6"/>
      <c r="AB243" s="6"/>
      <c r="AC243" s="6"/>
      <c r="AD243" s="7"/>
    </row>
    <row r="244" spans="1:30" ht="15.6" x14ac:dyDescent="0.3">
      <c r="A244" s="4">
        <v>497</v>
      </c>
      <c r="B244" s="5" t="s">
        <v>2427</v>
      </c>
      <c r="C244" s="6" t="s">
        <v>173</v>
      </c>
      <c r="D244" s="5" t="s">
        <v>2428</v>
      </c>
      <c r="E244" s="5" t="s">
        <v>48</v>
      </c>
      <c r="F244" s="6" t="s">
        <v>2429</v>
      </c>
      <c r="G244" s="6" t="s">
        <v>2430</v>
      </c>
      <c r="H244" s="8">
        <v>0</v>
      </c>
      <c r="I244" s="6" t="s">
        <v>730</v>
      </c>
      <c r="J244" s="6" t="s">
        <v>90</v>
      </c>
      <c r="K244" s="6" t="s">
        <v>2431</v>
      </c>
      <c r="L244" s="8">
        <v>-0.14000000000000001</v>
      </c>
      <c r="M244" s="6" t="s">
        <v>2432</v>
      </c>
      <c r="N244" s="8">
        <v>-0.14000000000000001</v>
      </c>
      <c r="O244" s="6" t="s">
        <v>2433</v>
      </c>
      <c r="P244" s="6" t="s">
        <v>217</v>
      </c>
      <c r="Q244" s="6" t="s">
        <v>217</v>
      </c>
      <c r="R244" s="6" t="s">
        <v>2434</v>
      </c>
      <c r="S244" s="6">
        <v>70</v>
      </c>
      <c r="T244" s="6">
        <v>158</v>
      </c>
      <c r="U244" s="6" t="s">
        <v>217</v>
      </c>
      <c r="V244" s="6"/>
      <c r="W244" s="6"/>
      <c r="X244" s="6"/>
      <c r="Y244" s="6"/>
      <c r="Z244" s="6"/>
      <c r="AA244" s="6"/>
      <c r="AB244" s="6"/>
      <c r="AC244" s="6"/>
      <c r="AD244" s="7"/>
    </row>
    <row r="245" spans="1:30" ht="15.6" x14ac:dyDescent="0.3">
      <c r="A245" s="4">
        <v>498</v>
      </c>
      <c r="B245" s="5" t="s">
        <v>2435</v>
      </c>
      <c r="C245" s="6" t="s">
        <v>466</v>
      </c>
      <c r="D245" s="5" t="s">
        <v>2436</v>
      </c>
      <c r="E245" s="5" t="s">
        <v>48</v>
      </c>
      <c r="F245" s="6" t="s">
        <v>2437</v>
      </c>
      <c r="G245" s="6" t="s">
        <v>2438</v>
      </c>
      <c r="H245" s="8">
        <v>0</v>
      </c>
      <c r="I245" s="6" t="s">
        <v>2439</v>
      </c>
      <c r="J245" s="6" t="s">
        <v>38</v>
      </c>
      <c r="K245" s="6" t="s">
        <v>2440</v>
      </c>
      <c r="L245" s="6" t="s">
        <v>217</v>
      </c>
      <c r="M245" s="6" t="s">
        <v>2441</v>
      </c>
      <c r="N245" s="6" t="s">
        <v>2442</v>
      </c>
      <c r="O245" s="6" t="s">
        <v>2443</v>
      </c>
      <c r="P245" s="6" t="s">
        <v>217</v>
      </c>
      <c r="Q245" s="6" t="s">
        <v>217</v>
      </c>
      <c r="R245" s="6">
        <v>93</v>
      </c>
      <c r="S245" s="6">
        <v>8</v>
      </c>
      <c r="T245" s="6">
        <v>317</v>
      </c>
      <c r="U245" s="6" t="s">
        <v>217</v>
      </c>
      <c r="V245" s="6"/>
      <c r="W245" s="6"/>
      <c r="X245" s="6"/>
      <c r="Y245" s="6"/>
      <c r="Z245" s="6"/>
      <c r="AA245" s="6"/>
      <c r="AB245" s="6"/>
      <c r="AC245" s="6"/>
      <c r="AD245" s="7"/>
    </row>
    <row r="246" spans="1:30" ht="15.6" x14ac:dyDescent="0.3">
      <c r="A246" s="4">
        <v>500</v>
      </c>
      <c r="B246" s="5" t="s">
        <v>2444</v>
      </c>
      <c r="C246" s="6" t="s">
        <v>148</v>
      </c>
      <c r="D246" s="5" t="s">
        <v>2445</v>
      </c>
      <c r="E246" s="5" t="s">
        <v>48</v>
      </c>
      <c r="F246" s="6" t="s">
        <v>2446</v>
      </c>
      <c r="G246" s="6" t="s">
        <v>2447</v>
      </c>
      <c r="H246" s="8">
        <v>0</v>
      </c>
      <c r="I246" s="8">
        <v>-0.94</v>
      </c>
      <c r="J246" s="6" t="s">
        <v>107</v>
      </c>
      <c r="K246" s="6" t="s">
        <v>1965</v>
      </c>
      <c r="L246" s="6" t="s">
        <v>2448</v>
      </c>
      <c r="M246" s="6" t="s">
        <v>2449</v>
      </c>
      <c r="N246" s="6" t="s">
        <v>2448</v>
      </c>
      <c r="O246" s="6" t="s">
        <v>2450</v>
      </c>
      <c r="P246" s="10">
        <v>45855</v>
      </c>
      <c r="Q246" s="6" t="s">
        <v>217</v>
      </c>
      <c r="R246" s="6">
        <v>191</v>
      </c>
      <c r="S246" s="6">
        <v>1</v>
      </c>
      <c r="T246" s="6">
        <v>194</v>
      </c>
      <c r="U246" s="6" t="s">
        <v>9262</v>
      </c>
      <c r="V246" s="6"/>
      <c r="W246" s="6"/>
      <c r="X246" s="6"/>
      <c r="Y246" s="6"/>
      <c r="Z246" s="6"/>
      <c r="AA246" s="6"/>
      <c r="AB246" s="6"/>
      <c r="AC246" s="6"/>
      <c r="AD246" s="7"/>
    </row>
    <row r="247" spans="1:30" ht="15.6" x14ac:dyDescent="0.3">
      <c r="A247" s="4">
        <v>501</v>
      </c>
      <c r="B247" s="5" t="s">
        <v>2451</v>
      </c>
      <c r="C247" s="6" t="s">
        <v>185</v>
      </c>
      <c r="D247" s="5" t="s">
        <v>2452</v>
      </c>
      <c r="E247" s="5" t="s">
        <v>48</v>
      </c>
      <c r="F247" s="6" t="s">
        <v>2317</v>
      </c>
      <c r="G247" s="6" t="s">
        <v>2453</v>
      </c>
      <c r="H247" s="8">
        <v>0</v>
      </c>
      <c r="I247" s="6" t="s">
        <v>877</v>
      </c>
      <c r="J247" s="6" t="s">
        <v>38</v>
      </c>
      <c r="K247" s="6" t="s">
        <v>2319</v>
      </c>
      <c r="L247" s="8">
        <v>-0.2</v>
      </c>
      <c r="M247" s="6" t="s">
        <v>2320</v>
      </c>
      <c r="N247" s="8">
        <v>-0.2</v>
      </c>
      <c r="O247" s="6" t="s">
        <v>2321</v>
      </c>
      <c r="P247" s="6" t="s">
        <v>2322</v>
      </c>
      <c r="Q247" s="6">
        <f>150%</f>
        <v>1.5</v>
      </c>
      <c r="R247" s="6">
        <v>317</v>
      </c>
      <c r="S247" s="6">
        <v>2</v>
      </c>
      <c r="T247" s="6">
        <v>234</v>
      </c>
      <c r="U247" s="6">
        <f>3.1%</f>
        <v>3.1E-2</v>
      </c>
      <c r="V247" s="6"/>
      <c r="W247" s="6"/>
      <c r="X247" s="6"/>
      <c r="Y247" s="6"/>
      <c r="Z247" s="6"/>
      <c r="AA247" s="6"/>
      <c r="AB247" s="6"/>
      <c r="AC247" s="6"/>
      <c r="AD247" s="7"/>
    </row>
    <row r="248" spans="1:30" ht="15.6" x14ac:dyDescent="0.3">
      <c r="A248" s="4">
        <v>502</v>
      </c>
      <c r="B248" s="5" t="s">
        <v>2454</v>
      </c>
      <c r="C248" s="6" t="s">
        <v>173</v>
      </c>
      <c r="D248" s="5" t="s">
        <v>2455</v>
      </c>
      <c r="E248" s="5" t="s">
        <v>48</v>
      </c>
      <c r="F248" s="6" t="s">
        <v>2456</v>
      </c>
      <c r="G248" s="6" t="s">
        <v>2457</v>
      </c>
      <c r="H248" s="8">
        <v>0</v>
      </c>
      <c r="I248" s="8">
        <v>-0.4</v>
      </c>
      <c r="J248" s="6" t="s">
        <v>225</v>
      </c>
      <c r="K248" s="6" t="s">
        <v>2458</v>
      </c>
      <c r="L248" s="6" t="s">
        <v>217</v>
      </c>
      <c r="M248" s="6" t="s">
        <v>2459</v>
      </c>
      <c r="N248" s="6">
        <f>0.53%</f>
        <v>5.3E-3</v>
      </c>
      <c r="O248" s="6" t="s">
        <v>2460</v>
      </c>
      <c r="P248" s="6" t="s">
        <v>2461</v>
      </c>
      <c r="Q248" s="6" t="s">
        <v>217</v>
      </c>
      <c r="R248" s="6">
        <v>545</v>
      </c>
      <c r="S248" s="6">
        <v>4</v>
      </c>
      <c r="T248" s="6">
        <v>222</v>
      </c>
      <c r="U248" s="6">
        <f>2.3%</f>
        <v>2.3E-2</v>
      </c>
      <c r="V248" s="6"/>
      <c r="W248" s="6"/>
      <c r="X248" s="6"/>
      <c r="Y248" s="6"/>
      <c r="Z248" s="6"/>
      <c r="AA248" s="6"/>
      <c r="AB248" s="6"/>
      <c r="AC248" s="6"/>
      <c r="AD248" s="7"/>
    </row>
    <row r="249" spans="1:30" ht="15.6" x14ac:dyDescent="0.3">
      <c r="A249" s="4">
        <v>503</v>
      </c>
      <c r="B249" s="5" t="s">
        <v>2462</v>
      </c>
      <c r="C249" s="6" t="s">
        <v>72</v>
      </c>
      <c r="D249" s="5" t="s">
        <v>2463</v>
      </c>
      <c r="E249" s="5" t="s">
        <v>48</v>
      </c>
      <c r="F249" s="6" t="s">
        <v>2464</v>
      </c>
      <c r="G249" s="6" t="s">
        <v>2465</v>
      </c>
      <c r="H249" s="8">
        <v>0</v>
      </c>
      <c r="I249" s="8">
        <v>-0.93</v>
      </c>
      <c r="J249" s="6" t="s">
        <v>888</v>
      </c>
      <c r="K249" s="6" t="s">
        <v>2466</v>
      </c>
      <c r="L249" s="6" t="s">
        <v>217</v>
      </c>
      <c r="M249" s="6" t="s">
        <v>2467</v>
      </c>
      <c r="N249" s="8">
        <v>-0.06</v>
      </c>
      <c r="O249" s="6" t="s">
        <v>2468</v>
      </c>
      <c r="P249" s="6" t="s">
        <v>2469</v>
      </c>
      <c r="Q249" s="6" t="s">
        <v>217</v>
      </c>
      <c r="R249" s="6">
        <v>144</v>
      </c>
      <c r="S249" s="6">
        <v>1</v>
      </c>
      <c r="T249" s="6">
        <v>234</v>
      </c>
      <c r="U249" s="6" t="s">
        <v>217</v>
      </c>
      <c r="V249" s="6"/>
      <c r="W249" s="6"/>
      <c r="X249" s="6"/>
      <c r="Y249" s="6"/>
      <c r="Z249" s="6"/>
      <c r="AA249" s="6"/>
      <c r="AB249" s="6"/>
      <c r="AC249" s="6"/>
      <c r="AD249" s="7"/>
    </row>
    <row r="250" spans="1:30" ht="15.6" x14ac:dyDescent="0.3">
      <c r="A250" s="4">
        <v>504</v>
      </c>
      <c r="B250" s="5" t="s">
        <v>2470</v>
      </c>
      <c r="C250" s="6" t="s">
        <v>370</v>
      </c>
      <c r="D250" s="5" t="s">
        <v>2471</v>
      </c>
      <c r="E250" s="5" t="s">
        <v>48</v>
      </c>
      <c r="F250" s="6" t="s">
        <v>2472</v>
      </c>
      <c r="G250" s="6" t="s">
        <v>2473</v>
      </c>
      <c r="H250" s="8">
        <v>0</v>
      </c>
      <c r="I250" s="8">
        <v>-0.89</v>
      </c>
      <c r="J250" s="6" t="s">
        <v>2474</v>
      </c>
      <c r="K250" s="6" t="s">
        <v>2475</v>
      </c>
      <c r="L250" s="8">
        <v>-0.24</v>
      </c>
      <c r="M250" s="6" t="s">
        <v>2476</v>
      </c>
      <c r="N250" s="8">
        <v>-0.24</v>
      </c>
      <c r="O250" s="6" t="s">
        <v>2477</v>
      </c>
      <c r="P250" s="6" t="s">
        <v>2478</v>
      </c>
      <c r="Q250" s="6" t="s">
        <v>217</v>
      </c>
      <c r="R250" s="6" t="s">
        <v>2479</v>
      </c>
      <c r="S250" s="6">
        <v>50</v>
      </c>
      <c r="T250" s="6">
        <v>518</v>
      </c>
      <c r="U250" s="8">
        <v>-0.6</v>
      </c>
      <c r="V250" s="6"/>
      <c r="W250" s="6"/>
      <c r="X250" s="6"/>
      <c r="Y250" s="6"/>
      <c r="Z250" s="6"/>
      <c r="AA250" s="6"/>
      <c r="AB250" s="6"/>
      <c r="AC250" s="6"/>
      <c r="AD250" s="7"/>
    </row>
    <row r="251" spans="1:30" ht="15.6" x14ac:dyDescent="0.3">
      <c r="A251" s="4">
        <v>505</v>
      </c>
      <c r="B251" s="5" t="s">
        <v>2480</v>
      </c>
      <c r="C251" s="6" t="s">
        <v>114</v>
      </c>
      <c r="D251" s="5" t="s">
        <v>2481</v>
      </c>
      <c r="E251" s="5" t="s">
        <v>48</v>
      </c>
      <c r="F251" s="6" t="s">
        <v>2482</v>
      </c>
      <c r="G251" s="6" t="s">
        <v>2483</v>
      </c>
      <c r="H251" s="8">
        <v>0</v>
      </c>
      <c r="I251" s="6" t="s">
        <v>2484</v>
      </c>
      <c r="J251" s="6" t="s">
        <v>1184</v>
      </c>
      <c r="K251" s="6" t="s">
        <v>2485</v>
      </c>
      <c r="L251" s="8">
        <v>-0.16</v>
      </c>
      <c r="M251" s="6" t="s">
        <v>2486</v>
      </c>
      <c r="N251" s="8">
        <v>-0.16</v>
      </c>
      <c r="O251" s="6" t="s">
        <v>2487</v>
      </c>
      <c r="P251" s="6" t="s">
        <v>217</v>
      </c>
      <c r="Q251" s="6" t="s">
        <v>217</v>
      </c>
      <c r="R251" s="6">
        <v>25</v>
      </c>
      <c r="S251" s="6">
        <v>1</v>
      </c>
      <c r="T251" s="6">
        <v>95</v>
      </c>
      <c r="U251" s="6" t="s">
        <v>217</v>
      </c>
      <c r="V251" s="6"/>
      <c r="W251" s="6"/>
      <c r="X251" s="6"/>
      <c r="Y251" s="6"/>
      <c r="Z251" s="6"/>
      <c r="AA251" s="6"/>
      <c r="AB251" s="6"/>
      <c r="AC251" s="6"/>
      <c r="AD251" s="7"/>
    </row>
    <row r="252" spans="1:30" ht="15.6" x14ac:dyDescent="0.3">
      <c r="A252" s="4">
        <v>506</v>
      </c>
      <c r="B252" s="5" t="s">
        <v>2488</v>
      </c>
      <c r="C252" s="6" t="s">
        <v>85</v>
      </c>
      <c r="D252" s="5" t="s">
        <v>2489</v>
      </c>
      <c r="E252" s="5" t="s">
        <v>48</v>
      </c>
      <c r="F252" s="6" t="s">
        <v>2490</v>
      </c>
      <c r="G252" s="6" t="s">
        <v>2491</v>
      </c>
      <c r="H252" s="8">
        <v>0</v>
      </c>
      <c r="I252" s="6" t="s">
        <v>710</v>
      </c>
      <c r="J252" s="6" t="s">
        <v>2492</v>
      </c>
      <c r="K252" s="6" t="s">
        <v>2493</v>
      </c>
      <c r="L252" s="8">
        <v>-0.24</v>
      </c>
      <c r="M252" s="6" t="s">
        <v>2494</v>
      </c>
      <c r="N252" s="8">
        <v>-0.24</v>
      </c>
      <c r="O252" s="6" t="s">
        <v>1198</v>
      </c>
      <c r="P252" s="6" t="s">
        <v>2495</v>
      </c>
      <c r="Q252" s="6" t="s">
        <v>217</v>
      </c>
      <c r="R252" s="6">
        <v>483</v>
      </c>
      <c r="S252" s="6">
        <v>28</v>
      </c>
      <c r="T252" s="6">
        <v>409</v>
      </c>
      <c r="U252" s="6">
        <f>960%</f>
        <v>9.6</v>
      </c>
      <c r="V252" s="6"/>
      <c r="W252" s="6"/>
      <c r="X252" s="6"/>
      <c r="Y252" s="6"/>
      <c r="Z252" s="6"/>
      <c r="AA252" s="6"/>
      <c r="AB252" s="6"/>
      <c r="AC252" s="6"/>
      <c r="AD252" s="7"/>
    </row>
    <row r="253" spans="1:30" ht="15.6" x14ac:dyDescent="0.3">
      <c r="A253" s="4">
        <v>507</v>
      </c>
      <c r="B253" s="5" t="s">
        <v>2496</v>
      </c>
      <c r="C253" s="6" t="s">
        <v>60</v>
      </c>
      <c r="D253" s="5" t="s">
        <v>2497</v>
      </c>
      <c r="E253" s="5" t="s">
        <v>48</v>
      </c>
      <c r="F253" s="6" t="s">
        <v>2498</v>
      </c>
      <c r="G253" s="6" t="s">
        <v>2499</v>
      </c>
      <c r="H253" s="8">
        <v>0</v>
      </c>
      <c r="I253" s="6" t="s">
        <v>2500</v>
      </c>
      <c r="J253" s="6" t="s">
        <v>550</v>
      </c>
      <c r="K253" s="6" t="s">
        <v>2501</v>
      </c>
      <c r="L253" s="6" t="s">
        <v>217</v>
      </c>
      <c r="M253" s="6" t="s">
        <v>2502</v>
      </c>
      <c r="N253" s="8">
        <v>-0.16</v>
      </c>
      <c r="O253" s="6" t="s">
        <v>2503</v>
      </c>
      <c r="P253" s="6" t="s">
        <v>217</v>
      </c>
      <c r="Q253" s="6" t="s">
        <v>217</v>
      </c>
      <c r="R253" s="6">
        <v>12</v>
      </c>
      <c r="S253" s="6">
        <v>0</v>
      </c>
      <c r="T253" s="6">
        <v>236</v>
      </c>
      <c r="U253" s="6" t="s">
        <v>217</v>
      </c>
      <c r="V253" s="6"/>
      <c r="W253" s="6"/>
      <c r="X253" s="6"/>
      <c r="Y253" s="6"/>
      <c r="Z253" s="6"/>
      <c r="AA253" s="6"/>
      <c r="AB253" s="6"/>
      <c r="AC253" s="6"/>
      <c r="AD253" s="7"/>
    </row>
    <row r="254" spans="1:30" ht="15.6" x14ac:dyDescent="0.3">
      <c r="A254" s="4">
        <v>508</v>
      </c>
      <c r="B254" s="5" t="s">
        <v>2504</v>
      </c>
      <c r="C254" s="6" t="s">
        <v>126</v>
      </c>
      <c r="D254" s="5" t="s">
        <v>2505</v>
      </c>
      <c r="E254" s="5" t="s">
        <v>48</v>
      </c>
      <c r="F254" s="6" t="s">
        <v>2506</v>
      </c>
      <c r="G254" s="6" t="s">
        <v>2507</v>
      </c>
      <c r="H254" s="8">
        <v>0</v>
      </c>
      <c r="I254" s="6" t="s">
        <v>2508</v>
      </c>
      <c r="J254" s="6" t="s">
        <v>2509</v>
      </c>
      <c r="K254" s="6" t="s">
        <v>2510</v>
      </c>
      <c r="L254" s="8">
        <v>-0.11</v>
      </c>
      <c r="M254" s="6" t="s">
        <v>2511</v>
      </c>
      <c r="N254" s="8">
        <v>-0.11</v>
      </c>
      <c r="O254" s="6" t="s">
        <v>2512</v>
      </c>
      <c r="P254" s="6" t="s">
        <v>217</v>
      </c>
      <c r="Q254" s="6" t="s">
        <v>217</v>
      </c>
      <c r="R254" s="6">
        <v>55</v>
      </c>
      <c r="S254" s="6">
        <v>1</v>
      </c>
      <c r="T254" s="6">
        <v>134</v>
      </c>
      <c r="U254" s="6" t="s">
        <v>217</v>
      </c>
      <c r="V254" s="6"/>
      <c r="W254" s="6"/>
      <c r="X254" s="6"/>
      <c r="Y254" s="6"/>
      <c r="Z254" s="6"/>
      <c r="AA254" s="6"/>
      <c r="AB254" s="6"/>
      <c r="AC254" s="6"/>
      <c r="AD254" s="7"/>
    </row>
    <row r="255" spans="1:30" ht="15.6" x14ac:dyDescent="0.3">
      <c r="A255" s="4">
        <v>509</v>
      </c>
      <c r="B255" s="5" t="s">
        <v>2513</v>
      </c>
      <c r="C255" s="6" t="s">
        <v>72</v>
      </c>
      <c r="D255" s="5" t="s">
        <v>2514</v>
      </c>
      <c r="E255" s="5" t="s">
        <v>48</v>
      </c>
      <c r="F255" s="6" t="s">
        <v>2515</v>
      </c>
      <c r="G255" s="6" t="s">
        <v>2516</v>
      </c>
      <c r="H255" s="8">
        <v>0</v>
      </c>
      <c r="I255" s="6" t="s">
        <v>1754</v>
      </c>
      <c r="J255" s="6" t="s">
        <v>2517</v>
      </c>
      <c r="K255" s="6" t="s">
        <v>2518</v>
      </c>
      <c r="L255" s="8">
        <v>-0.28999999999999998</v>
      </c>
      <c r="M255" s="6" t="s">
        <v>2519</v>
      </c>
      <c r="N255" s="8">
        <v>-0.28999999999999998</v>
      </c>
      <c r="O255" s="6" t="s">
        <v>2520</v>
      </c>
      <c r="P255" s="6" t="s">
        <v>217</v>
      </c>
      <c r="Q255" s="6" t="s">
        <v>217</v>
      </c>
      <c r="R255" s="6">
        <v>346</v>
      </c>
      <c r="S255" s="6">
        <v>0</v>
      </c>
      <c r="T255" s="6">
        <v>222</v>
      </c>
      <c r="U255" s="6" t="s">
        <v>217</v>
      </c>
      <c r="V255" s="6"/>
      <c r="W255" s="6"/>
      <c r="X255" s="6"/>
      <c r="Y255" s="6"/>
      <c r="Z255" s="6"/>
      <c r="AA255" s="6"/>
      <c r="AB255" s="6"/>
      <c r="AC255" s="6"/>
      <c r="AD255" s="7"/>
    </row>
    <row r="256" spans="1:30" ht="15.6" x14ac:dyDescent="0.3">
      <c r="A256" s="4">
        <v>510</v>
      </c>
      <c r="B256" s="5" t="s">
        <v>2521</v>
      </c>
      <c r="C256" s="6" t="s">
        <v>31</v>
      </c>
      <c r="D256" s="5" t="s">
        <v>2522</v>
      </c>
      <c r="E256" s="5" t="s">
        <v>48</v>
      </c>
      <c r="F256" s="6" t="s">
        <v>2523</v>
      </c>
      <c r="G256" s="6" t="s">
        <v>2524</v>
      </c>
      <c r="H256" s="8">
        <v>0</v>
      </c>
      <c r="I256" s="8">
        <v>-0.39</v>
      </c>
      <c r="J256" s="6" t="s">
        <v>824</v>
      </c>
      <c r="K256" s="6" t="s">
        <v>2525</v>
      </c>
      <c r="L256" s="8">
        <v>-0.18</v>
      </c>
      <c r="M256" s="6" t="s">
        <v>2526</v>
      </c>
      <c r="N256" s="8">
        <v>-0.18</v>
      </c>
      <c r="O256" s="6" t="s">
        <v>2527</v>
      </c>
      <c r="P256" s="6" t="s">
        <v>2528</v>
      </c>
      <c r="Q256" s="6" t="s">
        <v>217</v>
      </c>
      <c r="R256" s="6">
        <v>635</v>
      </c>
      <c r="S256" s="6">
        <v>11</v>
      </c>
      <c r="T256" s="6" t="s">
        <v>2529</v>
      </c>
      <c r="U256" s="6" t="s">
        <v>217</v>
      </c>
      <c r="V256" s="6"/>
      <c r="W256" s="6"/>
      <c r="X256" s="6"/>
      <c r="Y256" s="6"/>
      <c r="Z256" s="6"/>
      <c r="AA256" s="6"/>
      <c r="AB256" s="6"/>
      <c r="AC256" s="6"/>
      <c r="AD256" s="7"/>
    </row>
    <row r="257" spans="1:30" ht="15.6" x14ac:dyDescent="0.3">
      <c r="A257" s="4">
        <v>511</v>
      </c>
      <c r="B257" s="5" t="s">
        <v>2530</v>
      </c>
      <c r="C257" s="6" t="s">
        <v>567</v>
      </c>
      <c r="D257" s="5" t="s">
        <v>2531</v>
      </c>
      <c r="E257" s="5" t="s">
        <v>48</v>
      </c>
      <c r="F257" s="6" t="s">
        <v>2532</v>
      </c>
      <c r="G257" s="6" t="s">
        <v>2533</v>
      </c>
      <c r="H257" s="8">
        <v>0</v>
      </c>
      <c r="I257" s="8">
        <v>-0.98</v>
      </c>
      <c r="J257" s="6" t="s">
        <v>1851</v>
      </c>
      <c r="K257" s="6" t="s">
        <v>2534</v>
      </c>
      <c r="L257" s="6" t="s">
        <v>217</v>
      </c>
      <c r="M257" s="6" t="s">
        <v>2535</v>
      </c>
      <c r="N257" s="6">
        <f>1.4%</f>
        <v>1.3999999999999999E-2</v>
      </c>
      <c r="O257" s="6" t="s">
        <v>2536</v>
      </c>
      <c r="P257" s="6" t="s">
        <v>2537</v>
      </c>
      <c r="Q257" s="6" t="s">
        <v>217</v>
      </c>
      <c r="R257" s="6">
        <v>992</v>
      </c>
      <c r="S257" s="6">
        <v>43</v>
      </c>
      <c r="T257" s="6" t="s">
        <v>2538</v>
      </c>
      <c r="U257" s="6">
        <f>59%</f>
        <v>0.59</v>
      </c>
      <c r="V257" s="6"/>
      <c r="W257" s="6"/>
      <c r="X257" s="6"/>
      <c r="Y257" s="6"/>
      <c r="Z257" s="6"/>
      <c r="AA257" s="6"/>
      <c r="AB257" s="6"/>
      <c r="AC257" s="6"/>
      <c r="AD257" s="7"/>
    </row>
    <row r="258" spans="1:30" ht="15.6" x14ac:dyDescent="0.3">
      <c r="A258" s="4">
        <v>513</v>
      </c>
      <c r="B258" s="5" t="s">
        <v>2539</v>
      </c>
      <c r="C258" s="6" t="s">
        <v>31</v>
      </c>
      <c r="D258" s="5" t="s">
        <v>2540</v>
      </c>
      <c r="E258" s="5" t="s">
        <v>48</v>
      </c>
      <c r="F258" s="6" t="s">
        <v>2541</v>
      </c>
      <c r="G258" s="6" t="s">
        <v>2542</v>
      </c>
      <c r="H258" s="8">
        <v>0</v>
      </c>
      <c r="I258" s="8">
        <v>-0.43</v>
      </c>
      <c r="J258" s="6" t="s">
        <v>397</v>
      </c>
      <c r="K258" s="6" t="s">
        <v>398</v>
      </c>
      <c r="L258" s="8">
        <v>-0.21</v>
      </c>
      <c r="M258" s="6" t="s">
        <v>2543</v>
      </c>
      <c r="N258" s="8">
        <v>-0.21</v>
      </c>
      <c r="O258" s="6" t="s">
        <v>2544</v>
      </c>
      <c r="P258" s="6" t="s">
        <v>2545</v>
      </c>
      <c r="Q258" s="6" t="s">
        <v>217</v>
      </c>
      <c r="R258" s="6">
        <v>256</v>
      </c>
      <c r="S258" s="6">
        <v>1</v>
      </c>
      <c r="T258" s="6">
        <v>984</v>
      </c>
      <c r="U258" s="6">
        <f>4.4%</f>
        <v>4.4000000000000004E-2</v>
      </c>
      <c r="V258" s="6"/>
      <c r="W258" s="6"/>
      <c r="X258" s="6"/>
      <c r="Y258" s="6"/>
      <c r="Z258" s="6"/>
      <c r="AA258" s="6"/>
      <c r="AB258" s="6"/>
      <c r="AC258" s="6"/>
      <c r="AD258" s="7"/>
    </row>
    <row r="259" spans="1:30" ht="15.6" x14ac:dyDescent="0.3">
      <c r="A259" s="4">
        <v>514</v>
      </c>
      <c r="B259" s="5" t="s">
        <v>2546</v>
      </c>
      <c r="C259" s="6" t="s">
        <v>173</v>
      </c>
      <c r="D259" s="5" t="s">
        <v>2547</v>
      </c>
      <c r="E259" s="5" t="s">
        <v>48</v>
      </c>
      <c r="F259" s="6" t="s">
        <v>2548</v>
      </c>
      <c r="G259" s="6" t="s">
        <v>2549</v>
      </c>
      <c r="H259" s="8">
        <v>0</v>
      </c>
      <c r="I259" s="8">
        <v>-0.6</v>
      </c>
      <c r="J259" s="6" t="s">
        <v>411</v>
      </c>
      <c r="K259" s="6" t="s">
        <v>91</v>
      </c>
      <c r="L259" s="6" t="s">
        <v>217</v>
      </c>
      <c r="M259" s="6" t="s">
        <v>2550</v>
      </c>
      <c r="N259" s="6">
        <f>0.013%</f>
        <v>1.2999999999999999E-4</v>
      </c>
      <c r="O259" s="6" t="s">
        <v>2551</v>
      </c>
      <c r="P259" s="6" t="s">
        <v>2552</v>
      </c>
      <c r="Q259" s="6" t="s">
        <v>217</v>
      </c>
      <c r="R259" s="6">
        <v>103</v>
      </c>
      <c r="S259" s="6">
        <v>3</v>
      </c>
      <c r="T259" s="6">
        <v>974</v>
      </c>
      <c r="U259" s="6">
        <f>13%</f>
        <v>0.13</v>
      </c>
      <c r="V259" s="6"/>
      <c r="W259" s="6"/>
      <c r="X259" s="6"/>
      <c r="Y259" s="6"/>
      <c r="Z259" s="6"/>
      <c r="AA259" s="6"/>
      <c r="AB259" s="6"/>
      <c r="AC259" s="6"/>
      <c r="AD259" s="7"/>
    </row>
    <row r="260" spans="1:30" ht="15.6" x14ac:dyDescent="0.3">
      <c r="A260" s="4">
        <v>515</v>
      </c>
      <c r="B260" s="5" t="s">
        <v>2553</v>
      </c>
      <c r="C260" s="6" t="s">
        <v>102</v>
      </c>
      <c r="D260" s="5" t="s">
        <v>2554</v>
      </c>
      <c r="E260" s="5" t="s">
        <v>33</v>
      </c>
      <c r="F260" s="6" t="s">
        <v>1669</v>
      </c>
      <c r="G260" s="6" t="s">
        <v>2555</v>
      </c>
      <c r="H260" s="8">
        <v>0</v>
      </c>
      <c r="I260" s="6" t="s">
        <v>877</v>
      </c>
      <c r="J260" s="6" t="s">
        <v>354</v>
      </c>
      <c r="K260" s="6" t="s">
        <v>2556</v>
      </c>
      <c r="L260" s="6">
        <f>8.2%</f>
        <v>8.199999999999999E-2</v>
      </c>
      <c r="M260" s="6" t="s">
        <v>2557</v>
      </c>
      <c r="N260" s="6">
        <f>8.2%</f>
        <v>8.199999999999999E-2</v>
      </c>
      <c r="O260" s="6" t="s">
        <v>2558</v>
      </c>
      <c r="P260" s="6" t="s">
        <v>2559</v>
      </c>
      <c r="Q260" s="6">
        <f>110%</f>
        <v>1.1000000000000001</v>
      </c>
      <c r="R260" s="6" t="s">
        <v>2560</v>
      </c>
      <c r="S260" s="6">
        <v>203</v>
      </c>
      <c r="T260" s="6" t="s">
        <v>1951</v>
      </c>
      <c r="U260" s="8">
        <v>-0.9</v>
      </c>
      <c r="V260" s="6"/>
      <c r="W260" s="6"/>
      <c r="X260" s="6"/>
      <c r="Y260" s="6"/>
      <c r="Z260" s="6"/>
      <c r="AA260" s="6"/>
      <c r="AB260" s="6"/>
      <c r="AC260" s="6"/>
      <c r="AD260" s="7"/>
    </row>
    <row r="261" spans="1:30" ht="15.6" x14ac:dyDescent="0.3">
      <c r="A261" s="4">
        <v>516</v>
      </c>
      <c r="B261" s="5" t="s">
        <v>2561</v>
      </c>
      <c r="C261" s="6" t="s">
        <v>291</v>
      </c>
      <c r="D261" s="5" t="s">
        <v>2562</v>
      </c>
      <c r="E261" s="5" t="s">
        <v>33</v>
      </c>
      <c r="F261" s="6" t="s">
        <v>2563</v>
      </c>
      <c r="G261" s="6" t="s">
        <v>2564</v>
      </c>
      <c r="H261" s="8">
        <v>0</v>
      </c>
      <c r="I261" s="6" t="s">
        <v>1027</v>
      </c>
      <c r="J261" s="6" t="s">
        <v>421</v>
      </c>
      <c r="K261" s="6" t="s">
        <v>813</v>
      </c>
      <c r="L261" s="8">
        <v>-0.35</v>
      </c>
      <c r="M261" s="6" t="s">
        <v>2565</v>
      </c>
      <c r="N261" s="8">
        <v>-0.35</v>
      </c>
      <c r="O261" s="6" t="s">
        <v>2566</v>
      </c>
      <c r="P261" s="6" t="s">
        <v>2567</v>
      </c>
      <c r="Q261" s="8">
        <v>-0.91</v>
      </c>
      <c r="R261" s="6">
        <v>656</v>
      </c>
      <c r="S261" s="6">
        <v>7</v>
      </c>
      <c r="T261" s="6">
        <v>950</v>
      </c>
      <c r="U261" s="8">
        <v>-0.93</v>
      </c>
      <c r="V261" s="6"/>
      <c r="W261" s="6"/>
      <c r="X261" s="6"/>
      <c r="Y261" s="6"/>
      <c r="Z261" s="6"/>
      <c r="AA261" s="6"/>
      <c r="AB261" s="6"/>
      <c r="AC261" s="6"/>
      <c r="AD261" s="7"/>
    </row>
    <row r="262" spans="1:30" ht="15.6" x14ac:dyDescent="0.3">
      <c r="A262" s="4">
        <v>517</v>
      </c>
      <c r="B262" s="5" t="s">
        <v>2568</v>
      </c>
      <c r="C262" s="6" t="s">
        <v>114</v>
      </c>
      <c r="D262" s="5" t="s">
        <v>2569</v>
      </c>
      <c r="E262" s="5" t="s">
        <v>48</v>
      </c>
      <c r="F262" s="6" t="s">
        <v>2570</v>
      </c>
      <c r="G262" s="6" t="s">
        <v>2571</v>
      </c>
      <c r="H262" s="8">
        <v>0</v>
      </c>
      <c r="I262" s="6" t="s">
        <v>217</v>
      </c>
      <c r="J262" s="6" t="s">
        <v>494</v>
      </c>
      <c r="K262" s="6" t="s">
        <v>2572</v>
      </c>
      <c r="L262" s="6" t="s">
        <v>217</v>
      </c>
      <c r="M262" s="6" t="s">
        <v>2573</v>
      </c>
      <c r="N262" s="6" t="s">
        <v>217</v>
      </c>
      <c r="O262" s="6" t="s">
        <v>2574</v>
      </c>
      <c r="P262" s="6" t="s">
        <v>217</v>
      </c>
      <c r="Q262" s="6" t="s">
        <v>217</v>
      </c>
      <c r="R262" s="6">
        <v>87</v>
      </c>
      <c r="S262" s="6">
        <v>10</v>
      </c>
      <c r="T262" s="6">
        <v>12</v>
      </c>
      <c r="U262" s="6" t="s">
        <v>217</v>
      </c>
      <c r="V262" s="6"/>
      <c r="W262" s="6"/>
      <c r="X262" s="6"/>
      <c r="Y262" s="6"/>
      <c r="Z262" s="6"/>
      <c r="AA262" s="6"/>
      <c r="AB262" s="6"/>
      <c r="AC262" s="6"/>
      <c r="AD262" s="7"/>
    </row>
    <row r="263" spans="1:30" ht="15.6" x14ac:dyDescent="0.3">
      <c r="A263" s="4">
        <v>518</v>
      </c>
      <c r="B263" s="5" t="s">
        <v>2575</v>
      </c>
      <c r="C263" s="6" t="s">
        <v>291</v>
      </c>
      <c r="D263" s="5" t="s">
        <v>2576</v>
      </c>
      <c r="E263" s="5" t="s">
        <v>48</v>
      </c>
      <c r="F263" s="6" t="s">
        <v>2577</v>
      </c>
      <c r="G263" s="6" t="s">
        <v>2578</v>
      </c>
      <c r="H263" s="8">
        <v>0</v>
      </c>
      <c r="I263" s="8">
        <v>-0.51</v>
      </c>
      <c r="J263" s="6" t="s">
        <v>236</v>
      </c>
      <c r="K263" s="6" t="s">
        <v>2579</v>
      </c>
      <c r="L263" s="6" t="s">
        <v>217</v>
      </c>
      <c r="M263" s="6" t="s">
        <v>2580</v>
      </c>
      <c r="N263" s="6" t="s">
        <v>2581</v>
      </c>
      <c r="O263" s="6" t="s">
        <v>2582</v>
      </c>
      <c r="P263" s="6" t="s">
        <v>2583</v>
      </c>
      <c r="Q263" s="6" t="s">
        <v>217</v>
      </c>
      <c r="R263" s="6">
        <v>835</v>
      </c>
      <c r="S263" s="6">
        <v>12</v>
      </c>
      <c r="T263" s="6" t="s">
        <v>2584</v>
      </c>
      <c r="U263" s="8">
        <v>-0.34</v>
      </c>
      <c r="V263" s="6"/>
      <c r="W263" s="6"/>
      <c r="X263" s="6"/>
      <c r="Y263" s="6"/>
      <c r="Z263" s="6"/>
      <c r="AA263" s="6"/>
      <c r="AB263" s="6"/>
      <c r="AC263" s="6"/>
      <c r="AD263" s="7"/>
    </row>
    <row r="264" spans="1:30" ht="15.6" x14ac:dyDescent="0.3">
      <c r="A264" s="4">
        <v>519</v>
      </c>
      <c r="B264" s="5" t="s">
        <v>2585</v>
      </c>
      <c r="C264" s="6" t="s">
        <v>267</v>
      </c>
      <c r="D264" s="5" t="s">
        <v>2586</v>
      </c>
      <c r="E264" s="5" t="s">
        <v>48</v>
      </c>
      <c r="F264" s="6" t="s">
        <v>2587</v>
      </c>
      <c r="G264" s="6" t="s">
        <v>2588</v>
      </c>
      <c r="H264" s="8">
        <v>0</v>
      </c>
      <c r="I264" s="8">
        <v>-0.98</v>
      </c>
      <c r="J264" s="6" t="s">
        <v>1808</v>
      </c>
      <c r="K264" s="6" t="s">
        <v>1860</v>
      </c>
      <c r="L264" s="6" t="s">
        <v>217</v>
      </c>
      <c r="M264" s="6" t="s">
        <v>2589</v>
      </c>
      <c r="N264" s="6">
        <f>0.05%</f>
        <v>5.0000000000000001E-4</v>
      </c>
      <c r="O264" s="6" t="s">
        <v>2590</v>
      </c>
      <c r="P264" s="6" t="s">
        <v>2591</v>
      </c>
      <c r="Q264" s="6" t="s">
        <v>217</v>
      </c>
      <c r="R264" s="6">
        <v>512</v>
      </c>
      <c r="S264" s="6">
        <v>7</v>
      </c>
      <c r="T264" s="6">
        <v>661</v>
      </c>
      <c r="U264" s="6" t="s">
        <v>217</v>
      </c>
      <c r="V264" s="6"/>
      <c r="W264" s="6"/>
      <c r="X264" s="6"/>
      <c r="Y264" s="6"/>
      <c r="Z264" s="6"/>
      <c r="AA264" s="6"/>
      <c r="AB264" s="6"/>
      <c r="AC264" s="6"/>
      <c r="AD264" s="7"/>
    </row>
    <row r="265" spans="1:30" ht="15.6" x14ac:dyDescent="0.3">
      <c r="A265" s="4">
        <v>520</v>
      </c>
      <c r="B265" s="5" t="s">
        <v>2592</v>
      </c>
      <c r="C265" s="6" t="s">
        <v>114</v>
      </c>
      <c r="D265" s="5" t="s">
        <v>2593</v>
      </c>
      <c r="E265" s="5" t="s">
        <v>48</v>
      </c>
      <c r="F265" s="6" t="s">
        <v>2594</v>
      </c>
      <c r="G265" s="6" t="s">
        <v>2595</v>
      </c>
      <c r="H265" s="8">
        <v>0</v>
      </c>
      <c r="I265" s="8">
        <v>-0.5</v>
      </c>
      <c r="J265" s="6" t="s">
        <v>411</v>
      </c>
      <c r="K265" s="6" t="s">
        <v>962</v>
      </c>
      <c r="L265" s="6">
        <f>38%</f>
        <v>0.38</v>
      </c>
      <c r="M265" s="6" t="s">
        <v>2596</v>
      </c>
      <c r="N265" s="6">
        <f>38%</f>
        <v>0.38</v>
      </c>
      <c r="O265" s="6" t="s">
        <v>2597</v>
      </c>
      <c r="P265" s="6" t="s">
        <v>2598</v>
      </c>
      <c r="Q265" s="6" t="s">
        <v>217</v>
      </c>
      <c r="R265" s="6" t="s">
        <v>2599</v>
      </c>
      <c r="S265" s="6">
        <v>3</v>
      </c>
      <c r="T265" s="6" t="s">
        <v>2600</v>
      </c>
      <c r="U265" s="8">
        <v>-0.24</v>
      </c>
      <c r="V265" s="6"/>
      <c r="W265" s="6"/>
      <c r="X265" s="6"/>
      <c r="Y265" s="6"/>
      <c r="Z265" s="6"/>
      <c r="AA265" s="6"/>
      <c r="AB265" s="6"/>
      <c r="AC265" s="6"/>
      <c r="AD265" s="7"/>
    </row>
    <row r="266" spans="1:30" ht="15.6" x14ac:dyDescent="0.3">
      <c r="A266" s="4">
        <v>521</v>
      </c>
      <c r="B266" s="5" t="s">
        <v>2601</v>
      </c>
      <c r="C266" s="6" t="s">
        <v>72</v>
      </c>
      <c r="D266" s="5" t="s">
        <v>2602</v>
      </c>
      <c r="E266" s="5" t="s">
        <v>33</v>
      </c>
      <c r="F266" s="6" t="s">
        <v>2603</v>
      </c>
      <c r="G266" s="6" t="s">
        <v>2604</v>
      </c>
      <c r="H266" s="8">
        <v>0</v>
      </c>
      <c r="I266" s="6" t="s">
        <v>1548</v>
      </c>
      <c r="J266" s="6" t="s">
        <v>421</v>
      </c>
      <c r="K266" s="6" t="s">
        <v>2605</v>
      </c>
      <c r="L266" s="6">
        <f>5%</f>
        <v>0.05</v>
      </c>
      <c r="M266" s="6" t="s">
        <v>2606</v>
      </c>
      <c r="N266" s="6">
        <f>5%</f>
        <v>0.05</v>
      </c>
      <c r="O266" s="6" t="s">
        <v>2607</v>
      </c>
      <c r="P266" s="6" t="s">
        <v>2608</v>
      </c>
      <c r="Q266" s="6">
        <f>0.019%</f>
        <v>1.8999999999999998E-4</v>
      </c>
      <c r="R266" s="6" t="s">
        <v>2609</v>
      </c>
      <c r="S266" s="6">
        <v>85</v>
      </c>
      <c r="T266" s="6" t="s">
        <v>2610</v>
      </c>
      <c r="U266" s="8">
        <v>-0.39</v>
      </c>
      <c r="V266" s="6"/>
      <c r="W266" s="6"/>
      <c r="X266" s="6"/>
      <c r="Y266" s="6"/>
      <c r="Z266" s="6"/>
      <c r="AA266" s="6"/>
      <c r="AB266" s="6"/>
      <c r="AC266" s="6"/>
      <c r="AD266" s="7"/>
    </row>
    <row r="267" spans="1:30" ht="15.6" x14ac:dyDescent="0.3">
      <c r="A267" s="4">
        <v>522</v>
      </c>
      <c r="B267" s="5" t="s">
        <v>2611</v>
      </c>
      <c r="C267" s="6" t="s">
        <v>114</v>
      </c>
      <c r="D267" s="5" t="s">
        <v>2612</v>
      </c>
      <c r="E267" s="5" t="s">
        <v>33</v>
      </c>
      <c r="F267" s="6" t="s">
        <v>2613</v>
      </c>
      <c r="G267" s="6" t="s">
        <v>2614</v>
      </c>
      <c r="H267" s="8">
        <v>0</v>
      </c>
      <c r="I267" s="8">
        <v>-0.85</v>
      </c>
      <c r="J267" s="6" t="s">
        <v>1912</v>
      </c>
      <c r="K267" s="6" t="s">
        <v>2615</v>
      </c>
      <c r="L267" s="8">
        <v>-0.16</v>
      </c>
      <c r="M267" s="6" t="s">
        <v>2616</v>
      </c>
      <c r="N267" s="8">
        <v>-0.16</v>
      </c>
      <c r="O267" s="6" t="s">
        <v>2617</v>
      </c>
      <c r="P267" s="6" t="s">
        <v>2618</v>
      </c>
      <c r="Q267" s="6" t="s">
        <v>217</v>
      </c>
      <c r="R267" s="6">
        <v>903</v>
      </c>
      <c r="S267" s="6">
        <v>14</v>
      </c>
      <c r="T267" s="6">
        <v>723</v>
      </c>
      <c r="U267" s="8">
        <v>-0.1</v>
      </c>
      <c r="V267" s="6"/>
      <c r="W267" s="6"/>
      <c r="X267" s="6"/>
      <c r="Y267" s="6"/>
      <c r="Z267" s="6"/>
      <c r="AA267" s="6"/>
      <c r="AB267" s="6"/>
      <c r="AC267" s="6"/>
      <c r="AD267" s="7"/>
    </row>
    <row r="268" spans="1:30" ht="15.6" x14ac:dyDescent="0.3">
      <c r="A268" s="4">
        <v>523</v>
      </c>
      <c r="B268" s="5" t="s">
        <v>2619</v>
      </c>
      <c r="C268" s="6" t="s">
        <v>370</v>
      </c>
      <c r="D268" s="5" t="s">
        <v>2620</v>
      </c>
      <c r="E268" s="5" t="s">
        <v>33</v>
      </c>
      <c r="F268" s="6" t="s">
        <v>2621</v>
      </c>
      <c r="G268" s="6" t="s">
        <v>2622</v>
      </c>
      <c r="H268" s="8">
        <v>0</v>
      </c>
      <c r="I268" s="6" t="s">
        <v>152</v>
      </c>
      <c r="J268" s="6" t="s">
        <v>482</v>
      </c>
      <c r="K268" s="6" t="s">
        <v>2623</v>
      </c>
      <c r="L268" s="8">
        <v>-0.31</v>
      </c>
      <c r="M268" s="6" t="s">
        <v>2624</v>
      </c>
      <c r="N268" s="8">
        <v>-0.31</v>
      </c>
      <c r="O268" s="6" t="s">
        <v>2625</v>
      </c>
      <c r="P268" s="6" t="s">
        <v>2626</v>
      </c>
      <c r="Q268" s="6">
        <f>0.85%</f>
        <v>8.5000000000000006E-3</v>
      </c>
      <c r="R268" s="6">
        <v>647</v>
      </c>
      <c r="S268" s="6">
        <v>35</v>
      </c>
      <c r="T268" s="6">
        <v>947</v>
      </c>
      <c r="U268" s="8">
        <v>-0.48</v>
      </c>
      <c r="V268" s="6"/>
      <c r="W268" s="6"/>
      <c r="X268" s="6"/>
      <c r="Y268" s="6"/>
      <c r="Z268" s="6"/>
      <c r="AA268" s="6"/>
      <c r="AB268" s="6"/>
      <c r="AC268" s="6"/>
      <c r="AD268" s="7"/>
    </row>
    <row r="269" spans="1:30" ht="15.6" x14ac:dyDescent="0.3">
      <c r="A269" s="4">
        <v>524</v>
      </c>
      <c r="B269" s="5" t="s">
        <v>2627</v>
      </c>
      <c r="C269" s="6" t="s">
        <v>173</v>
      </c>
      <c r="D269" s="5" t="s">
        <v>2628</v>
      </c>
      <c r="E269" s="5" t="s">
        <v>33</v>
      </c>
      <c r="F269" s="6" t="s">
        <v>2629</v>
      </c>
      <c r="G269" s="6" t="s">
        <v>2630</v>
      </c>
      <c r="H269" s="8">
        <v>0</v>
      </c>
      <c r="I269" s="6" t="s">
        <v>9262</v>
      </c>
      <c r="J269" s="6" t="s">
        <v>2009</v>
      </c>
      <c r="K269" s="6" t="s">
        <v>2631</v>
      </c>
      <c r="L269" s="8">
        <v>-0.31</v>
      </c>
      <c r="M269" s="6" t="s">
        <v>2632</v>
      </c>
      <c r="N269" s="8">
        <v>-0.31</v>
      </c>
      <c r="O269" s="6" t="s">
        <v>2633</v>
      </c>
      <c r="P269" s="6" t="s">
        <v>217</v>
      </c>
      <c r="Q269" s="6" t="s">
        <v>217</v>
      </c>
      <c r="R269" s="6">
        <v>29</v>
      </c>
      <c r="S269" s="6">
        <v>0</v>
      </c>
      <c r="T269" s="6">
        <v>79</v>
      </c>
      <c r="U269" s="6" t="s">
        <v>217</v>
      </c>
      <c r="V269" s="6"/>
      <c r="W269" s="6"/>
      <c r="X269" s="6"/>
      <c r="Y269" s="6"/>
      <c r="Z269" s="6"/>
      <c r="AA269" s="6"/>
      <c r="AB269" s="6"/>
      <c r="AC269" s="6"/>
      <c r="AD269" s="7"/>
    </row>
    <row r="270" spans="1:30" ht="15.6" x14ac:dyDescent="0.3">
      <c r="A270" s="4">
        <v>525</v>
      </c>
      <c r="B270" s="5" t="s">
        <v>2634</v>
      </c>
      <c r="C270" s="6" t="s">
        <v>31</v>
      </c>
      <c r="D270" s="5" t="s">
        <v>2635</v>
      </c>
      <c r="E270" s="5" t="s">
        <v>33</v>
      </c>
      <c r="F270" s="6" t="s">
        <v>2636</v>
      </c>
      <c r="G270" s="6" t="s">
        <v>2637</v>
      </c>
      <c r="H270" s="8">
        <v>0</v>
      </c>
      <c r="I270" s="6" t="s">
        <v>2638</v>
      </c>
      <c r="J270" s="6" t="s">
        <v>442</v>
      </c>
      <c r="K270" s="6" t="s">
        <v>2639</v>
      </c>
      <c r="L270" s="8">
        <v>-0.26</v>
      </c>
      <c r="M270" s="6" t="s">
        <v>2640</v>
      </c>
      <c r="N270" s="8">
        <v>-0.26</v>
      </c>
      <c r="O270" s="6" t="s">
        <v>2641</v>
      </c>
      <c r="P270" s="6" t="s">
        <v>2528</v>
      </c>
      <c r="Q270" s="6" t="s">
        <v>217</v>
      </c>
      <c r="R270" s="6">
        <v>521</v>
      </c>
      <c r="S270" s="6">
        <v>1</v>
      </c>
      <c r="T270" s="6">
        <v>134</v>
      </c>
      <c r="U270" s="6">
        <f>170%</f>
        <v>1.7</v>
      </c>
      <c r="V270" s="6"/>
      <c r="W270" s="6"/>
      <c r="X270" s="6"/>
      <c r="Y270" s="6"/>
      <c r="Z270" s="6"/>
      <c r="AA270" s="6"/>
      <c r="AB270" s="6"/>
      <c r="AC270" s="6"/>
      <c r="AD270" s="7"/>
    </row>
    <row r="271" spans="1:30" ht="15.6" x14ac:dyDescent="0.3">
      <c r="A271" s="4">
        <v>526</v>
      </c>
      <c r="B271" s="5" t="s">
        <v>2642</v>
      </c>
      <c r="C271" s="6" t="s">
        <v>114</v>
      </c>
      <c r="D271" s="5" t="s">
        <v>2643</v>
      </c>
      <c r="E271" s="5" t="s">
        <v>33</v>
      </c>
      <c r="F271" s="6" t="s">
        <v>2644</v>
      </c>
      <c r="G271" s="6" t="s">
        <v>2645</v>
      </c>
      <c r="H271" s="8">
        <v>0</v>
      </c>
      <c r="I271" s="8">
        <v>-0.49</v>
      </c>
      <c r="J271" s="6" t="s">
        <v>1412</v>
      </c>
      <c r="K271" s="6" t="s">
        <v>2646</v>
      </c>
      <c r="L271" s="8">
        <v>-0.31</v>
      </c>
      <c r="M271" s="6" t="s">
        <v>2647</v>
      </c>
      <c r="N271" s="8">
        <v>-0.31</v>
      </c>
      <c r="O271" s="6" t="s">
        <v>2648</v>
      </c>
      <c r="P271" s="6" t="s">
        <v>2649</v>
      </c>
      <c r="Q271" s="6" t="s">
        <v>217</v>
      </c>
      <c r="R271" s="6">
        <v>171</v>
      </c>
      <c r="S271" s="6">
        <v>1</v>
      </c>
      <c r="T271" s="6">
        <v>322</v>
      </c>
      <c r="U271" s="6">
        <f>1.3%</f>
        <v>1.3000000000000001E-2</v>
      </c>
      <c r="V271" s="6"/>
      <c r="W271" s="6"/>
      <c r="X271" s="6"/>
      <c r="Y271" s="6"/>
      <c r="Z271" s="6"/>
      <c r="AA271" s="6"/>
      <c r="AB271" s="6"/>
      <c r="AC271" s="6"/>
      <c r="AD271" s="7"/>
    </row>
    <row r="272" spans="1:30" ht="15.6" x14ac:dyDescent="0.3">
      <c r="A272" s="4">
        <v>527</v>
      </c>
      <c r="B272" s="5" t="s">
        <v>2650</v>
      </c>
      <c r="C272" s="6" t="s">
        <v>291</v>
      </c>
      <c r="D272" s="5" t="s">
        <v>2651</v>
      </c>
      <c r="E272" s="5" t="s">
        <v>33</v>
      </c>
      <c r="F272" s="6" t="s">
        <v>2652</v>
      </c>
      <c r="G272" s="6" t="s">
        <v>2653</v>
      </c>
      <c r="H272" s="8">
        <v>0</v>
      </c>
      <c r="I272" s="8">
        <v>-0.75</v>
      </c>
      <c r="J272" s="6" t="s">
        <v>824</v>
      </c>
      <c r="K272" s="6" t="s">
        <v>2654</v>
      </c>
      <c r="L272" s="6">
        <f>9.2%</f>
        <v>9.1999999999999998E-2</v>
      </c>
      <c r="M272" s="6" t="s">
        <v>2655</v>
      </c>
      <c r="N272" s="6">
        <f>9.2%</f>
        <v>9.1999999999999998E-2</v>
      </c>
      <c r="O272" s="6" t="s">
        <v>2656</v>
      </c>
      <c r="P272" s="6" t="s">
        <v>2657</v>
      </c>
      <c r="Q272" s="6" t="s">
        <v>217</v>
      </c>
      <c r="R272" s="6">
        <v>394</v>
      </c>
      <c r="S272" s="6">
        <v>18</v>
      </c>
      <c r="T272" s="6">
        <v>794</v>
      </c>
      <c r="U272" s="8">
        <v>-0.4</v>
      </c>
      <c r="V272" s="6"/>
      <c r="W272" s="6"/>
      <c r="X272" s="6"/>
      <c r="Y272" s="6"/>
      <c r="Z272" s="6"/>
      <c r="AA272" s="6"/>
      <c r="AB272" s="6"/>
      <c r="AC272" s="6"/>
      <c r="AD272" s="7"/>
    </row>
    <row r="273" spans="1:30" ht="15.6" x14ac:dyDescent="0.3">
      <c r="A273" s="4">
        <v>528</v>
      </c>
      <c r="B273" s="5" t="s">
        <v>2658</v>
      </c>
      <c r="C273" s="6" t="s">
        <v>72</v>
      </c>
      <c r="D273" s="5" t="s">
        <v>2659</v>
      </c>
      <c r="E273" s="5" t="s">
        <v>33</v>
      </c>
      <c r="F273" s="6" t="s">
        <v>2660</v>
      </c>
      <c r="G273" s="6" t="s">
        <v>2661</v>
      </c>
      <c r="H273" s="8">
        <v>0</v>
      </c>
      <c r="I273" s="6" t="s">
        <v>877</v>
      </c>
      <c r="J273" s="6" t="s">
        <v>1851</v>
      </c>
      <c r="K273" s="6" t="s">
        <v>2662</v>
      </c>
      <c r="L273" s="8">
        <v>-0.18</v>
      </c>
      <c r="M273" s="6" t="s">
        <v>2663</v>
      </c>
      <c r="N273" s="8">
        <v>-0.18</v>
      </c>
      <c r="O273" s="6" t="s">
        <v>2664</v>
      </c>
      <c r="P273" s="6" t="s">
        <v>956</v>
      </c>
      <c r="Q273" s="8">
        <v>-0.56999999999999995</v>
      </c>
      <c r="R273" s="6" t="s">
        <v>2665</v>
      </c>
      <c r="S273" s="6">
        <v>84</v>
      </c>
      <c r="T273" s="6">
        <v>883</v>
      </c>
      <c r="U273" s="8">
        <v>-0.63</v>
      </c>
      <c r="V273" s="6"/>
      <c r="W273" s="6"/>
      <c r="X273" s="6"/>
      <c r="Y273" s="6"/>
      <c r="Z273" s="6"/>
      <c r="AA273" s="6"/>
      <c r="AB273" s="6"/>
      <c r="AC273" s="6"/>
      <c r="AD273" s="7"/>
    </row>
    <row r="274" spans="1:30" ht="15.6" x14ac:dyDescent="0.3">
      <c r="A274" s="4">
        <v>529</v>
      </c>
      <c r="B274" s="5" t="s">
        <v>2666</v>
      </c>
      <c r="C274" s="6" t="s">
        <v>60</v>
      </c>
      <c r="D274" s="5" t="s">
        <v>2667</v>
      </c>
      <c r="E274" s="5" t="s">
        <v>33</v>
      </c>
      <c r="F274" s="6" t="s">
        <v>2668</v>
      </c>
      <c r="G274" s="6" t="s">
        <v>2669</v>
      </c>
      <c r="H274" s="8">
        <v>0</v>
      </c>
      <c r="I274" s="8">
        <v>-0.7</v>
      </c>
      <c r="J274" s="6" t="s">
        <v>2009</v>
      </c>
      <c r="K274" s="6" t="s">
        <v>285</v>
      </c>
      <c r="L274" s="8">
        <v>-0.71</v>
      </c>
      <c r="M274" s="6" t="s">
        <v>2670</v>
      </c>
      <c r="N274" s="8">
        <v>-0.71</v>
      </c>
      <c r="O274" s="6" t="s">
        <v>2671</v>
      </c>
      <c r="P274" s="6" t="s">
        <v>2672</v>
      </c>
      <c r="Q274" s="6" t="s">
        <v>217</v>
      </c>
      <c r="R274" s="6">
        <v>200</v>
      </c>
      <c r="S274" s="6">
        <v>8</v>
      </c>
      <c r="T274" s="6">
        <v>252</v>
      </c>
      <c r="U274" s="6">
        <f>2%</f>
        <v>0.02</v>
      </c>
      <c r="V274" s="6"/>
      <c r="W274" s="6"/>
      <c r="X274" s="6"/>
      <c r="Y274" s="6"/>
      <c r="Z274" s="6"/>
      <c r="AA274" s="6"/>
      <c r="AB274" s="6"/>
      <c r="AC274" s="6"/>
      <c r="AD274" s="7"/>
    </row>
    <row r="275" spans="1:30" ht="15.6" x14ac:dyDescent="0.3">
      <c r="A275" s="4">
        <v>530</v>
      </c>
      <c r="B275" s="5" t="s">
        <v>2673</v>
      </c>
      <c r="C275" s="6" t="s">
        <v>291</v>
      </c>
      <c r="D275" s="5" t="s">
        <v>2674</v>
      </c>
      <c r="E275" s="5" t="s">
        <v>33</v>
      </c>
      <c r="F275" s="6" t="s">
        <v>2675</v>
      </c>
      <c r="G275" s="6" t="s">
        <v>2676</v>
      </c>
      <c r="H275" s="8">
        <v>0</v>
      </c>
      <c r="I275" s="8">
        <v>-0.23</v>
      </c>
      <c r="J275" s="6" t="s">
        <v>1048</v>
      </c>
      <c r="K275" s="6" t="s">
        <v>2677</v>
      </c>
      <c r="L275" s="8">
        <v>-0.25</v>
      </c>
      <c r="M275" s="6" t="s">
        <v>2678</v>
      </c>
      <c r="N275" s="8">
        <v>-0.25</v>
      </c>
      <c r="O275" s="6" t="s">
        <v>2679</v>
      </c>
      <c r="P275" s="6" t="s">
        <v>2680</v>
      </c>
      <c r="Q275" s="6" t="s">
        <v>217</v>
      </c>
      <c r="R275" s="6" t="s">
        <v>2681</v>
      </c>
      <c r="S275" s="6">
        <v>1</v>
      </c>
      <c r="T275" s="6">
        <v>456</v>
      </c>
      <c r="U275" s="6">
        <f>16%</f>
        <v>0.16</v>
      </c>
      <c r="V275" s="6"/>
      <c r="W275" s="6"/>
      <c r="X275" s="6"/>
      <c r="Y275" s="6"/>
      <c r="Z275" s="6"/>
      <c r="AA275" s="6"/>
      <c r="AB275" s="6"/>
      <c r="AC275" s="6"/>
      <c r="AD275" s="7"/>
    </row>
    <row r="276" spans="1:30" ht="15.6" x14ac:dyDescent="0.3">
      <c r="A276" s="4">
        <v>531</v>
      </c>
      <c r="B276" s="5" t="s">
        <v>2682</v>
      </c>
      <c r="C276" s="6" t="s">
        <v>72</v>
      </c>
      <c r="D276" s="5" t="s">
        <v>2683</v>
      </c>
      <c r="E276" s="5" t="s">
        <v>33</v>
      </c>
      <c r="F276" s="6" t="s">
        <v>2684</v>
      </c>
      <c r="G276" s="6" t="s">
        <v>2685</v>
      </c>
      <c r="H276" s="8">
        <v>0</v>
      </c>
      <c r="I276" s="6" t="s">
        <v>2686</v>
      </c>
      <c r="J276" s="6" t="s">
        <v>107</v>
      </c>
      <c r="K276" s="6" t="s">
        <v>2687</v>
      </c>
      <c r="L276" s="8">
        <v>-0.35</v>
      </c>
      <c r="M276" s="6" t="s">
        <v>2688</v>
      </c>
      <c r="N276" s="8">
        <v>-0.35</v>
      </c>
      <c r="O276" s="6" t="s">
        <v>2689</v>
      </c>
      <c r="P276" s="6" t="s">
        <v>2690</v>
      </c>
      <c r="Q276" s="6" t="s">
        <v>217</v>
      </c>
      <c r="R276" s="6">
        <v>145</v>
      </c>
      <c r="S276" s="6">
        <v>1</v>
      </c>
      <c r="T276" s="6" t="s">
        <v>2691</v>
      </c>
      <c r="U276" s="8">
        <v>-0.28000000000000003</v>
      </c>
      <c r="V276" s="6"/>
      <c r="W276" s="6"/>
      <c r="X276" s="6"/>
      <c r="Y276" s="6"/>
      <c r="Z276" s="6"/>
      <c r="AA276" s="6"/>
      <c r="AB276" s="6"/>
      <c r="AC276" s="6"/>
      <c r="AD276" s="7"/>
    </row>
    <row r="277" spans="1:30" ht="15.6" x14ac:dyDescent="0.3">
      <c r="A277" s="4">
        <v>532</v>
      </c>
      <c r="B277" s="5" t="s">
        <v>2692</v>
      </c>
      <c r="C277" s="6" t="s">
        <v>114</v>
      </c>
      <c r="D277" s="5" t="s">
        <v>2693</v>
      </c>
      <c r="E277" s="5" t="s">
        <v>33</v>
      </c>
      <c r="F277" s="6" t="s">
        <v>1138</v>
      </c>
      <c r="G277" s="6" t="s">
        <v>2694</v>
      </c>
      <c r="H277" s="8">
        <v>0</v>
      </c>
      <c r="I277" s="8">
        <v>-0.55000000000000004</v>
      </c>
      <c r="J277" s="6" t="s">
        <v>596</v>
      </c>
      <c r="K277" s="6" t="s">
        <v>2695</v>
      </c>
      <c r="L277" s="6">
        <f>13%</f>
        <v>0.13</v>
      </c>
      <c r="M277" s="6" t="s">
        <v>2696</v>
      </c>
      <c r="N277" s="6">
        <f>13%</f>
        <v>0.13</v>
      </c>
      <c r="O277" s="6" t="s">
        <v>2697</v>
      </c>
      <c r="P277" s="6" t="s">
        <v>2698</v>
      </c>
      <c r="Q277" s="6" t="s">
        <v>217</v>
      </c>
      <c r="R277" s="6">
        <v>566</v>
      </c>
      <c r="S277" s="6">
        <v>0</v>
      </c>
      <c r="T277" s="6">
        <v>872</v>
      </c>
      <c r="U277" s="6">
        <f>35%</f>
        <v>0.35</v>
      </c>
      <c r="V277" s="6"/>
      <c r="W277" s="6"/>
      <c r="X277" s="6"/>
      <c r="Y277" s="6"/>
      <c r="Z277" s="6"/>
      <c r="AA277" s="6"/>
      <c r="AB277" s="6"/>
      <c r="AC277" s="6"/>
      <c r="AD277" s="7"/>
    </row>
    <row r="278" spans="1:30" ht="15.6" x14ac:dyDescent="0.3">
      <c r="A278" s="4">
        <v>533</v>
      </c>
      <c r="B278" s="5" t="s">
        <v>2699</v>
      </c>
      <c r="C278" s="6" t="s">
        <v>85</v>
      </c>
      <c r="D278" s="5" t="s">
        <v>2700</v>
      </c>
      <c r="E278" s="5" t="s">
        <v>33</v>
      </c>
      <c r="F278" s="6" t="s">
        <v>2701</v>
      </c>
      <c r="G278" s="6" t="s">
        <v>2702</v>
      </c>
      <c r="H278" s="8">
        <v>0</v>
      </c>
      <c r="I278" s="8">
        <v>-1</v>
      </c>
      <c r="J278" s="6" t="s">
        <v>517</v>
      </c>
      <c r="K278" s="6" t="s">
        <v>2703</v>
      </c>
      <c r="L278" s="6" t="s">
        <v>591</v>
      </c>
      <c r="M278" s="6" t="s">
        <v>2704</v>
      </c>
      <c r="N278" s="6" t="s">
        <v>591</v>
      </c>
      <c r="O278" s="6" t="s">
        <v>2705</v>
      </c>
      <c r="P278" s="6" t="s">
        <v>2706</v>
      </c>
      <c r="Q278" s="6" t="s">
        <v>217</v>
      </c>
      <c r="R278" s="6" t="s">
        <v>2707</v>
      </c>
      <c r="S278" s="6">
        <v>168</v>
      </c>
      <c r="T278" s="6">
        <v>292</v>
      </c>
      <c r="U278" s="8">
        <v>-0.64</v>
      </c>
      <c r="V278" s="6"/>
      <c r="W278" s="6"/>
      <c r="X278" s="6"/>
      <c r="Y278" s="6"/>
      <c r="Z278" s="6"/>
      <c r="AA278" s="6"/>
      <c r="AB278" s="6"/>
      <c r="AC278" s="6"/>
      <c r="AD278" s="7"/>
    </row>
    <row r="279" spans="1:30" ht="15.6" x14ac:dyDescent="0.3">
      <c r="A279" s="4">
        <v>534</v>
      </c>
      <c r="B279" s="5" t="s">
        <v>2708</v>
      </c>
      <c r="C279" s="6" t="s">
        <v>173</v>
      </c>
      <c r="D279" s="5" t="s">
        <v>2709</v>
      </c>
      <c r="E279" s="5" t="s">
        <v>33</v>
      </c>
      <c r="F279" s="6" t="s">
        <v>2710</v>
      </c>
      <c r="G279" s="6" t="s">
        <v>2711</v>
      </c>
      <c r="H279" s="8">
        <v>0</v>
      </c>
      <c r="I279" s="6" t="s">
        <v>2712</v>
      </c>
      <c r="J279" s="6" t="s">
        <v>2713</v>
      </c>
      <c r="K279" s="6" t="s">
        <v>2714</v>
      </c>
      <c r="L279" s="8">
        <v>-0.16</v>
      </c>
      <c r="M279" s="6" t="s">
        <v>2715</v>
      </c>
      <c r="N279" s="8">
        <v>-0.16</v>
      </c>
      <c r="O279" s="6" t="s">
        <v>2716</v>
      </c>
      <c r="P279" s="6" t="s">
        <v>217</v>
      </c>
      <c r="Q279" s="6" t="s">
        <v>217</v>
      </c>
      <c r="R279" s="6">
        <v>70</v>
      </c>
      <c r="S279" s="6">
        <v>0</v>
      </c>
      <c r="T279" s="6">
        <v>157</v>
      </c>
      <c r="U279" s="6" t="s">
        <v>217</v>
      </c>
      <c r="V279" s="6"/>
      <c r="W279" s="6"/>
      <c r="X279" s="6"/>
      <c r="Y279" s="6"/>
      <c r="Z279" s="6"/>
      <c r="AA279" s="6"/>
      <c r="AB279" s="6"/>
      <c r="AC279" s="6"/>
      <c r="AD279" s="7"/>
    </row>
    <row r="280" spans="1:30" ht="15.6" x14ac:dyDescent="0.3">
      <c r="A280" s="4">
        <v>535</v>
      </c>
      <c r="B280" s="5" t="s">
        <v>2717</v>
      </c>
      <c r="C280" s="6" t="s">
        <v>72</v>
      </c>
      <c r="D280" s="5" t="s">
        <v>2718</v>
      </c>
      <c r="E280" s="5" t="s">
        <v>33</v>
      </c>
      <c r="F280" s="6" t="s">
        <v>2719</v>
      </c>
      <c r="G280" s="6" t="s">
        <v>2720</v>
      </c>
      <c r="H280" s="8">
        <v>0</v>
      </c>
      <c r="I280" s="8">
        <v>-0.82</v>
      </c>
      <c r="J280" s="8">
        <v>0</v>
      </c>
      <c r="K280" s="6" t="s">
        <v>2721</v>
      </c>
      <c r="L280" s="8">
        <v>-0.38</v>
      </c>
      <c r="M280" s="6" t="s">
        <v>2722</v>
      </c>
      <c r="N280" s="8">
        <v>-0.38</v>
      </c>
      <c r="O280" s="6" t="s">
        <v>2723</v>
      </c>
      <c r="P280" s="6" t="s">
        <v>2724</v>
      </c>
      <c r="Q280" s="6" t="s">
        <v>217</v>
      </c>
      <c r="R280" s="6">
        <v>285</v>
      </c>
      <c r="S280" s="6">
        <v>3</v>
      </c>
      <c r="T280" s="6" t="s">
        <v>725</v>
      </c>
      <c r="U280" s="8">
        <v>-0.78</v>
      </c>
      <c r="V280" s="6"/>
      <c r="W280" s="6"/>
      <c r="X280" s="6"/>
      <c r="Y280" s="6"/>
      <c r="Z280" s="6"/>
      <c r="AA280" s="6"/>
      <c r="AB280" s="6"/>
      <c r="AC280" s="6"/>
      <c r="AD280" s="7"/>
    </row>
    <row r="281" spans="1:30" ht="15.6" x14ac:dyDescent="0.3">
      <c r="A281" s="4">
        <v>536</v>
      </c>
      <c r="B281" s="5" t="s">
        <v>2725</v>
      </c>
      <c r="C281" s="6" t="s">
        <v>1408</v>
      </c>
      <c r="D281" s="5" t="s">
        <v>2726</v>
      </c>
      <c r="E281" s="5" t="s">
        <v>33</v>
      </c>
      <c r="F281" s="6" t="s">
        <v>2727</v>
      </c>
      <c r="G281" s="6" t="s">
        <v>2728</v>
      </c>
      <c r="H281" s="8">
        <v>0</v>
      </c>
      <c r="I281" s="6" t="s">
        <v>845</v>
      </c>
      <c r="J281" s="6" t="s">
        <v>374</v>
      </c>
      <c r="K281" s="6" t="s">
        <v>2729</v>
      </c>
      <c r="L281" s="8">
        <v>-0.39</v>
      </c>
      <c r="M281" s="6" t="s">
        <v>2730</v>
      </c>
      <c r="N281" s="8">
        <v>-0.39</v>
      </c>
      <c r="O281" s="6" t="s">
        <v>2731</v>
      </c>
      <c r="P281" s="6" t="s">
        <v>2732</v>
      </c>
      <c r="Q281" s="8">
        <v>-0.91</v>
      </c>
      <c r="R281" s="6">
        <v>854</v>
      </c>
      <c r="S281" s="6">
        <v>9</v>
      </c>
      <c r="T281" s="6" t="s">
        <v>2733</v>
      </c>
      <c r="U281" s="8">
        <v>-1</v>
      </c>
      <c r="V281" s="6"/>
      <c r="W281" s="6"/>
      <c r="X281" s="6"/>
      <c r="Y281" s="6"/>
      <c r="Z281" s="6"/>
      <c r="AA281" s="6"/>
      <c r="AB281" s="6"/>
      <c r="AC281" s="6"/>
      <c r="AD281" s="7"/>
    </row>
    <row r="282" spans="1:30" ht="15.6" x14ac:dyDescent="0.3">
      <c r="A282" s="4">
        <v>537</v>
      </c>
      <c r="B282" s="5" t="s">
        <v>2734</v>
      </c>
      <c r="C282" s="6" t="s">
        <v>173</v>
      </c>
      <c r="D282" s="5" t="s">
        <v>2735</v>
      </c>
      <c r="E282" s="5" t="s">
        <v>33</v>
      </c>
      <c r="F282" s="6" t="s">
        <v>2736</v>
      </c>
      <c r="G282" s="6" t="s">
        <v>2737</v>
      </c>
      <c r="H282" s="8">
        <v>0</v>
      </c>
      <c r="I282" s="6">
        <f>67%</f>
        <v>0.67</v>
      </c>
      <c r="J282" s="6" t="s">
        <v>1059</v>
      </c>
      <c r="K282" s="6" t="s">
        <v>658</v>
      </c>
      <c r="L282" s="8">
        <v>-0.91</v>
      </c>
      <c r="M282" s="6" t="s">
        <v>2738</v>
      </c>
      <c r="N282" s="8">
        <v>-0.91</v>
      </c>
      <c r="O282" s="6" t="s">
        <v>2739</v>
      </c>
      <c r="P282" s="6" t="s">
        <v>2740</v>
      </c>
      <c r="Q282" s="6" t="s">
        <v>217</v>
      </c>
      <c r="R282" s="6">
        <v>56</v>
      </c>
      <c r="S282" s="6">
        <v>0</v>
      </c>
      <c r="T282" s="6">
        <v>129</v>
      </c>
      <c r="U282" s="6">
        <f>4%</f>
        <v>0.04</v>
      </c>
      <c r="V282" s="6"/>
      <c r="W282" s="6"/>
      <c r="X282" s="6"/>
      <c r="Y282" s="6"/>
      <c r="Z282" s="6"/>
      <c r="AA282" s="6"/>
      <c r="AB282" s="6"/>
      <c r="AC282" s="6"/>
      <c r="AD282" s="7"/>
    </row>
    <row r="283" spans="1:30" ht="15.6" x14ac:dyDescent="0.3">
      <c r="A283" s="4">
        <v>538</v>
      </c>
      <c r="B283" s="5" t="s">
        <v>2741</v>
      </c>
      <c r="C283" s="6" t="s">
        <v>126</v>
      </c>
      <c r="D283" s="5" t="s">
        <v>2742</v>
      </c>
      <c r="E283" s="5" t="s">
        <v>33</v>
      </c>
      <c r="F283" s="6" t="s">
        <v>2743</v>
      </c>
      <c r="G283" s="6" t="s">
        <v>2744</v>
      </c>
      <c r="H283" s="8">
        <v>0</v>
      </c>
      <c r="I283" s="8">
        <v>-0.81</v>
      </c>
      <c r="J283" s="6" t="s">
        <v>431</v>
      </c>
      <c r="K283" s="6" t="s">
        <v>2745</v>
      </c>
      <c r="L283" s="8">
        <v>-0.28000000000000003</v>
      </c>
      <c r="M283" s="6" t="s">
        <v>996</v>
      </c>
      <c r="N283" s="8">
        <v>-0.28000000000000003</v>
      </c>
      <c r="O283" s="6" t="s">
        <v>2746</v>
      </c>
      <c r="P283" s="6" t="s">
        <v>2747</v>
      </c>
      <c r="Q283" s="6" t="s">
        <v>217</v>
      </c>
      <c r="R283" s="6">
        <v>301</v>
      </c>
      <c r="S283" s="6">
        <v>0</v>
      </c>
      <c r="T283" s="6">
        <v>348</v>
      </c>
      <c r="U283" s="6">
        <f>6.4%</f>
        <v>6.4000000000000001E-2</v>
      </c>
      <c r="V283" s="6"/>
      <c r="W283" s="6"/>
      <c r="X283" s="6"/>
      <c r="Y283" s="6"/>
      <c r="Z283" s="6"/>
      <c r="AA283" s="6"/>
      <c r="AB283" s="6"/>
      <c r="AC283" s="6"/>
      <c r="AD283" s="7"/>
    </row>
    <row r="284" spans="1:30" ht="15.6" x14ac:dyDescent="0.3">
      <c r="A284" s="4">
        <v>539</v>
      </c>
      <c r="B284" s="5" t="s">
        <v>2748</v>
      </c>
      <c r="C284" s="6" t="s">
        <v>126</v>
      </c>
      <c r="D284" s="5" t="s">
        <v>2749</v>
      </c>
      <c r="E284" s="5" t="s">
        <v>33</v>
      </c>
      <c r="F284" s="6" t="s">
        <v>2750</v>
      </c>
      <c r="G284" s="6" t="s">
        <v>2751</v>
      </c>
      <c r="H284" s="8">
        <v>0</v>
      </c>
      <c r="I284" s="8">
        <v>-0.91</v>
      </c>
      <c r="J284" s="6" t="s">
        <v>250</v>
      </c>
      <c r="K284" s="6" t="s">
        <v>658</v>
      </c>
      <c r="L284" s="8">
        <v>-0.41</v>
      </c>
      <c r="M284" s="6" t="s">
        <v>2752</v>
      </c>
      <c r="N284" s="8">
        <v>-0.41</v>
      </c>
      <c r="O284" s="6" t="s">
        <v>2753</v>
      </c>
      <c r="P284" s="6" t="s">
        <v>2754</v>
      </c>
      <c r="Q284" s="6" t="s">
        <v>217</v>
      </c>
      <c r="R284" s="6">
        <v>131</v>
      </c>
      <c r="S284" s="6">
        <v>0</v>
      </c>
      <c r="T284" s="6">
        <v>421</v>
      </c>
      <c r="U284" s="8">
        <v>-0.9</v>
      </c>
      <c r="V284" s="6"/>
      <c r="W284" s="6"/>
      <c r="X284" s="6"/>
      <c r="Y284" s="6"/>
      <c r="Z284" s="6"/>
      <c r="AA284" s="6"/>
      <c r="AB284" s="6"/>
      <c r="AC284" s="6"/>
      <c r="AD284" s="7"/>
    </row>
    <row r="285" spans="1:30" ht="15.6" x14ac:dyDescent="0.3">
      <c r="A285" s="4">
        <v>540</v>
      </c>
      <c r="B285" s="5" t="s">
        <v>2755</v>
      </c>
      <c r="C285" s="6" t="s">
        <v>85</v>
      </c>
      <c r="D285" s="5" t="s">
        <v>2756</v>
      </c>
      <c r="E285" s="5" t="s">
        <v>33</v>
      </c>
      <c r="F285" s="6" t="s">
        <v>2757</v>
      </c>
      <c r="G285" s="6" t="s">
        <v>2758</v>
      </c>
      <c r="H285" s="8">
        <v>0</v>
      </c>
      <c r="I285" s="8">
        <v>-0.69</v>
      </c>
      <c r="J285" s="6" t="s">
        <v>64</v>
      </c>
      <c r="K285" s="6" t="s">
        <v>2759</v>
      </c>
      <c r="L285" s="8">
        <v>-0.33</v>
      </c>
      <c r="M285" s="6" t="s">
        <v>2760</v>
      </c>
      <c r="N285" s="8">
        <v>-0.33</v>
      </c>
      <c r="O285" s="6" t="s">
        <v>2761</v>
      </c>
      <c r="P285" s="6" t="s">
        <v>2762</v>
      </c>
      <c r="Q285" s="6" t="s">
        <v>217</v>
      </c>
      <c r="R285" s="6" t="s">
        <v>2763</v>
      </c>
      <c r="S285" s="6">
        <v>378</v>
      </c>
      <c r="T285" s="6">
        <v>288</v>
      </c>
      <c r="U285" s="6"/>
      <c r="V285" s="6"/>
      <c r="W285" s="6"/>
      <c r="X285" s="6"/>
      <c r="Y285" s="6"/>
      <c r="Z285" s="6"/>
      <c r="AA285" s="6"/>
      <c r="AB285" s="6"/>
      <c r="AC285" s="6"/>
      <c r="AD285" s="7"/>
    </row>
    <row r="286" spans="1:30" ht="15.6" x14ac:dyDescent="0.3">
      <c r="A286" s="4">
        <v>541</v>
      </c>
      <c r="B286" s="5" t="s">
        <v>2764</v>
      </c>
      <c r="C286" s="6" t="s">
        <v>126</v>
      </c>
      <c r="D286" s="5" t="s">
        <v>2765</v>
      </c>
      <c r="E286" s="5" t="s">
        <v>33</v>
      </c>
      <c r="F286" s="6" t="s">
        <v>2766</v>
      </c>
      <c r="G286" s="6" t="s">
        <v>2767</v>
      </c>
      <c r="H286" s="8">
        <v>0</v>
      </c>
      <c r="I286" s="8">
        <v>-0.86</v>
      </c>
      <c r="J286" s="6" t="s">
        <v>131</v>
      </c>
      <c r="K286" s="6" t="s">
        <v>2768</v>
      </c>
      <c r="L286" s="6" t="s">
        <v>591</v>
      </c>
      <c r="M286" s="6" t="s">
        <v>2769</v>
      </c>
      <c r="N286" s="6" t="s">
        <v>591</v>
      </c>
      <c r="O286" s="6" t="s">
        <v>1978</v>
      </c>
      <c r="P286" s="6" t="s">
        <v>2770</v>
      </c>
      <c r="Q286" s="6" t="s">
        <v>217</v>
      </c>
      <c r="R286" s="6">
        <v>78</v>
      </c>
      <c r="S286" s="6">
        <v>0</v>
      </c>
      <c r="T286" s="6">
        <v>56</v>
      </c>
      <c r="U286" s="6">
        <f>1.8%</f>
        <v>1.8000000000000002E-2</v>
      </c>
      <c r="V286" s="6"/>
      <c r="W286" s="6"/>
      <c r="X286" s="6"/>
      <c r="Y286" s="6"/>
      <c r="Z286" s="6"/>
      <c r="AA286" s="6"/>
      <c r="AB286" s="6"/>
      <c r="AC286" s="6"/>
      <c r="AD286" s="7"/>
    </row>
    <row r="287" spans="1:30" ht="15.6" x14ac:dyDescent="0.3">
      <c r="A287" s="4">
        <v>542</v>
      </c>
      <c r="B287" s="5" t="s">
        <v>2771</v>
      </c>
      <c r="C287" s="6" t="s">
        <v>1408</v>
      </c>
      <c r="D287" s="5" t="s">
        <v>2772</v>
      </c>
      <c r="E287" s="5" t="s">
        <v>33</v>
      </c>
      <c r="F287" s="6" t="s">
        <v>2773</v>
      </c>
      <c r="G287" s="6" t="s">
        <v>2774</v>
      </c>
      <c r="H287" s="8">
        <v>0</v>
      </c>
      <c r="I287" s="6" t="s">
        <v>2775</v>
      </c>
      <c r="J287" s="6" t="s">
        <v>2776</v>
      </c>
      <c r="K287" s="6" t="s">
        <v>2615</v>
      </c>
      <c r="L287" s="8">
        <v>-0.28000000000000003</v>
      </c>
      <c r="M287" s="6" t="s">
        <v>2777</v>
      </c>
      <c r="N287" s="8">
        <v>-0.28000000000000003</v>
      </c>
      <c r="O287" s="6" t="s">
        <v>2778</v>
      </c>
      <c r="P287" s="6" t="s">
        <v>2779</v>
      </c>
      <c r="Q287" s="6">
        <f>130%</f>
        <v>1.3</v>
      </c>
      <c r="R287" s="6" t="s">
        <v>2780</v>
      </c>
      <c r="S287" s="6">
        <v>38</v>
      </c>
      <c r="T287" s="6" t="s">
        <v>2781</v>
      </c>
      <c r="U287" s="8">
        <v>-0.81</v>
      </c>
      <c r="V287" s="6"/>
      <c r="W287" s="6"/>
      <c r="X287" s="6"/>
      <c r="Y287" s="6"/>
      <c r="Z287" s="6"/>
      <c r="AA287" s="6"/>
      <c r="AB287" s="6"/>
      <c r="AC287" s="6"/>
      <c r="AD287" s="7"/>
    </row>
    <row r="288" spans="1:30" ht="15.6" x14ac:dyDescent="0.3">
      <c r="A288" s="4">
        <v>543</v>
      </c>
      <c r="B288" s="5" t="s">
        <v>2782</v>
      </c>
      <c r="C288" s="6" t="s">
        <v>72</v>
      </c>
      <c r="D288" s="5" t="s">
        <v>2783</v>
      </c>
      <c r="E288" s="5" t="s">
        <v>48</v>
      </c>
      <c r="F288" s="6" t="s">
        <v>2784</v>
      </c>
      <c r="G288" s="6" t="s">
        <v>2785</v>
      </c>
      <c r="H288" s="8">
        <v>0</v>
      </c>
      <c r="I288" s="8">
        <v>-0.1</v>
      </c>
      <c r="J288" s="6" t="s">
        <v>1412</v>
      </c>
      <c r="K288" s="6" t="s">
        <v>2786</v>
      </c>
      <c r="L288" s="8">
        <v>-0.19</v>
      </c>
      <c r="M288" s="6" t="s">
        <v>2787</v>
      </c>
      <c r="N288" s="8">
        <v>-0.19</v>
      </c>
      <c r="O288" s="6" t="s">
        <v>2788</v>
      </c>
      <c r="P288" s="6" t="s">
        <v>2789</v>
      </c>
      <c r="Q288" s="6" t="s">
        <v>217</v>
      </c>
      <c r="R288" s="6">
        <v>206</v>
      </c>
      <c r="S288" s="6">
        <v>0</v>
      </c>
      <c r="T288" s="6">
        <v>201</v>
      </c>
      <c r="U288" s="6">
        <f>15%</f>
        <v>0.15</v>
      </c>
      <c r="V288" s="6"/>
      <c r="W288" s="6"/>
      <c r="X288" s="6"/>
      <c r="Y288" s="6"/>
      <c r="Z288" s="6"/>
      <c r="AA288" s="6"/>
      <c r="AB288" s="6"/>
      <c r="AC288" s="6"/>
      <c r="AD288" s="7"/>
    </row>
    <row r="289" spans="1:30" ht="15.6" x14ac:dyDescent="0.3">
      <c r="A289" s="4">
        <v>544</v>
      </c>
      <c r="B289" s="5" t="s">
        <v>2790</v>
      </c>
      <c r="C289" s="6" t="s">
        <v>173</v>
      </c>
      <c r="D289" s="5" t="s">
        <v>2791</v>
      </c>
      <c r="E289" s="5" t="s">
        <v>33</v>
      </c>
      <c r="F289" s="6" t="s">
        <v>2792</v>
      </c>
      <c r="G289" s="6" t="s">
        <v>2793</v>
      </c>
      <c r="H289" s="8">
        <v>0</v>
      </c>
      <c r="I289" s="8">
        <v>-0.92</v>
      </c>
      <c r="J289" s="6" t="s">
        <v>1491</v>
      </c>
      <c r="K289" s="6" t="s">
        <v>2794</v>
      </c>
      <c r="L289" s="6">
        <f>38%</f>
        <v>0.38</v>
      </c>
      <c r="M289" s="6" t="s">
        <v>2795</v>
      </c>
      <c r="N289" s="6">
        <f>38%</f>
        <v>0.38</v>
      </c>
      <c r="O289" s="6" t="s">
        <v>2796</v>
      </c>
      <c r="P289" s="6" t="s">
        <v>2797</v>
      </c>
      <c r="Q289" s="6" t="s">
        <v>217</v>
      </c>
      <c r="R289" s="6">
        <v>955</v>
      </c>
      <c r="S289" s="6">
        <v>8</v>
      </c>
      <c r="T289" s="6" t="s">
        <v>2798</v>
      </c>
      <c r="U289" s="6">
        <f>52%</f>
        <v>0.52</v>
      </c>
      <c r="V289" s="6"/>
      <c r="W289" s="6"/>
      <c r="X289" s="6"/>
      <c r="Y289" s="6"/>
      <c r="Z289" s="6"/>
      <c r="AA289" s="6"/>
      <c r="AB289" s="6"/>
      <c r="AC289" s="6"/>
      <c r="AD289" s="7"/>
    </row>
    <row r="290" spans="1:30" ht="15.6" x14ac:dyDescent="0.3">
      <c r="A290" s="4">
        <v>545</v>
      </c>
      <c r="B290" s="5" t="s">
        <v>2799</v>
      </c>
      <c r="C290" s="6" t="s">
        <v>60</v>
      </c>
      <c r="D290" s="5" t="s">
        <v>2800</v>
      </c>
      <c r="E290" s="5" t="s">
        <v>33</v>
      </c>
      <c r="F290" s="6" t="s">
        <v>2801</v>
      </c>
      <c r="G290" s="6" t="s">
        <v>2802</v>
      </c>
      <c r="H290" s="8">
        <v>0</v>
      </c>
      <c r="I290" s="8">
        <v>-0.69</v>
      </c>
      <c r="J290" s="6" t="s">
        <v>259</v>
      </c>
      <c r="K290" s="6" t="s">
        <v>2803</v>
      </c>
      <c r="L290" s="8">
        <v>-0.15</v>
      </c>
      <c r="M290" s="6" t="s">
        <v>2804</v>
      </c>
      <c r="N290" s="8">
        <v>-0.15</v>
      </c>
      <c r="O290" s="6" t="s">
        <v>2805</v>
      </c>
      <c r="P290" s="6" t="s">
        <v>2806</v>
      </c>
      <c r="Q290" s="6" t="s">
        <v>217</v>
      </c>
      <c r="R290" s="6">
        <v>89</v>
      </c>
      <c r="S290" s="6">
        <v>0</v>
      </c>
      <c r="T290" s="6">
        <v>191</v>
      </c>
      <c r="U290" s="8">
        <v>-0.97</v>
      </c>
      <c r="V290" s="6"/>
      <c r="W290" s="6"/>
      <c r="X290" s="6"/>
      <c r="Y290" s="6"/>
      <c r="Z290" s="6"/>
      <c r="AA290" s="6"/>
      <c r="AB290" s="6"/>
      <c r="AC290" s="6"/>
      <c r="AD290" s="7"/>
    </row>
    <row r="291" spans="1:30" ht="15.6" x14ac:dyDescent="0.3">
      <c r="A291" s="4">
        <v>546</v>
      </c>
      <c r="B291" s="5" t="s">
        <v>2807</v>
      </c>
      <c r="C291" s="6" t="s">
        <v>72</v>
      </c>
      <c r="D291" s="5" t="s">
        <v>2808</v>
      </c>
      <c r="E291" s="5" t="s">
        <v>48</v>
      </c>
      <c r="F291" s="6" t="s">
        <v>2809</v>
      </c>
      <c r="G291" s="6" t="s">
        <v>2810</v>
      </c>
      <c r="H291" s="8">
        <v>0</v>
      </c>
      <c r="I291" s="8">
        <v>-0.14000000000000001</v>
      </c>
      <c r="J291" s="6" t="s">
        <v>385</v>
      </c>
      <c r="K291" s="6" t="s">
        <v>2811</v>
      </c>
      <c r="L291" s="8">
        <v>-0.27</v>
      </c>
      <c r="M291" s="6" t="s">
        <v>2812</v>
      </c>
      <c r="N291" s="8">
        <v>-0.27</v>
      </c>
      <c r="O291" s="6" t="s">
        <v>2813</v>
      </c>
      <c r="P291" s="6" t="s">
        <v>2814</v>
      </c>
      <c r="Q291" s="6" t="s">
        <v>217</v>
      </c>
      <c r="R291" s="6">
        <v>976</v>
      </c>
      <c r="S291" s="6">
        <v>5</v>
      </c>
      <c r="T291" s="6">
        <v>924</v>
      </c>
      <c r="U291" s="6" t="s">
        <v>217</v>
      </c>
      <c r="V291" s="6"/>
      <c r="W291" s="6"/>
      <c r="X291" s="6"/>
      <c r="Y291" s="6"/>
      <c r="Z291" s="6"/>
      <c r="AA291" s="6"/>
      <c r="AB291" s="6"/>
      <c r="AC291" s="6"/>
      <c r="AD291" s="7"/>
    </row>
    <row r="292" spans="1:30" ht="15.6" x14ac:dyDescent="0.3">
      <c r="A292" s="4">
        <v>547</v>
      </c>
      <c r="B292" s="5" t="s">
        <v>2815</v>
      </c>
      <c r="C292" s="6" t="s">
        <v>304</v>
      </c>
      <c r="D292" s="5" t="s">
        <v>2816</v>
      </c>
      <c r="E292" s="5" t="s">
        <v>33</v>
      </c>
      <c r="F292" s="6" t="s">
        <v>2817</v>
      </c>
      <c r="G292" s="6" t="s">
        <v>2818</v>
      </c>
      <c r="H292" s="8">
        <v>0</v>
      </c>
      <c r="I292" s="8">
        <v>-0.93</v>
      </c>
      <c r="J292" s="6" t="s">
        <v>166</v>
      </c>
      <c r="K292" s="6" t="s">
        <v>813</v>
      </c>
      <c r="L292" s="8">
        <v>-0.27</v>
      </c>
      <c r="M292" s="6" t="s">
        <v>2819</v>
      </c>
      <c r="N292" s="8">
        <v>-0.27</v>
      </c>
      <c r="O292" s="6" t="s">
        <v>2820</v>
      </c>
      <c r="P292" s="6" t="s">
        <v>2821</v>
      </c>
      <c r="Q292" s="6" t="s">
        <v>217</v>
      </c>
      <c r="R292" s="6">
        <v>250</v>
      </c>
      <c r="S292" s="6">
        <v>8</v>
      </c>
      <c r="T292" s="6" t="s">
        <v>2822</v>
      </c>
      <c r="U292" s="8">
        <v>-0.88</v>
      </c>
      <c r="V292" s="6"/>
      <c r="W292" s="6"/>
      <c r="X292" s="6"/>
      <c r="Y292" s="6"/>
      <c r="Z292" s="6"/>
      <c r="AA292" s="6"/>
      <c r="AB292" s="6"/>
      <c r="AC292" s="6"/>
      <c r="AD292" s="7"/>
    </row>
    <row r="293" spans="1:30" ht="15.6" x14ac:dyDescent="0.3">
      <c r="A293" s="4">
        <v>548</v>
      </c>
      <c r="B293" s="5" t="s">
        <v>2823</v>
      </c>
      <c r="C293" s="6" t="s">
        <v>72</v>
      </c>
      <c r="D293" s="5" t="s">
        <v>2824</v>
      </c>
      <c r="E293" s="5" t="s">
        <v>48</v>
      </c>
      <c r="F293" s="6" t="s">
        <v>2825</v>
      </c>
      <c r="G293" s="6" t="s">
        <v>2826</v>
      </c>
      <c r="H293" s="8">
        <v>0</v>
      </c>
      <c r="I293" s="6" t="s">
        <v>433</v>
      </c>
      <c r="J293" s="6" t="s">
        <v>374</v>
      </c>
      <c r="K293" s="6" t="s">
        <v>2827</v>
      </c>
      <c r="L293" s="6">
        <f>4%</f>
        <v>0.04</v>
      </c>
      <c r="M293" s="6" t="s">
        <v>2828</v>
      </c>
      <c r="N293" s="6">
        <f>4%</f>
        <v>0.04</v>
      </c>
      <c r="O293" s="6" t="s">
        <v>2829</v>
      </c>
      <c r="P293" s="6" t="s">
        <v>2830</v>
      </c>
      <c r="Q293" s="6" t="s">
        <v>217</v>
      </c>
      <c r="R293" s="6" t="s">
        <v>2831</v>
      </c>
      <c r="S293" s="6">
        <v>50</v>
      </c>
      <c r="T293" s="6" t="s">
        <v>2832</v>
      </c>
      <c r="U293" s="6">
        <f>48%</f>
        <v>0.48</v>
      </c>
      <c r="V293" s="6"/>
      <c r="W293" s="6"/>
      <c r="X293" s="6"/>
      <c r="Y293" s="6"/>
      <c r="Z293" s="6"/>
      <c r="AA293" s="6"/>
      <c r="AB293" s="6"/>
      <c r="AC293" s="6"/>
      <c r="AD293" s="7"/>
    </row>
    <row r="294" spans="1:30" ht="15.6" x14ac:dyDescent="0.3">
      <c r="A294" s="4">
        <v>549</v>
      </c>
      <c r="B294" s="5" t="s">
        <v>2833</v>
      </c>
      <c r="C294" s="6" t="s">
        <v>291</v>
      </c>
      <c r="D294" s="5" t="s">
        <v>2834</v>
      </c>
      <c r="E294" s="5" t="s">
        <v>33</v>
      </c>
      <c r="F294" s="6" t="s">
        <v>2835</v>
      </c>
      <c r="G294" s="6" t="s">
        <v>2836</v>
      </c>
      <c r="H294" s="8">
        <v>0</v>
      </c>
      <c r="I294" s="6" t="s">
        <v>877</v>
      </c>
      <c r="J294" s="6" t="s">
        <v>2509</v>
      </c>
      <c r="K294" s="6" t="s">
        <v>2837</v>
      </c>
      <c r="L294" s="8">
        <v>-0.37</v>
      </c>
      <c r="M294" s="6" t="s">
        <v>2838</v>
      </c>
      <c r="N294" s="8">
        <v>-0.37</v>
      </c>
      <c r="O294" s="6" t="s">
        <v>2839</v>
      </c>
      <c r="P294" s="6" t="s">
        <v>1722</v>
      </c>
      <c r="Q294" s="6">
        <f>0.89%</f>
        <v>8.8999999999999999E-3</v>
      </c>
      <c r="R294" s="6">
        <v>665</v>
      </c>
      <c r="S294" s="6">
        <v>1</v>
      </c>
      <c r="T294" s="6">
        <v>340</v>
      </c>
      <c r="U294" s="8">
        <v>-0.69</v>
      </c>
      <c r="V294" s="6"/>
      <c r="W294" s="6"/>
      <c r="X294" s="6"/>
      <c r="Y294" s="6"/>
      <c r="Z294" s="6"/>
      <c r="AA294" s="6"/>
      <c r="AB294" s="6"/>
      <c r="AC294" s="6"/>
      <c r="AD294" s="7"/>
    </row>
    <row r="295" spans="1:30" ht="15.6" x14ac:dyDescent="0.3">
      <c r="A295" s="4">
        <v>550</v>
      </c>
      <c r="B295" s="5" t="s">
        <v>2840</v>
      </c>
      <c r="C295" s="6" t="s">
        <v>46</v>
      </c>
      <c r="D295" s="5" t="s">
        <v>2841</v>
      </c>
      <c r="E295" s="5" t="s">
        <v>48</v>
      </c>
      <c r="F295" s="6" t="s">
        <v>2842</v>
      </c>
      <c r="G295" s="6" t="s">
        <v>2843</v>
      </c>
      <c r="H295" s="8">
        <v>0</v>
      </c>
      <c r="I295" s="6" t="s">
        <v>877</v>
      </c>
      <c r="J295" s="6" t="s">
        <v>177</v>
      </c>
      <c r="K295" s="6" t="s">
        <v>2844</v>
      </c>
      <c r="L295" s="8">
        <v>-0.27</v>
      </c>
      <c r="M295" s="6" t="s">
        <v>2845</v>
      </c>
      <c r="N295" s="8">
        <v>-0.27</v>
      </c>
      <c r="O295" s="6" t="s">
        <v>2846</v>
      </c>
      <c r="P295" s="6" t="s">
        <v>2847</v>
      </c>
      <c r="Q295" s="8">
        <v>-0.43</v>
      </c>
      <c r="R295" s="6" t="s">
        <v>2848</v>
      </c>
      <c r="S295" s="6">
        <v>43</v>
      </c>
      <c r="T295" s="6" t="s">
        <v>2849</v>
      </c>
      <c r="U295" s="8">
        <v>-0.52</v>
      </c>
      <c r="V295" s="6"/>
      <c r="W295" s="6"/>
      <c r="X295" s="6"/>
      <c r="Y295" s="6"/>
      <c r="Z295" s="6"/>
      <c r="AA295" s="6"/>
      <c r="AB295" s="6"/>
      <c r="AC295" s="6"/>
      <c r="AD295" s="7"/>
    </row>
    <row r="296" spans="1:30" ht="15.6" x14ac:dyDescent="0.3">
      <c r="A296" s="4">
        <v>551</v>
      </c>
      <c r="B296" s="5" t="s">
        <v>2850</v>
      </c>
      <c r="C296" s="6" t="s">
        <v>85</v>
      </c>
      <c r="D296" s="5" t="s">
        <v>2851</v>
      </c>
      <c r="E296" s="5" t="s">
        <v>48</v>
      </c>
      <c r="F296" s="6" t="s">
        <v>2852</v>
      </c>
      <c r="G296" s="6" t="s">
        <v>2853</v>
      </c>
      <c r="H296" s="8">
        <v>0</v>
      </c>
      <c r="I296" s="8">
        <v>-0.15</v>
      </c>
      <c r="J296" s="6" t="s">
        <v>1412</v>
      </c>
      <c r="K296" s="6" t="s">
        <v>2854</v>
      </c>
      <c r="L296" s="6" t="s">
        <v>217</v>
      </c>
      <c r="M296" s="6" t="s">
        <v>2855</v>
      </c>
      <c r="N296" s="8">
        <v>-0.12</v>
      </c>
      <c r="O296" s="6" t="s">
        <v>2856</v>
      </c>
      <c r="P296" s="6" t="s">
        <v>2857</v>
      </c>
      <c r="Q296" s="6" t="s">
        <v>217</v>
      </c>
      <c r="R296" s="6" t="s">
        <v>2858</v>
      </c>
      <c r="S296" s="6">
        <v>0</v>
      </c>
      <c r="T296" s="6">
        <v>830</v>
      </c>
      <c r="U296" s="6" t="s">
        <v>217</v>
      </c>
      <c r="V296" s="6"/>
      <c r="W296" s="6"/>
      <c r="X296" s="6"/>
      <c r="Y296" s="6"/>
      <c r="Z296" s="6"/>
      <c r="AA296" s="6"/>
      <c r="AB296" s="6"/>
      <c r="AC296" s="6"/>
      <c r="AD296" s="7"/>
    </row>
    <row r="297" spans="1:30" ht="15.6" x14ac:dyDescent="0.3">
      <c r="A297" s="4">
        <v>552</v>
      </c>
      <c r="B297" s="5" t="s">
        <v>2859</v>
      </c>
      <c r="C297" s="6" t="s">
        <v>126</v>
      </c>
      <c r="D297" s="5" t="s">
        <v>2860</v>
      </c>
      <c r="E297" s="5" t="s">
        <v>48</v>
      </c>
      <c r="F297" s="6" t="s">
        <v>2861</v>
      </c>
      <c r="G297" s="6" t="s">
        <v>2862</v>
      </c>
      <c r="H297" s="8">
        <v>0</v>
      </c>
      <c r="I297" s="6" t="s">
        <v>877</v>
      </c>
      <c r="J297" s="6" t="s">
        <v>698</v>
      </c>
      <c r="K297" s="6" t="s">
        <v>2863</v>
      </c>
      <c r="L297" s="8">
        <v>-0.64</v>
      </c>
      <c r="M297" s="6" t="s">
        <v>2864</v>
      </c>
      <c r="N297" s="8">
        <v>-0.64</v>
      </c>
      <c r="O297" s="6" t="s">
        <v>2865</v>
      </c>
      <c r="P297" s="6" t="s">
        <v>2866</v>
      </c>
      <c r="Q297" s="8">
        <v>-0.57999999999999996</v>
      </c>
      <c r="R297" s="6">
        <v>694</v>
      </c>
      <c r="S297" s="6">
        <v>5</v>
      </c>
      <c r="T297" s="6">
        <v>742</v>
      </c>
      <c r="U297" s="8">
        <v>-0.59</v>
      </c>
      <c r="V297" s="6"/>
      <c r="W297" s="6"/>
      <c r="X297" s="6"/>
      <c r="Y297" s="6"/>
      <c r="Z297" s="6"/>
      <c r="AA297" s="6"/>
      <c r="AB297" s="6"/>
      <c r="AC297" s="6"/>
      <c r="AD297" s="7"/>
    </row>
    <row r="298" spans="1:30" ht="15.6" x14ac:dyDescent="0.3">
      <c r="A298" s="4">
        <v>553</v>
      </c>
      <c r="B298" s="5" t="s">
        <v>2867</v>
      </c>
      <c r="C298" s="6" t="s">
        <v>46</v>
      </c>
      <c r="D298" s="5" t="s">
        <v>2868</v>
      </c>
      <c r="E298" s="5" t="s">
        <v>33</v>
      </c>
      <c r="F298" s="6" t="s">
        <v>2869</v>
      </c>
      <c r="G298" s="6" t="s">
        <v>2870</v>
      </c>
      <c r="H298" s="8">
        <v>0</v>
      </c>
      <c r="I298" s="6" t="s">
        <v>845</v>
      </c>
      <c r="J298" s="6" t="s">
        <v>296</v>
      </c>
      <c r="K298" s="6" t="s">
        <v>1017</v>
      </c>
      <c r="L298" s="6">
        <f>39%</f>
        <v>0.39</v>
      </c>
      <c r="M298" s="6" t="s">
        <v>2871</v>
      </c>
      <c r="N298" s="6">
        <f>39%</f>
        <v>0.39</v>
      </c>
      <c r="O298" s="6" t="s">
        <v>2872</v>
      </c>
      <c r="P298" s="6" t="s">
        <v>2873</v>
      </c>
      <c r="Q298" s="6">
        <f>99%</f>
        <v>0.99</v>
      </c>
      <c r="R298" s="6">
        <v>806</v>
      </c>
      <c r="S298" s="6">
        <v>18</v>
      </c>
      <c r="T298" s="6" t="s">
        <v>2874</v>
      </c>
      <c r="U298" s="8">
        <v>-0.86</v>
      </c>
      <c r="V298" s="6"/>
      <c r="W298" s="6"/>
      <c r="X298" s="6"/>
      <c r="Y298" s="6"/>
      <c r="Z298" s="6"/>
      <c r="AA298" s="6"/>
      <c r="AB298" s="6"/>
      <c r="AC298" s="6"/>
      <c r="AD298" s="7"/>
    </row>
    <row r="299" spans="1:30" ht="15.6" x14ac:dyDescent="0.3">
      <c r="A299" s="4">
        <v>554</v>
      </c>
      <c r="B299" s="5" t="s">
        <v>2875</v>
      </c>
      <c r="C299" s="6" t="s">
        <v>72</v>
      </c>
      <c r="D299" s="5" t="s">
        <v>2876</v>
      </c>
      <c r="E299" s="5" t="s">
        <v>33</v>
      </c>
      <c r="F299" s="6" t="s">
        <v>2877</v>
      </c>
      <c r="G299" s="6" t="s">
        <v>2878</v>
      </c>
      <c r="H299" s="8">
        <v>0</v>
      </c>
      <c r="I299" s="6" t="s">
        <v>2879</v>
      </c>
      <c r="J299" s="6" t="s">
        <v>824</v>
      </c>
      <c r="K299" s="6" t="s">
        <v>322</v>
      </c>
      <c r="L299" s="6">
        <f>110%</f>
        <v>1.1000000000000001</v>
      </c>
      <c r="M299" s="6" t="s">
        <v>323</v>
      </c>
      <c r="N299" s="6">
        <f>110%</f>
        <v>1.1000000000000001</v>
      </c>
      <c r="O299" s="6" t="s">
        <v>2880</v>
      </c>
      <c r="P299" s="6" t="s">
        <v>2881</v>
      </c>
      <c r="Q299" s="6">
        <f>67%</f>
        <v>0.67</v>
      </c>
      <c r="R299" s="6" t="s">
        <v>2882</v>
      </c>
      <c r="S299" s="6">
        <v>7</v>
      </c>
      <c r="T299" s="6" t="s">
        <v>860</v>
      </c>
      <c r="U299" s="6">
        <f>4.7%</f>
        <v>4.7E-2</v>
      </c>
      <c r="V299" s="6"/>
      <c r="W299" s="6"/>
      <c r="X299" s="6"/>
      <c r="Y299" s="6"/>
      <c r="Z299" s="6"/>
      <c r="AA299" s="6"/>
      <c r="AB299" s="6"/>
      <c r="AC299" s="6"/>
      <c r="AD299" s="7"/>
    </row>
    <row r="300" spans="1:30" ht="15.6" x14ac:dyDescent="0.3">
      <c r="A300" s="4">
        <v>555</v>
      </c>
      <c r="B300" s="5" t="s">
        <v>2883</v>
      </c>
      <c r="C300" s="6" t="s">
        <v>267</v>
      </c>
      <c r="D300" s="5" t="s">
        <v>2884</v>
      </c>
      <c r="E300" s="5" t="s">
        <v>33</v>
      </c>
      <c r="F300" s="6" t="s">
        <v>2885</v>
      </c>
      <c r="G300" s="6" t="s">
        <v>2886</v>
      </c>
      <c r="H300" s="8">
        <v>0</v>
      </c>
      <c r="I300" s="8">
        <v>-0.51</v>
      </c>
      <c r="J300" s="6" t="s">
        <v>1130</v>
      </c>
      <c r="K300" s="6" t="s">
        <v>53</v>
      </c>
      <c r="L300" s="6">
        <f>7.7%</f>
        <v>7.6999999999999999E-2</v>
      </c>
      <c r="M300" s="6" t="s">
        <v>551</v>
      </c>
      <c r="N300" s="6">
        <f>7.7%</f>
        <v>7.6999999999999999E-2</v>
      </c>
      <c r="O300" s="6" t="s">
        <v>2887</v>
      </c>
      <c r="P300" s="6" t="s">
        <v>2888</v>
      </c>
      <c r="Q300" s="6" t="s">
        <v>217</v>
      </c>
      <c r="R300" s="6">
        <v>60</v>
      </c>
      <c r="S300" s="6">
        <v>0</v>
      </c>
      <c r="T300" s="6">
        <v>567</v>
      </c>
      <c r="U300" s="6"/>
      <c r="V300" s="6"/>
      <c r="W300" s="6"/>
      <c r="X300" s="6"/>
      <c r="Y300" s="6"/>
      <c r="Z300" s="6"/>
      <c r="AA300" s="6"/>
      <c r="AB300" s="6"/>
      <c r="AC300" s="6"/>
      <c r="AD300" s="7"/>
    </row>
    <row r="301" spans="1:30" ht="15.6" x14ac:dyDescent="0.3">
      <c r="A301" s="4">
        <v>556</v>
      </c>
      <c r="B301" s="5" t="s">
        <v>2889</v>
      </c>
      <c r="C301" s="6" t="s">
        <v>126</v>
      </c>
      <c r="D301" s="5" t="s">
        <v>2890</v>
      </c>
      <c r="E301" s="5" t="s">
        <v>33</v>
      </c>
      <c r="F301" s="6" t="s">
        <v>2891</v>
      </c>
      <c r="G301" s="6" t="s">
        <v>2892</v>
      </c>
      <c r="H301" s="8">
        <v>0</v>
      </c>
      <c r="I301" s="6" t="s">
        <v>845</v>
      </c>
      <c r="J301" s="6" t="s">
        <v>107</v>
      </c>
      <c r="K301" s="6" t="s">
        <v>2893</v>
      </c>
      <c r="L301" s="6">
        <f>86%</f>
        <v>0.86</v>
      </c>
      <c r="M301" s="6" t="s">
        <v>2894</v>
      </c>
      <c r="N301" s="6">
        <f>86%</f>
        <v>0.86</v>
      </c>
      <c r="O301" s="6" t="s">
        <v>2895</v>
      </c>
      <c r="P301" s="6" t="s">
        <v>2896</v>
      </c>
      <c r="Q301" s="6">
        <f>3.1%</f>
        <v>3.1E-2</v>
      </c>
      <c r="R301" s="6" t="s">
        <v>2897</v>
      </c>
      <c r="S301" s="6">
        <v>27</v>
      </c>
      <c r="T301" s="6" t="s">
        <v>2898</v>
      </c>
      <c r="U301" s="8">
        <v>-0.84</v>
      </c>
      <c r="V301" s="6"/>
      <c r="W301" s="6"/>
      <c r="X301" s="6"/>
      <c r="Y301" s="6"/>
      <c r="Z301" s="6"/>
      <c r="AA301" s="6"/>
      <c r="AB301" s="6"/>
      <c r="AC301" s="6"/>
      <c r="AD301" s="7"/>
    </row>
    <row r="302" spans="1:30" ht="15.6" x14ac:dyDescent="0.3">
      <c r="A302" s="4">
        <v>557</v>
      </c>
      <c r="B302" s="5" t="s">
        <v>2899</v>
      </c>
      <c r="C302" s="6" t="s">
        <v>148</v>
      </c>
      <c r="D302" s="5" t="s">
        <v>2900</v>
      </c>
      <c r="E302" s="5" t="s">
        <v>33</v>
      </c>
      <c r="F302" s="6" t="s">
        <v>2901</v>
      </c>
      <c r="G302" s="6" t="s">
        <v>2902</v>
      </c>
      <c r="H302" s="8">
        <v>0</v>
      </c>
      <c r="I302" s="6" t="s">
        <v>2903</v>
      </c>
      <c r="J302" s="6" t="s">
        <v>1649</v>
      </c>
      <c r="K302" s="6" t="s">
        <v>2904</v>
      </c>
      <c r="L302" s="6">
        <f>20%</f>
        <v>0.2</v>
      </c>
      <c r="M302" s="6" t="s">
        <v>2905</v>
      </c>
      <c r="N302" s="6">
        <f>20%</f>
        <v>0.2</v>
      </c>
      <c r="O302" s="6" t="s">
        <v>2906</v>
      </c>
      <c r="P302" s="6" t="s">
        <v>2907</v>
      </c>
      <c r="Q302" s="6" t="s">
        <v>217</v>
      </c>
      <c r="R302" s="6">
        <v>913</v>
      </c>
      <c r="S302" s="6">
        <v>42</v>
      </c>
      <c r="T302" s="6" t="s">
        <v>2908</v>
      </c>
      <c r="U302" s="6">
        <f>260%</f>
        <v>2.6</v>
      </c>
      <c r="V302" s="6"/>
      <c r="W302" s="6"/>
      <c r="X302" s="6"/>
      <c r="Y302" s="6"/>
      <c r="Z302" s="6"/>
      <c r="AA302" s="6"/>
      <c r="AB302" s="6"/>
      <c r="AC302" s="6"/>
      <c r="AD302" s="7"/>
    </row>
    <row r="303" spans="1:30" ht="15.6" x14ac:dyDescent="0.3">
      <c r="A303" s="4">
        <v>558</v>
      </c>
      <c r="B303" s="5" t="s">
        <v>2909</v>
      </c>
      <c r="C303" s="6" t="s">
        <v>126</v>
      </c>
      <c r="D303" s="5" t="s">
        <v>2910</v>
      </c>
      <c r="E303" s="5" t="s">
        <v>48</v>
      </c>
      <c r="F303" s="6" t="s">
        <v>2911</v>
      </c>
      <c r="G303" s="6" t="s">
        <v>2912</v>
      </c>
      <c r="H303" s="8">
        <v>0</v>
      </c>
      <c r="I303" s="6" t="s">
        <v>2913</v>
      </c>
      <c r="J303" s="6" t="s">
        <v>374</v>
      </c>
      <c r="K303" s="6" t="s">
        <v>2914</v>
      </c>
      <c r="L303" s="8">
        <v>-0.55000000000000004</v>
      </c>
      <c r="M303" s="6" t="s">
        <v>2915</v>
      </c>
      <c r="N303" s="8">
        <v>-0.55000000000000004</v>
      </c>
      <c r="O303" s="6" t="s">
        <v>2916</v>
      </c>
      <c r="P303" s="6" t="s">
        <v>2917</v>
      </c>
      <c r="Q303" s="8">
        <v>-0.2</v>
      </c>
      <c r="R303" s="6" t="s">
        <v>2918</v>
      </c>
      <c r="S303" s="6">
        <v>26</v>
      </c>
      <c r="T303" s="6" t="s">
        <v>2898</v>
      </c>
      <c r="U303" s="8">
        <v>-0.27</v>
      </c>
      <c r="V303" s="6"/>
      <c r="W303" s="6"/>
      <c r="X303" s="6"/>
      <c r="Y303" s="6"/>
      <c r="Z303" s="6"/>
      <c r="AA303" s="6"/>
      <c r="AB303" s="6"/>
      <c r="AC303" s="6"/>
      <c r="AD303" s="7"/>
    </row>
    <row r="304" spans="1:30" ht="15.6" x14ac:dyDescent="0.3">
      <c r="A304" s="4">
        <v>559</v>
      </c>
      <c r="B304" s="5" t="s">
        <v>2919</v>
      </c>
      <c r="C304" s="6" t="s">
        <v>291</v>
      </c>
      <c r="D304" s="5" t="s">
        <v>2920</v>
      </c>
      <c r="E304" s="5" t="s">
        <v>33</v>
      </c>
      <c r="F304" s="6" t="s">
        <v>2921</v>
      </c>
      <c r="G304" s="6" t="s">
        <v>2922</v>
      </c>
      <c r="H304" s="8">
        <v>0</v>
      </c>
      <c r="I304" s="8">
        <v>-0.57999999999999996</v>
      </c>
      <c r="J304" s="6" t="s">
        <v>385</v>
      </c>
      <c r="K304" s="6" t="s">
        <v>2923</v>
      </c>
      <c r="L304" s="6" t="s">
        <v>2924</v>
      </c>
      <c r="M304" s="6" t="s">
        <v>2925</v>
      </c>
      <c r="N304" s="6" t="s">
        <v>2924</v>
      </c>
      <c r="O304" s="6" t="s">
        <v>2926</v>
      </c>
      <c r="P304" s="6" t="s">
        <v>2231</v>
      </c>
      <c r="Q304" s="6" t="s">
        <v>217</v>
      </c>
      <c r="R304" s="6">
        <v>379</v>
      </c>
      <c r="S304" s="6">
        <v>11</v>
      </c>
      <c r="T304" s="6">
        <v>867</v>
      </c>
      <c r="U304" s="6">
        <f>14%</f>
        <v>0.14000000000000001</v>
      </c>
      <c r="V304" s="6"/>
      <c r="W304" s="6"/>
      <c r="X304" s="6"/>
      <c r="Y304" s="6"/>
      <c r="Z304" s="6"/>
      <c r="AA304" s="6"/>
      <c r="AB304" s="6"/>
      <c r="AC304" s="6"/>
      <c r="AD304" s="7"/>
    </row>
    <row r="305" spans="1:30" ht="15.6" x14ac:dyDescent="0.3">
      <c r="A305" s="4">
        <v>560</v>
      </c>
      <c r="B305" s="5" t="s">
        <v>2927</v>
      </c>
      <c r="C305" s="6" t="s">
        <v>820</v>
      </c>
      <c r="D305" s="5" t="s">
        <v>2928</v>
      </c>
      <c r="E305" s="5" t="s">
        <v>33</v>
      </c>
      <c r="F305" s="6" t="s">
        <v>2929</v>
      </c>
      <c r="G305" s="6" t="s">
        <v>2930</v>
      </c>
      <c r="H305" s="8">
        <v>0</v>
      </c>
      <c r="I305" s="8">
        <v>-0.33</v>
      </c>
      <c r="J305" s="6" t="s">
        <v>442</v>
      </c>
      <c r="K305" s="6" t="s">
        <v>658</v>
      </c>
      <c r="L305" s="6">
        <f>49%</f>
        <v>0.49</v>
      </c>
      <c r="M305" s="6" t="s">
        <v>2931</v>
      </c>
      <c r="N305" s="6">
        <f>49%</f>
        <v>0.49</v>
      </c>
      <c r="O305" s="6" t="s">
        <v>2932</v>
      </c>
      <c r="P305" s="6" t="s">
        <v>2933</v>
      </c>
      <c r="Q305" s="6" t="s">
        <v>217</v>
      </c>
      <c r="R305" s="6" t="s">
        <v>2934</v>
      </c>
      <c r="S305" s="6">
        <v>9</v>
      </c>
      <c r="T305" s="6" t="s">
        <v>2416</v>
      </c>
      <c r="U305" s="8">
        <v>-0.69</v>
      </c>
      <c r="V305" s="6"/>
      <c r="W305" s="6"/>
      <c r="X305" s="6"/>
      <c r="Y305" s="6"/>
      <c r="Z305" s="6"/>
      <c r="AA305" s="6"/>
      <c r="AB305" s="6"/>
      <c r="AC305" s="6"/>
      <c r="AD305" s="7"/>
    </row>
    <row r="306" spans="1:30" ht="15.6" x14ac:dyDescent="0.3">
      <c r="A306" s="4">
        <v>561</v>
      </c>
      <c r="B306" s="5" t="s">
        <v>2935</v>
      </c>
      <c r="C306" s="6" t="s">
        <v>304</v>
      </c>
      <c r="D306" s="5" t="s">
        <v>2936</v>
      </c>
      <c r="E306" s="5" t="s">
        <v>33</v>
      </c>
      <c r="F306" s="6" t="s">
        <v>2937</v>
      </c>
      <c r="G306" s="6" t="s">
        <v>2938</v>
      </c>
      <c r="H306" s="8">
        <v>0</v>
      </c>
      <c r="I306" s="8">
        <v>-0.64</v>
      </c>
      <c r="J306" s="6" t="s">
        <v>2509</v>
      </c>
      <c r="K306" s="6" t="s">
        <v>2939</v>
      </c>
      <c r="L306" s="8">
        <v>-0.35</v>
      </c>
      <c r="M306" s="6" t="s">
        <v>2940</v>
      </c>
      <c r="N306" s="8">
        <v>-0.35</v>
      </c>
      <c r="O306" s="6" t="s">
        <v>2941</v>
      </c>
      <c r="P306" s="6" t="s">
        <v>2942</v>
      </c>
      <c r="Q306" s="6" t="s">
        <v>217</v>
      </c>
      <c r="R306" s="6">
        <v>553</v>
      </c>
      <c r="S306" s="6">
        <v>8</v>
      </c>
      <c r="T306" s="6" t="s">
        <v>265</v>
      </c>
      <c r="U306" s="8">
        <v>-0.87</v>
      </c>
      <c r="V306" s="6"/>
      <c r="W306" s="6"/>
      <c r="X306" s="6"/>
      <c r="Y306" s="6"/>
      <c r="Z306" s="6"/>
      <c r="AA306" s="6"/>
      <c r="AB306" s="6"/>
      <c r="AC306" s="6"/>
      <c r="AD306" s="7"/>
    </row>
    <row r="307" spans="1:30" ht="15.6" x14ac:dyDescent="0.3">
      <c r="A307" s="4">
        <v>562</v>
      </c>
      <c r="B307" s="5" t="s">
        <v>2943</v>
      </c>
      <c r="C307" s="6" t="s">
        <v>114</v>
      </c>
      <c r="D307" s="5" t="s">
        <v>2944</v>
      </c>
      <c r="E307" s="5" t="s">
        <v>33</v>
      </c>
      <c r="F307" s="6" t="s">
        <v>2945</v>
      </c>
      <c r="G307" s="6" t="s">
        <v>2946</v>
      </c>
      <c r="H307" s="8">
        <v>0</v>
      </c>
      <c r="I307" s="6" t="s">
        <v>1027</v>
      </c>
      <c r="J307" s="6" t="s">
        <v>431</v>
      </c>
      <c r="K307" s="6" t="s">
        <v>285</v>
      </c>
      <c r="L307" s="8">
        <v>-0.25</v>
      </c>
      <c r="M307" s="6" t="s">
        <v>2947</v>
      </c>
      <c r="N307" s="8">
        <v>-0.25</v>
      </c>
      <c r="O307" s="6" t="s">
        <v>2948</v>
      </c>
      <c r="P307" s="6" t="s">
        <v>2949</v>
      </c>
      <c r="Q307" s="8">
        <v>-0.87</v>
      </c>
      <c r="R307" s="6" t="s">
        <v>2950</v>
      </c>
      <c r="S307" s="6">
        <v>21</v>
      </c>
      <c r="T307" s="6" t="s">
        <v>2951</v>
      </c>
      <c r="U307" s="8">
        <v>-0.86</v>
      </c>
      <c r="V307" s="6"/>
      <c r="W307" s="6"/>
      <c r="X307" s="6"/>
      <c r="Y307" s="6"/>
      <c r="Z307" s="6"/>
      <c r="AA307" s="6"/>
      <c r="AB307" s="6"/>
      <c r="AC307" s="6"/>
      <c r="AD307" s="7"/>
    </row>
    <row r="308" spans="1:30" ht="15.6" x14ac:dyDescent="0.3">
      <c r="A308" s="4">
        <v>564</v>
      </c>
      <c r="B308" s="5" t="s">
        <v>2952</v>
      </c>
      <c r="C308" s="6" t="s">
        <v>291</v>
      </c>
      <c r="D308" s="5" t="s">
        <v>2953</v>
      </c>
      <c r="E308" s="5" t="s">
        <v>33</v>
      </c>
      <c r="F308" s="6" t="s">
        <v>2954</v>
      </c>
      <c r="G308" s="6" t="s">
        <v>2955</v>
      </c>
      <c r="H308" s="8">
        <v>0</v>
      </c>
      <c r="I308" s="8">
        <v>-0.32</v>
      </c>
      <c r="J308" s="6" t="s">
        <v>236</v>
      </c>
      <c r="K308" s="6" t="s">
        <v>2956</v>
      </c>
      <c r="L308" s="8">
        <v>-0.03</v>
      </c>
      <c r="M308" s="6" t="s">
        <v>2957</v>
      </c>
      <c r="N308" s="8">
        <v>-0.03</v>
      </c>
      <c r="O308" s="6" t="s">
        <v>2958</v>
      </c>
      <c r="P308" s="6" t="s">
        <v>2959</v>
      </c>
      <c r="Q308" s="6" t="s">
        <v>217</v>
      </c>
      <c r="R308" s="6">
        <v>244</v>
      </c>
      <c r="S308" s="6">
        <v>5</v>
      </c>
      <c r="T308" s="6" t="s">
        <v>2960</v>
      </c>
      <c r="U308" s="8">
        <v>-0.69</v>
      </c>
      <c r="V308" s="6"/>
      <c r="W308" s="6"/>
      <c r="X308" s="6"/>
      <c r="Y308" s="6"/>
      <c r="Z308" s="6"/>
      <c r="AA308" s="6"/>
      <c r="AB308" s="6"/>
      <c r="AC308" s="6"/>
      <c r="AD308" s="7"/>
    </row>
    <row r="309" spans="1:30" ht="15.6" x14ac:dyDescent="0.3">
      <c r="A309" s="4">
        <v>565</v>
      </c>
      <c r="B309" s="5" t="s">
        <v>2961</v>
      </c>
      <c r="C309" s="6" t="s">
        <v>72</v>
      </c>
      <c r="D309" s="5" t="s">
        <v>2962</v>
      </c>
      <c r="E309" s="5" t="s">
        <v>33</v>
      </c>
      <c r="F309" s="6" t="s">
        <v>2963</v>
      </c>
      <c r="G309" s="6" t="s">
        <v>2964</v>
      </c>
      <c r="H309" s="8">
        <v>0</v>
      </c>
      <c r="I309" s="6" t="s">
        <v>730</v>
      </c>
      <c r="J309" s="6" t="s">
        <v>482</v>
      </c>
      <c r="K309" s="6" t="s">
        <v>2965</v>
      </c>
      <c r="L309" s="8">
        <v>-0.25</v>
      </c>
      <c r="M309" s="6" t="s">
        <v>2966</v>
      </c>
      <c r="N309" s="8">
        <v>-0.25</v>
      </c>
      <c r="O309" s="6" t="s">
        <v>2967</v>
      </c>
      <c r="P309" s="6" t="s">
        <v>217</v>
      </c>
      <c r="Q309" s="6" t="s">
        <v>217</v>
      </c>
      <c r="R309" s="6">
        <v>32</v>
      </c>
      <c r="S309" s="6">
        <v>0</v>
      </c>
      <c r="T309" s="6">
        <v>228</v>
      </c>
      <c r="U309" s="6" t="s">
        <v>217</v>
      </c>
      <c r="V309" s="6"/>
      <c r="W309" s="6"/>
      <c r="X309" s="6"/>
      <c r="Y309" s="6"/>
      <c r="Z309" s="6"/>
      <c r="AA309" s="6"/>
      <c r="AB309" s="6"/>
      <c r="AC309" s="6"/>
      <c r="AD309" s="7"/>
    </row>
    <row r="310" spans="1:30" ht="15.6" x14ac:dyDescent="0.3">
      <c r="A310" s="4">
        <v>566</v>
      </c>
      <c r="B310" s="5" t="s">
        <v>2968</v>
      </c>
      <c r="C310" s="6">
        <v>7</v>
      </c>
      <c r="D310" s="5" t="s">
        <v>2969</v>
      </c>
      <c r="E310" s="5" t="s">
        <v>33</v>
      </c>
      <c r="F310" s="6" t="s">
        <v>2970</v>
      </c>
      <c r="G310" s="6" t="s">
        <v>2971</v>
      </c>
      <c r="H310" s="8">
        <v>0</v>
      </c>
      <c r="I310" s="6" t="s">
        <v>1027</v>
      </c>
      <c r="J310" s="6" t="s">
        <v>2509</v>
      </c>
      <c r="K310" s="6" t="s">
        <v>1401</v>
      </c>
      <c r="L310" s="6" t="s">
        <v>2972</v>
      </c>
      <c r="M310" s="6" t="s">
        <v>2973</v>
      </c>
      <c r="N310" s="6" t="s">
        <v>2972</v>
      </c>
      <c r="O310" s="6" t="s">
        <v>2974</v>
      </c>
      <c r="P310" s="6" t="s">
        <v>2975</v>
      </c>
      <c r="Q310" s="6">
        <f>1.6%</f>
        <v>1.6E-2</v>
      </c>
      <c r="R310" s="6" t="s">
        <v>2976</v>
      </c>
      <c r="S310" s="6">
        <v>16</v>
      </c>
      <c r="T310" s="6" t="s">
        <v>2977</v>
      </c>
      <c r="U310" s="8">
        <v>-0.83</v>
      </c>
      <c r="V310" s="6"/>
      <c r="W310" s="6"/>
      <c r="X310" s="6"/>
      <c r="Y310" s="6"/>
      <c r="Z310" s="6"/>
      <c r="AA310" s="6"/>
      <c r="AB310" s="6"/>
      <c r="AC310" s="6"/>
      <c r="AD310" s="7"/>
    </row>
    <row r="311" spans="1:30" ht="15.6" x14ac:dyDescent="0.3">
      <c r="A311" s="4">
        <v>567</v>
      </c>
      <c r="B311" s="5" t="s">
        <v>2978</v>
      </c>
      <c r="C311" s="6" t="s">
        <v>72</v>
      </c>
      <c r="D311" s="5" t="s">
        <v>2979</v>
      </c>
      <c r="E311" s="5" t="s">
        <v>33</v>
      </c>
      <c r="F311" s="6" t="s">
        <v>2980</v>
      </c>
      <c r="G311" s="6" t="s">
        <v>2981</v>
      </c>
      <c r="H311" s="8">
        <v>0</v>
      </c>
      <c r="I311" s="6" t="s">
        <v>2982</v>
      </c>
      <c r="J311" s="6" t="s">
        <v>296</v>
      </c>
      <c r="K311" s="6" t="s">
        <v>2983</v>
      </c>
      <c r="L311" s="8">
        <v>-0.3</v>
      </c>
      <c r="M311" s="6" t="s">
        <v>2984</v>
      </c>
      <c r="N311" s="8">
        <v>-0.3</v>
      </c>
      <c r="O311" s="6" t="s">
        <v>2985</v>
      </c>
      <c r="P311" s="6" t="s">
        <v>217</v>
      </c>
      <c r="Q311" s="6" t="s">
        <v>217</v>
      </c>
      <c r="R311" s="6">
        <v>106</v>
      </c>
      <c r="S311" s="6">
        <v>0</v>
      </c>
      <c r="T311" s="6" t="s">
        <v>2986</v>
      </c>
      <c r="U311" s="6" t="s">
        <v>217</v>
      </c>
      <c r="V311" s="6"/>
      <c r="W311" s="6"/>
      <c r="X311" s="6"/>
      <c r="Y311" s="6"/>
      <c r="Z311" s="6"/>
      <c r="AA311" s="6"/>
      <c r="AB311" s="6"/>
      <c r="AC311" s="6"/>
      <c r="AD311" s="7"/>
    </row>
    <row r="312" spans="1:30" ht="15.6" x14ac:dyDescent="0.3">
      <c r="A312" s="4">
        <v>568</v>
      </c>
      <c r="B312" s="5" t="s">
        <v>2987</v>
      </c>
      <c r="C312" s="6" t="s">
        <v>148</v>
      </c>
      <c r="D312" s="5" t="s">
        <v>2988</v>
      </c>
      <c r="E312" s="5" t="s">
        <v>33</v>
      </c>
      <c r="F312" s="6" t="s">
        <v>2989</v>
      </c>
      <c r="G312" s="6" t="s">
        <v>2990</v>
      </c>
      <c r="H312" s="8">
        <v>0</v>
      </c>
      <c r="I312" s="8">
        <v>-0.94</v>
      </c>
      <c r="J312" s="6" t="s">
        <v>758</v>
      </c>
      <c r="K312" s="6" t="s">
        <v>2991</v>
      </c>
      <c r="L312" s="6" t="s">
        <v>1290</v>
      </c>
      <c r="M312" s="6" t="s">
        <v>2992</v>
      </c>
      <c r="N312" s="6" t="s">
        <v>1290</v>
      </c>
      <c r="O312" s="6" t="s">
        <v>2993</v>
      </c>
      <c r="P312" s="6" t="s">
        <v>2994</v>
      </c>
      <c r="Q312" s="6" t="s">
        <v>217</v>
      </c>
      <c r="R312" s="6" t="s">
        <v>2995</v>
      </c>
      <c r="S312" s="6">
        <v>8</v>
      </c>
      <c r="T312" s="6">
        <v>379</v>
      </c>
      <c r="U312" s="6">
        <f>350%</f>
        <v>3.5</v>
      </c>
      <c r="V312" s="6"/>
      <c r="W312" s="6"/>
      <c r="X312" s="6"/>
      <c r="Y312" s="6"/>
      <c r="Z312" s="6"/>
      <c r="AA312" s="6"/>
      <c r="AB312" s="6"/>
      <c r="AC312" s="6"/>
      <c r="AD312" s="7"/>
    </row>
    <row r="313" spans="1:30" ht="15.6" x14ac:dyDescent="0.3">
      <c r="A313" s="4">
        <v>569</v>
      </c>
      <c r="B313" s="5" t="s">
        <v>2996</v>
      </c>
      <c r="C313" s="6" t="s">
        <v>126</v>
      </c>
      <c r="D313" s="5" t="s">
        <v>2997</v>
      </c>
      <c r="E313" s="5" t="s">
        <v>33</v>
      </c>
      <c r="F313" s="6" t="s">
        <v>2998</v>
      </c>
      <c r="G313" s="6" t="s">
        <v>2999</v>
      </c>
      <c r="H313" s="8">
        <v>0</v>
      </c>
      <c r="I313" s="8">
        <v>-0.7</v>
      </c>
      <c r="J313" s="6" t="s">
        <v>374</v>
      </c>
      <c r="K313" s="6" t="s">
        <v>3000</v>
      </c>
      <c r="L313" s="8">
        <v>-0.14000000000000001</v>
      </c>
      <c r="M313" s="6" t="s">
        <v>3001</v>
      </c>
      <c r="N313" s="8">
        <v>-0.14000000000000001</v>
      </c>
      <c r="O313" s="6" t="s">
        <v>3002</v>
      </c>
      <c r="P313" s="6" t="s">
        <v>3003</v>
      </c>
      <c r="Q313" s="6" t="s">
        <v>217</v>
      </c>
      <c r="R313" s="6">
        <v>179</v>
      </c>
      <c r="S313" s="6">
        <v>2</v>
      </c>
      <c r="T313" s="6">
        <v>401</v>
      </c>
      <c r="U313" s="8">
        <v>-0.93</v>
      </c>
      <c r="V313" s="6"/>
      <c r="W313" s="6"/>
      <c r="X313" s="6"/>
      <c r="Y313" s="6"/>
      <c r="Z313" s="6"/>
      <c r="AA313" s="6"/>
      <c r="AB313" s="6"/>
      <c r="AC313" s="6"/>
      <c r="AD313" s="7"/>
    </row>
    <row r="314" spans="1:30" ht="15.6" x14ac:dyDescent="0.3">
      <c r="A314" s="4">
        <v>570</v>
      </c>
      <c r="B314" s="5" t="s">
        <v>3004</v>
      </c>
      <c r="C314" s="6" t="s">
        <v>567</v>
      </c>
      <c r="D314" s="5" t="s">
        <v>3005</v>
      </c>
      <c r="E314" s="5" t="s">
        <v>33</v>
      </c>
      <c r="F314" s="6" t="s">
        <v>3006</v>
      </c>
      <c r="G314" s="6" t="s">
        <v>3007</v>
      </c>
      <c r="H314" s="8">
        <v>0</v>
      </c>
      <c r="I314" s="8">
        <v>-0.48</v>
      </c>
      <c r="J314" s="6" t="s">
        <v>1432</v>
      </c>
      <c r="K314" s="6" t="s">
        <v>3008</v>
      </c>
      <c r="L314" s="8">
        <v>-0.31</v>
      </c>
      <c r="M314" s="6" t="s">
        <v>3009</v>
      </c>
      <c r="N314" s="8">
        <v>-0.31</v>
      </c>
      <c r="O314" s="6" t="s">
        <v>3010</v>
      </c>
      <c r="P314" s="6" t="s">
        <v>3011</v>
      </c>
      <c r="Q314" s="6" t="s">
        <v>217</v>
      </c>
      <c r="R314" s="6">
        <v>881</v>
      </c>
      <c r="S314" s="6">
        <v>10</v>
      </c>
      <c r="T314" s="6" t="s">
        <v>913</v>
      </c>
      <c r="U314" s="6"/>
      <c r="V314" s="6"/>
      <c r="W314" s="6"/>
      <c r="X314" s="6"/>
      <c r="Y314" s="6"/>
      <c r="Z314" s="6"/>
      <c r="AA314" s="6"/>
      <c r="AB314" s="6"/>
      <c r="AC314" s="6"/>
      <c r="AD314" s="7"/>
    </row>
    <row r="315" spans="1:30" ht="15.6" x14ac:dyDescent="0.3">
      <c r="A315" s="4">
        <v>571</v>
      </c>
      <c r="B315" s="5" t="s">
        <v>3012</v>
      </c>
      <c r="C315" s="6" t="s">
        <v>304</v>
      </c>
      <c r="D315" s="5" t="s">
        <v>3013</v>
      </c>
      <c r="E315" s="5" t="s">
        <v>33</v>
      </c>
      <c r="F315" s="6" t="s">
        <v>3014</v>
      </c>
      <c r="G315" s="6" t="s">
        <v>3015</v>
      </c>
      <c r="H315" s="8">
        <v>0</v>
      </c>
      <c r="I315" s="6" t="s">
        <v>3016</v>
      </c>
      <c r="J315" s="6" t="s">
        <v>1609</v>
      </c>
      <c r="K315" s="6" t="s">
        <v>3017</v>
      </c>
      <c r="L315" s="6">
        <f>88%</f>
        <v>0.88</v>
      </c>
      <c r="M315" s="6" t="s">
        <v>3018</v>
      </c>
      <c r="N315" s="6">
        <f>88%</f>
        <v>0.88</v>
      </c>
      <c r="O315" s="6" t="s">
        <v>3019</v>
      </c>
      <c r="P315" s="6" t="s">
        <v>3020</v>
      </c>
      <c r="Q315" s="6" t="s">
        <v>217</v>
      </c>
      <c r="R315" s="6">
        <v>237</v>
      </c>
      <c r="S315" s="6">
        <v>5</v>
      </c>
      <c r="T315" s="6">
        <v>435</v>
      </c>
      <c r="U315" s="6">
        <f>40%</f>
        <v>0.4</v>
      </c>
      <c r="V315" s="6"/>
      <c r="W315" s="6"/>
      <c r="X315" s="6"/>
      <c r="Y315" s="6"/>
      <c r="Z315" s="6"/>
      <c r="AA315" s="6"/>
      <c r="AB315" s="6"/>
      <c r="AC315" s="6"/>
      <c r="AD315" s="7"/>
    </row>
    <row r="316" spans="1:30" ht="15.6" x14ac:dyDescent="0.3">
      <c r="A316" s="4">
        <v>572</v>
      </c>
      <c r="B316" s="5" t="s">
        <v>3021</v>
      </c>
      <c r="C316" s="6" t="s">
        <v>291</v>
      </c>
      <c r="D316" s="5" t="s">
        <v>3022</v>
      </c>
      <c r="E316" s="5" t="s">
        <v>33</v>
      </c>
      <c r="F316" s="6" t="s">
        <v>3023</v>
      </c>
      <c r="G316" s="6" t="s">
        <v>3024</v>
      </c>
      <c r="H316" s="8">
        <v>0</v>
      </c>
      <c r="I316" s="6" t="s">
        <v>877</v>
      </c>
      <c r="J316" s="6" t="s">
        <v>259</v>
      </c>
      <c r="K316" s="6" t="s">
        <v>3025</v>
      </c>
      <c r="L316" s="8">
        <v>-0.11</v>
      </c>
      <c r="M316" s="6" t="s">
        <v>3026</v>
      </c>
      <c r="N316" s="8">
        <v>-0.11</v>
      </c>
      <c r="O316" s="6" t="s">
        <v>3027</v>
      </c>
      <c r="P316" s="6" t="s">
        <v>3028</v>
      </c>
      <c r="Q316" s="6">
        <f>36%</f>
        <v>0.36</v>
      </c>
      <c r="R316" s="6">
        <v>728</v>
      </c>
      <c r="S316" s="6">
        <v>11</v>
      </c>
      <c r="T316" s="6" t="s">
        <v>3029</v>
      </c>
      <c r="U316" s="8">
        <v>-0.81</v>
      </c>
      <c r="V316" s="6"/>
      <c r="W316" s="6"/>
      <c r="X316" s="6"/>
      <c r="Y316" s="6"/>
      <c r="Z316" s="6"/>
      <c r="AA316" s="6"/>
      <c r="AB316" s="6"/>
      <c r="AC316" s="6"/>
      <c r="AD316" s="7"/>
    </row>
    <row r="317" spans="1:30" ht="15.6" x14ac:dyDescent="0.3">
      <c r="A317" s="4">
        <v>573</v>
      </c>
      <c r="B317" s="5" t="s">
        <v>3030</v>
      </c>
      <c r="C317" s="6" t="s">
        <v>31</v>
      </c>
      <c r="D317" s="5" t="s">
        <v>3031</v>
      </c>
      <c r="E317" s="5" t="s">
        <v>33</v>
      </c>
      <c r="F317" s="6" t="s">
        <v>3032</v>
      </c>
      <c r="G317" s="6" t="s">
        <v>3033</v>
      </c>
      <c r="H317" s="8">
        <v>0</v>
      </c>
      <c r="I317" s="6" t="s">
        <v>3034</v>
      </c>
      <c r="J317" s="6" t="s">
        <v>517</v>
      </c>
      <c r="K317" s="6" t="s">
        <v>3035</v>
      </c>
      <c r="L317" s="8">
        <v>-0.53</v>
      </c>
      <c r="M317" s="6" t="s">
        <v>3036</v>
      </c>
      <c r="N317" s="8">
        <v>-0.53</v>
      </c>
      <c r="O317" s="6" t="s">
        <v>3037</v>
      </c>
      <c r="P317" s="6" t="s">
        <v>3038</v>
      </c>
      <c r="Q317" s="6" t="s">
        <v>217</v>
      </c>
      <c r="R317" s="6" t="s">
        <v>3039</v>
      </c>
      <c r="S317" s="6">
        <v>118</v>
      </c>
      <c r="T317" s="6" t="s">
        <v>3040</v>
      </c>
      <c r="U317" s="6">
        <f>31%</f>
        <v>0.31</v>
      </c>
      <c r="V317" s="6"/>
      <c r="W317" s="6"/>
      <c r="X317" s="6"/>
      <c r="Y317" s="6"/>
      <c r="Z317" s="6"/>
      <c r="AA317" s="6"/>
      <c r="AB317" s="6"/>
      <c r="AC317" s="6"/>
      <c r="AD317" s="7"/>
    </row>
    <row r="318" spans="1:30" ht="15.6" x14ac:dyDescent="0.3">
      <c r="A318" s="4">
        <v>574</v>
      </c>
      <c r="B318" s="5" t="s">
        <v>3041</v>
      </c>
      <c r="C318" s="6" t="s">
        <v>173</v>
      </c>
      <c r="D318" s="5" t="s">
        <v>3042</v>
      </c>
      <c r="E318" s="5" t="s">
        <v>33</v>
      </c>
      <c r="F318" s="6" t="s">
        <v>3043</v>
      </c>
      <c r="G318" s="6" t="s">
        <v>3044</v>
      </c>
      <c r="H318" s="8">
        <v>0</v>
      </c>
      <c r="I318" s="6" t="s">
        <v>666</v>
      </c>
      <c r="J318" s="6" t="s">
        <v>1529</v>
      </c>
      <c r="K318" s="6" t="s">
        <v>618</v>
      </c>
      <c r="L318" s="6">
        <f>34%</f>
        <v>0.34</v>
      </c>
      <c r="M318" s="6" t="s">
        <v>3045</v>
      </c>
      <c r="N318" s="6">
        <f>34%</f>
        <v>0.34</v>
      </c>
      <c r="O318" s="6" t="s">
        <v>3046</v>
      </c>
      <c r="P318" s="6" t="s">
        <v>3047</v>
      </c>
      <c r="Q318" s="6">
        <f>0.73%</f>
        <v>7.3000000000000001E-3</v>
      </c>
      <c r="R318" s="6" t="s">
        <v>3048</v>
      </c>
      <c r="S318" s="6">
        <v>15</v>
      </c>
      <c r="T318" s="6" t="s">
        <v>3049</v>
      </c>
      <c r="U318" s="8">
        <v>-0.66</v>
      </c>
      <c r="V318" s="6"/>
      <c r="W318" s="6"/>
      <c r="X318" s="6"/>
      <c r="Y318" s="6"/>
      <c r="Z318" s="6"/>
      <c r="AA318" s="6"/>
      <c r="AB318" s="6"/>
      <c r="AC318" s="6"/>
      <c r="AD318" s="7"/>
    </row>
    <row r="319" spans="1:30" ht="15.6" x14ac:dyDescent="0.3">
      <c r="A319" s="4">
        <v>575</v>
      </c>
      <c r="B319" s="5" t="s">
        <v>3050</v>
      </c>
      <c r="C319" s="6" t="s">
        <v>102</v>
      </c>
      <c r="D319" s="5" t="s">
        <v>3051</v>
      </c>
      <c r="E319" s="5" t="s">
        <v>48</v>
      </c>
      <c r="F319" s="6" t="s">
        <v>3052</v>
      </c>
      <c r="G319" s="6" t="s">
        <v>3053</v>
      </c>
      <c r="H319" s="8">
        <v>0</v>
      </c>
      <c r="I319" s="6" t="s">
        <v>877</v>
      </c>
      <c r="J319" s="6" t="s">
        <v>798</v>
      </c>
      <c r="K319" s="6" t="s">
        <v>3054</v>
      </c>
      <c r="L319" s="6">
        <f>7.7%</f>
        <v>7.6999999999999999E-2</v>
      </c>
      <c r="M319" s="6" t="s">
        <v>3055</v>
      </c>
      <c r="N319" s="6">
        <f>7.8%</f>
        <v>7.8E-2</v>
      </c>
      <c r="O319" s="6" t="s">
        <v>3056</v>
      </c>
      <c r="P319" s="6" t="s">
        <v>3057</v>
      </c>
      <c r="Q319" s="8">
        <v>-0.22</v>
      </c>
      <c r="R319" s="6">
        <v>317</v>
      </c>
      <c r="S319" s="6">
        <v>4</v>
      </c>
      <c r="T319" s="6">
        <v>258</v>
      </c>
      <c r="U319" s="8">
        <v>-0.2</v>
      </c>
      <c r="V319" s="6"/>
      <c r="W319" s="6"/>
      <c r="X319" s="6"/>
      <c r="Y319" s="6"/>
      <c r="Z319" s="6"/>
      <c r="AA319" s="6"/>
      <c r="AB319" s="6"/>
      <c r="AC319" s="6"/>
      <c r="AD319" s="7"/>
    </row>
    <row r="320" spans="1:30" ht="15.6" x14ac:dyDescent="0.3">
      <c r="A320" s="4">
        <v>576</v>
      </c>
      <c r="B320" s="5" t="s">
        <v>3058</v>
      </c>
      <c r="C320" s="6" t="s">
        <v>102</v>
      </c>
      <c r="D320" s="5" t="s">
        <v>3059</v>
      </c>
      <c r="E320" s="5" t="s">
        <v>33</v>
      </c>
      <c r="F320" s="6" t="s">
        <v>3060</v>
      </c>
      <c r="G320" s="6" t="s">
        <v>3061</v>
      </c>
      <c r="H320" s="8">
        <v>0</v>
      </c>
      <c r="I320" s="6" t="s">
        <v>1027</v>
      </c>
      <c r="J320" s="6" t="s">
        <v>284</v>
      </c>
      <c r="K320" s="6" t="s">
        <v>3062</v>
      </c>
      <c r="L320" s="8">
        <v>-0.1</v>
      </c>
      <c r="M320" s="6" t="s">
        <v>3063</v>
      </c>
      <c r="N320" s="8">
        <v>-0.1</v>
      </c>
      <c r="O320" s="6" t="s">
        <v>3064</v>
      </c>
      <c r="P320" s="6" t="s">
        <v>3065</v>
      </c>
      <c r="Q320" s="8">
        <v>-0.4</v>
      </c>
      <c r="R320" s="6" t="s">
        <v>3066</v>
      </c>
      <c r="S320" s="6">
        <v>82</v>
      </c>
      <c r="T320" s="6" t="s">
        <v>3067</v>
      </c>
      <c r="U320" s="8">
        <v>-0.56999999999999995</v>
      </c>
      <c r="V320" s="6"/>
      <c r="W320" s="6"/>
      <c r="X320" s="6"/>
      <c r="Y320" s="6"/>
      <c r="Z320" s="6"/>
      <c r="AA320" s="6"/>
      <c r="AB320" s="6"/>
      <c r="AC320" s="6"/>
      <c r="AD320" s="7"/>
    </row>
    <row r="321" spans="1:30" ht="15.6" x14ac:dyDescent="0.3">
      <c r="A321" s="4">
        <v>577</v>
      </c>
      <c r="B321" s="5" t="s">
        <v>3068</v>
      </c>
      <c r="C321" s="6" t="s">
        <v>72</v>
      </c>
      <c r="D321" s="5" t="s">
        <v>3069</v>
      </c>
      <c r="E321" s="5" t="s">
        <v>33</v>
      </c>
      <c r="F321" s="6" t="s">
        <v>3070</v>
      </c>
      <c r="G321" s="6" t="s">
        <v>3071</v>
      </c>
      <c r="H321" s="8">
        <v>0</v>
      </c>
      <c r="I321" s="8">
        <v>-0.47</v>
      </c>
      <c r="J321" s="6" t="s">
        <v>250</v>
      </c>
      <c r="K321" s="6" t="s">
        <v>518</v>
      </c>
      <c r="L321" s="8">
        <v>-0.53</v>
      </c>
      <c r="M321" s="6" t="s">
        <v>3072</v>
      </c>
      <c r="N321" s="8">
        <v>-0.53</v>
      </c>
      <c r="O321" s="6" t="s">
        <v>3073</v>
      </c>
      <c r="P321" s="6" t="s">
        <v>3074</v>
      </c>
      <c r="Q321" s="6" t="s">
        <v>217</v>
      </c>
      <c r="R321" s="6">
        <v>282</v>
      </c>
      <c r="S321" s="6">
        <v>4</v>
      </c>
      <c r="T321" s="6">
        <v>619</v>
      </c>
      <c r="U321" s="6">
        <f>0.65%</f>
        <v>6.5000000000000006E-3</v>
      </c>
      <c r="V321" s="6"/>
      <c r="W321" s="6"/>
      <c r="X321" s="6"/>
      <c r="Y321" s="6"/>
      <c r="Z321" s="6"/>
      <c r="AA321" s="6"/>
      <c r="AB321" s="6"/>
      <c r="AC321" s="6"/>
      <c r="AD321" s="7"/>
    </row>
    <row r="322" spans="1:30" ht="15.6" x14ac:dyDescent="0.3">
      <c r="A322" s="4">
        <v>578</v>
      </c>
      <c r="B322" s="5" t="s">
        <v>3075</v>
      </c>
      <c r="C322" s="6" t="s">
        <v>102</v>
      </c>
      <c r="D322" s="5" t="s">
        <v>3076</v>
      </c>
      <c r="E322" s="5" t="s">
        <v>48</v>
      </c>
      <c r="F322" s="6" t="s">
        <v>3077</v>
      </c>
      <c r="G322" s="6" t="s">
        <v>3078</v>
      </c>
      <c r="H322" s="8">
        <v>0</v>
      </c>
      <c r="I322" s="8">
        <v>-0.49</v>
      </c>
      <c r="J322" s="6" t="s">
        <v>1479</v>
      </c>
      <c r="K322" s="6" t="s">
        <v>628</v>
      </c>
      <c r="L322" s="8">
        <v>-0.16</v>
      </c>
      <c r="M322" s="6" t="s">
        <v>3079</v>
      </c>
      <c r="N322" s="8">
        <v>-0.16</v>
      </c>
      <c r="O322" s="6" t="s">
        <v>3080</v>
      </c>
      <c r="P322" s="6" t="s">
        <v>3081</v>
      </c>
      <c r="Q322" s="6" t="s">
        <v>217</v>
      </c>
      <c r="R322" s="6">
        <v>857</v>
      </c>
      <c r="S322" s="6">
        <v>0</v>
      </c>
      <c r="T322" s="6">
        <v>716</v>
      </c>
      <c r="U322" s="6">
        <f>9%</f>
        <v>0.09</v>
      </c>
      <c r="V322" s="6"/>
      <c r="W322" s="6"/>
      <c r="X322" s="6"/>
      <c r="Y322" s="6"/>
      <c r="Z322" s="6"/>
      <c r="AA322" s="6"/>
      <c r="AB322" s="6"/>
      <c r="AC322" s="6"/>
      <c r="AD322" s="7"/>
    </row>
    <row r="323" spans="1:30" ht="15.6" x14ac:dyDescent="0.3">
      <c r="A323" s="4">
        <v>579</v>
      </c>
      <c r="B323" s="5" t="s">
        <v>3082</v>
      </c>
      <c r="C323" s="6" t="s">
        <v>173</v>
      </c>
      <c r="D323" s="5" t="s">
        <v>3083</v>
      </c>
      <c r="E323" s="5" t="s">
        <v>48</v>
      </c>
      <c r="F323" s="6" t="s">
        <v>3084</v>
      </c>
      <c r="G323" s="6" t="s">
        <v>3085</v>
      </c>
      <c r="H323" s="8">
        <v>0</v>
      </c>
      <c r="I323" s="8">
        <v>-0.91</v>
      </c>
      <c r="J323" s="6" t="s">
        <v>296</v>
      </c>
      <c r="K323" s="6" t="s">
        <v>3086</v>
      </c>
      <c r="L323" s="8">
        <v>-0.42</v>
      </c>
      <c r="M323" s="6" t="s">
        <v>3087</v>
      </c>
      <c r="N323" s="8">
        <v>-0.42</v>
      </c>
      <c r="O323" s="6" t="s">
        <v>2415</v>
      </c>
      <c r="P323" s="6" t="s">
        <v>3088</v>
      </c>
      <c r="Q323" s="6" t="s">
        <v>217</v>
      </c>
      <c r="R323" s="6">
        <v>59</v>
      </c>
      <c r="S323" s="6">
        <v>1</v>
      </c>
      <c r="T323" s="6">
        <v>409</v>
      </c>
      <c r="U323" s="6">
        <f>0.69%</f>
        <v>6.8999999999999999E-3</v>
      </c>
      <c r="V323" s="6"/>
      <c r="W323" s="6"/>
      <c r="X323" s="6"/>
      <c r="Y323" s="6"/>
      <c r="Z323" s="6"/>
      <c r="AA323" s="6"/>
      <c r="AB323" s="6"/>
      <c r="AC323" s="6"/>
      <c r="AD323" s="7"/>
    </row>
    <row r="324" spans="1:30" ht="15.6" x14ac:dyDescent="0.3">
      <c r="A324" s="4">
        <v>581</v>
      </c>
      <c r="B324" s="5" t="s">
        <v>3089</v>
      </c>
      <c r="C324" s="6" t="s">
        <v>46</v>
      </c>
      <c r="D324" s="5" t="s">
        <v>3090</v>
      </c>
      <c r="E324" s="5" t="s">
        <v>48</v>
      </c>
      <c r="F324" s="6" t="s">
        <v>3091</v>
      </c>
      <c r="G324" s="6" t="s">
        <v>3092</v>
      </c>
      <c r="H324" s="8">
        <v>0</v>
      </c>
      <c r="I324" s="6" t="s">
        <v>217</v>
      </c>
      <c r="J324" s="6" t="s">
        <v>584</v>
      </c>
      <c r="K324" s="6" t="s">
        <v>3093</v>
      </c>
      <c r="L324" s="8">
        <v>-0.12</v>
      </c>
      <c r="M324" s="6" t="s">
        <v>3094</v>
      </c>
      <c r="N324" s="8">
        <v>-0.12</v>
      </c>
      <c r="O324" s="6" t="s">
        <v>2753</v>
      </c>
      <c r="P324" s="6" t="s">
        <v>217</v>
      </c>
      <c r="Q324" s="6" t="s">
        <v>217</v>
      </c>
      <c r="R324" s="6">
        <v>4</v>
      </c>
      <c r="S324" s="6">
        <v>0</v>
      </c>
      <c r="T324" s="6">
        <v>36</v>
      </c>
      <c r="U324" s="6" t="s">
        <v>217</v>
      </c>
      <c r="V324" s="6"/>
      <c r="W324" s="6"/>
      <c r="X324" s="6"/>
      <c r="Y324" s="6"/>
      <c r="Z324" s="6"/>
      <c r="AA324" s="6"/>
      <c r="AB324" s="6"/>
      <c r="AC324" s="6"/>
      <c r="AD324" s="7"/>
    </row>
    <row r="325" spans="1:30" ht="15.6" x14ac:dyDescent="0.3">
      <c r="A325" s="4">
        <v>582</v>
      </c>
      <c r="B325" s="5" t="s">
        <v>3095</v>
      </c>
      <c r="C325" s="6" t="s">
        <v>304</v>
      </c>
      <c r="D325" s="5" t="s">
        <v>3096</v>
      </c>
      <c r="E325" s="5" t="s">
        <v>48</v>
      </c>
      <c r="F325" s="6" t="s">
        <v>3097</v>
      </c>
      <c r="G325" s="6" t="s">
        <v>3098</v>
      </c>
      <c r="H325" s="8">
        <v>0</v>
      </c>
      <c r="I325" s="8">
        <v>-0.39</v>
      </c>
      <c r="J325" s="6" t="s">
        <v>2509</v>
      </c>
      <c r="K325" s="6" t="s">
        <v>3099</v>
      </c>
      <c r="L325" s="6" t="s">
        <v>217</v>
      </c>
      <c r="M325" s="6" t="s">
        <v>3100</v>
      </c>
      <c r="N325" s="6" t="s">
        <v>3101</v>
      </c>
      <c r="O325" s="6" t="s">
        <v>3102</v>
      </c>
      <c r="P325" s="6" t="s">
        <v>3103</v>
      </c>
      <c r="Q325" s="6" t="s">
        <v>217</v>
      </c>
      <c r="R325" s="6">
        <v>42</v>
      </c>
      <c r="S325" s="6">
        <v>3</v>
      </c>
      <c r="T325" s="6">
        <v>43</v>
      </c>
      <c r="U325" s="6">
        <f>250%</f>
        <v>2.5</v>
      </c>
      <c r="V325" s="6"/>
      <c r="W325" s="6"/>
      <c r="X325" s="6"/>
      <c r="Y325" s="6"/>
      <c r="Z325" s="6"/>
      <c r="AA325" s="6"/>
      <c r="AB325" s="6"/>
      <c r="AC325" s="6"/>
      <c r="AD325" s="7"/>
    </row>
    <row r="326" spans="1:30" ht="15.6" x14ac:dyDescent="0.3">
      <c r="A326" s="4">
        <v>583</v>
      </c>
      <c r="B326" s="5" t="s">
        <v>3104</v>
      </c>
      <c r="C326" s="6" t="s">
        <v>219</v>
      </c>
      <c r="D326" s="5" t="s">
        <v>3105</v>
      </c>
      <c r="E326" s="5" t="s">
        <v>48</v>
      </c>
      <c r="F326" s="6" t="s">
        <v>3106</v>
      </c>
      <c r="G326" s="6" t="s">
        <v>3107</v>
      </c>
      <c r="H326" s="8">
        <v>0</v>
      </c>
      <c r="I326" s="8">
        <v>-0.62</v>
      </c>
      <c r="J326" s="6" t="s">
        <v>309</v>
      </c>
      <c r="K326" s="6" t="s">
        <v>3108</v>
      </c>
      <c r="L326" s="8">
        <v>-0.19</v>
      </c>
      <c r="M326" s="6" t="s">
        <v>3109</v>
      </c>
      <c r="N326" s="8">
        <v>-0.19</v>
      </c>
      <c r="O326" s="6" t="s">
        <v>3110</v>
      </c>
      <c r="P326" s="6" t="s">
        <v>3111</v>
      </c>
      <c r="Q326" s="6" t="s">
        <v>217</v>
      </c>
      <c r="R326" s="6">
        <v>128</v>
      </c>
      <c r="S326" s="6">
        <v>0</v>
      </c>
      <c r="T326" s="6">
        <v>65</v>
      </c>
      <c r="U326" s="8">
        <v>-0.54</v>
      </c>
      <c r="V326" s="6"/>
      <c r="W326" s="6"/>
      <c r="X326" s="6"/>
      <c r="Y326" s="6"/>
      <c r="Z326" s="6"/>
      <c r="AA326" s="6"/>
      <c r="AB326" s="6"/>
      <c r="AC326" s="6"/>
      <c r="AD326" s="7"/>
    </row>
    <row r="327" spans="1:30" ht="15.6" x14ac:dyDescent="0.3">
      <c r="A327" s="4">
        <v>584</v>
      </c>
      <c r="B327" s="5" t="s">
        <v>3112</v>
      </c>
      <c r="C327" s="6" t="s">
        <v>267</v>
      </c>
      <c r="D327" s="5" t="s">
        <v>3113</v>
      </c>
      <c r="E327" s="5" t="s">
        <v>48</v>
      </c>
      <c r="F327" s="6" t="s">
        <v>3114</v>
      </c>
      <c r="G327" s="6" t="s">
        <v>3115</v>
      </c>
      <c r="H327" s="8">
        <v>0</v>
      </c>
      <c r="I327" s="8">
        <v>-0.99</v>
      </c>
      <c r="J327" s="6" t="s">
        <v>1130</v>
      </c>
      <c r="K327" s="6" t="s">
        <v>3116</v>
      </c>
      <c r="L327" s="8">
        <v>-0.27</v>
      </c>
      <c r="M327" s="6" t="s">
        <v>3117</v>
      </c>
      <c r="N327" s="8">
        <v>-0.27</v>
      </c>
      <c r="O327" s="6" t="s">
        <v>2855</v>
      </c>
      <c r="P327" s="6" t="s">
        <v>3118</v>
      </c>
      <c r="Q327" s="6" t="s">
        <v>217</v>
      </c>
      <c r="R327" s="6">
        <v>140</v>
      </c>
      <c r="S327" s="6">
        <v>0</v>
      </c>
      <c r="T327" s="6">
        <v>181</v>
      </c>
      <c r="U327" s="8">
        <v>-0.9</v>
      </c>
      <c r="V327" s="6"/>
      <c r="W327" s="6"/>
      <c r="X327" s="6"/>
      <c r="Y327" s="6"/>
      <c r="Z327" s="6"/>
      <c r="AA327" s="6"/>
      <c r="AB327" s="6"/>
      <c r="AC327" s="6"/>
      <c r="AD327" s="7"/>
    </row>
    <row r="328" spans="1:30" ht="15.6" x14ac:dyDescent="0.3">
      <c r="A328" s="4">
        <v>585</v>
      </c>
      <c r="B328" s="5" t="s">
        <v>3119</v>
      </c>
      <c r="C328" s="6" t="s">
        <v>126</v>
      </c>
      <c r="D328" s="5" t="s">
        <v>3120</v>
      </c>
      <c r="E328" s="5" t="s">
        <v>48</v>
      </c>
      <c r="F328" s="6" t="s">
        <v>3121</v>
      </c>
      <c r="G328" s="6" t="s">
        <v>3122</v>
      </c>
      <c r="H328" s="8">
        <v>0</v>
      </c>
      <c r="I328" s="8">
        <v>-0.12</v>
      </c>
      <c r="J328" s="6" t="s">
        <v>177</v>
      </c>
      <c r="K328" s="6" t="s">
        <v>3123</v>
      </c>
      <c r="L328" s="8">
        <v>-0.65</v>
      </c>
      <c r="M328" s="6" t="s">
        <v>3124</v>
      </c>
      <c r="N328" s="8">
        <v>-0.65</v>
      </c>
      <c r="O328" s="6" t="s">
        <v>3125</v>
      </c>
      <c r="P328" s="6" t="s">
        <v>3126</v>
      </c>
      <c r="Q328" s="6" t="s">
        <v>217</v>
      </c>
      <c r="R328" s="6">
        <v>124</v>
      </c>
      <c r="S328" s="6">
        <v>1</v>
      </c>
      <c r="T328" s="6">
        <v>334</v>
      </c>
      <c r="U328" s="6">
        <f>5.7%</f>
        <v>5.7000000000000002E-2</v>
      </c>
      <c r="V328" s="6"/>
      <c r="W328" s="6"/>
      <c r="X328" s="6"/>
      <c r="Y328" s="6"/>
      <c r="Z328" s="6"/>
      <c r="AA328" s="6"/>
      <c r="AB328" s="6"/>
      <c r="AC328" s="6"/>
      <c r="AD328" s="7"/>
    </row>
    <row r="329" spans="1:30" ht="15.6" x14ac:dyDescent="0.3">
      <c r="A329" s="4">
        <v>586</v>
      </c>
      <c r="B329" s="5" t="s">
        <v>3127</v>
      </c>
      <c r="C329" s="6" t="s">
        <v>114</v>
      </c>
      <c r="D329" s="5" t="s">
        <v>3128</v>
      </c>
      <c r="E329" s="5" t="s">
        <v>48</v>
      </c>
      <c r="F329" s="6" t="s">
        <v>3129</v>
      </c>
      <c r="G329" s="6" t="s">
        <v>3130</v>
      </c>
      <c r="H329" s="8">
        <v>0</v>
      </c>
      <c r="I329" s="8">
        <v>-0.92</v>
      </c>
      <c r="J329" s="6" t="s">
        <v>846</v>
      </c>
      <c r="K329" s="6" t="s">
        <v>310</v>
      </c>
      <c r="L329" s="8">
        <v>-0.23</v>
      </c>
      <c r="M329" s="6" t="s">
        <v>3131</v>
      </c>
      <c r="N329" s="8">
        <v>-0.23</v>
      </c>
      <c r="O329" s="6" t="s">
        <v>3132</v>
      </c>
      <c r="P329" s="6" t="s">
        <v>3133</v>
      </c>
      <c r="Q329" s="6" t="s">
        <v>217</v>
      </c>
      <c r="R329" s="6" t="s">
        <v>3134</v>
      </c>
      <c r="S329" s="6">
        <v>12</v>
      </c>
      <c r="T329" s="6" t="s">
        <v>3135</v>
      </c>
      <c r="U329" s="8">
        <v>-0.99</v>
      </c>
      <c r="V329" s="6"/>
      <c r="W329" s="6"/>
      <c r="X329" s="6"/>
      <c r="Y329" s="6"/>
      <c r="Z329" s="6"/>
      <c r="AA329" s="6"/>
      <c r="AB329" s="6"/>
      <c r="AC329" s="6"/>
      <c r="AD329" s="7"/>
    </row>
    <row r="330" spans="1:30" ht="15.6" x14ac:dyDescent="0.3">
      <c r="A330" s="4">
        <v>587</v>
      </c>
      <c r="B330" s="5" t="s">
        <v>3136</v>
      </c>
      <c r="C330" s="6" t="s">
        <v>31</v>
      </c>
      <c r="D330" s="5" t="s">
        <v>3137</v>
      </c>
      <c r="E330" s="5" t="s">
        <v>48</v>
      </c>
      <c r="F330" s="6" t="s">
        <v>3138</v>
      </c>
      <c r="G330" s="6" t="s">
        <v>3139</v>
      </c>
      <c r="H330" s="8">
        <v>0</v>
      </c>
      <c r="I330" s="8">
        <v>-0.32</v>
      </c>
      <c r="J330" s="6" t="s">
        <v>374</v>
      </c>
      <c r="K330" s="6" t="s">
        <v>3140</v>
      </c>
      <c r="L330" s="6" t="s">
        <v>3141</v>
      </c>
      <c r="M330" s="6" t="s">
        <v>3142</v>
      </c>
      <c r="N330" s="6" t="s">
        <v>3141</v>
      </c>
      <c r="O330" s="6" t="s">
        <v>3143</v>
      </c>
      <c r="P330" s="6" t="s">
        <v>3144</v>
      </c>
      <c r="Q330" s="6" t="s">
        <v>217</v>
      </c>
      <c r="R330" s="6">
        <v>160</v>
      </c>
      <c r="S330" s="6">
        <v>0</v>
      </c>
      <c r="T330" s="6">
        <v>204</v>
      </c>
      <c r="U330" s="6">
        <f>60%</f>
        <v>0.6</v>
      </c>
      <c r="V330" s="6"/>
      <c r="W330" s="6"/>
      <c r="X330" s="6"/>
      <c r="Y330" s="6"/>
      <c r="Z330" s="6"/>
      <c r="AA330" s="6"/>
      <c r="AB330" s="6"/>
      <c r="AC330" s="6"/>
      <c r="AD330" s="7"/>
    </row>
    <row r="331" spans="1:30" ht="15.6" x14ac:dyDescent="0.3">
      <c r="A331" s="4">
        <v>588</v>
      </c>
      <c r="B331" s="5" t="s">
        <v>3145</v>
      </c>
      <c r="C331" s="6" t="s">
        <v>72</v>
      </c>
      <c r="D331" s="5" t="s">
        <v>3146</v>
      </c>
      <c r="E331" s="5" t="s">
        <v>48</v>
      </c>
      <c r="F331" s="6" t="s">
        <v>3147</v>
      </c>
      <c r="G331" s="6" t="s">
        <v>3148</v>
      </c>
      <c r="H331" s="8">
        <v>0</v>
      </c>
      <c r="I331" s="8">
        <v>-0.84</v>
      </c>
      <c r="J331" s="6" t="s">
        <v>1453</v>
      </c>
      <c r="K331" s="6" t="s">
        <v>3149</v>
      </c>
      <c r="L331" s="6">
        <f>14%</f>
        <v>0.14000000000000001</v>
      </c>
      <c r="M331" s="6" t="s">
        <v>3150</v>
      </c>
      <c r="N331" s="6">
        <f>14%</f>
        <v>0.14000000000000001</v>
      </c>
      <c r="O331" s="6" t="s">
        <v>3151</v>
      </c>
      <c r="P331" s="6" t="s">
        <v>314</v>
      </c>
      <c r="Q331" s="6" t="s">
        <v>217</v>
      </c>
      <c r="R331" s="6" t="s">
        <v>3152</v>
      </c>
      <c r="S331" s="6">
        <v>0</v>
      </c>
      <c r="T331" s="6">
        <v>167</v>
      </c>
      <c r="U331" s="6">
        <f>97%</f>
        <v>0.97</v>
      </c>
      <c r="V331" s="6"/>
      <c r="W331" s="6"/>
      <c r="X331" s="6"/>
      <c r="Y331" s="6"/>
      <c r="Z331" s="6"/>
      <c r="AA331" s="6"/>
      <c r="AB331" s="6"/>
      <c r="AC331" s="6"/>
      <c r="AD331" s="7"/>
    </row>
    <row r="332" spans="1:30" ht="15.6" x14ac:dyDescent="0.3">
      <c r="A332" s="4">
        <v>589</v>
      </c>
      <c r="B332" s="5" t="s">
        <v>3153</v>
      </c>
      <c r="C332" s="6" t="s">
        <v>567</v>
      </c>
      <c r="D332" s="5" t="s">
        <v>3154</v>
      </c>
      <c r="E332" s="5" t="s">
        <v>48</v>
      </c>
      <c r="F332" s="6" t="s">
        <v>3155</v>
      </c>
      <c r="G332" s="6" t="s">
        <v>3156</v>
      </c>
      <c r="H332" s="8">
        <v>0</v>
      </c>
      <c r="I332" s="8">
        <v>-0.33</v>
      </c>
      <c r="J332" s="6" t="s">
        <v>77</v>
      </c>
      <c r="K332" s="6" t="s">
        <v>3157</v>
      </c>
      <c r="L332" s="6">
        <f>13%</f>
        <v>0.13</v>
      </c>
      <c r="M332" s="6" t="s">
        <v>3158</v>
      </c>
      <c r="N332" s="6">
        <f>13%</f>
        <v>0.13</v>
      </c>
      <c r="O332" s="6" t="s">
        <v>3159</v>
      </c>
      <c r="P332" s="6" t="s">
        <v>3160</v>
      </c>
      <c r="Q332" s="6" t="s">
        <v>217</v>
      </c>
      <c r="R332" s="6">
        <v>84</v>
      </c>
      <c r="S332" s="6">
        <v>0</v>
      </c>
      <c r="T332" s="6">
        <v>734</v>
      </c>
      <c r="U332" s="6">
        <f>0.41%</f>
        <v>4.0999999999999995E-3</v>
      </c>
      <c r="V332" s="6"/>
      <c r="W332" s="6"/>
      <c r="X332" s="6"/>
      <c r="Y332" s="6"/>
      <c r="Z332" s="6"/>
      <c r="AA332" s="6"/>
      <c r="AB332" s="6"/>
      <c r="AC332" s="6"/>
      <c r="AD332" s="7"/>
    </row>
    <row r="333" spans="1:30" ht="15.6" x14ac:dyDescent="0.3">
      <c r="A333" s="4">
        <v>591</v>
      </c>
      <c r="B333" s="5" t="s">
        <v>3161</v>
      </c>
      <c r="C333" s="6" t="s">
        <v>72</v>
      </c>
      <c r="D333" s="5" t="s">
        <v>3162</v>
      </c>
      <c r="E333" s="5" t="s">
        <v>48</v>
      </c>
      <c r="F333" s="6" t="s">
        <v>3163</v>
      </c>
      <c r="G333" s="6" t="s">
        <v>3164</v>
      </c>
      <c r="H333" s="8">
        <v>0</v>
      </c>
      <c r="I333" s="8">
        <v>-0.92</v>
      </c>
      <c r="J333" s="6" t="s">
        <v>199</v>
      </c>
      <c r="K333" s="6" t="s">
        <v>3165</v>
      </c>
      <c r="L333" s="6" t="s">
        <v>217</v>
      </c>
      <c r="M333" s="6" t="s">
        <v>3166</v>
      </c>
      <c r="N333" s="6" t="s">
        <v>3167</v>
      </c>
      <c r="O333" s="6" t="s">
        <v>3168</v>
      </c>
      <c r="P333" s="6" t="s">
        <v>217</v>
      </c>
      <c r="Q333" s="6" t="s">
        <v>217</v>
      </c>
      <c r="R333" s="6">
        <v>59</v>
      </c>
      <c r="S333" s="6">
        <v>0</v>
      </c>
      <c r="T333" s="6">
        <v>57</v>
      </c>
      <c r="U333" s="6" t="s">
        <v>217</v>
      </c>
      <c r="V333" s="6"/>
      <c r="W333" s="6"/>
      <c r="X333" s="6"/>
      <c r="Y333" s="6"/>
      <c r="Z333" s="6"/>
      <c r="AA333" s="6"/>
      <c r="AB333" s="6"/>
      <c r="AC333" s="6"/>
      <c r="AD333" s="7"/>
    </row>
    <row r="334" spans="1:30" ht="15.6" x14ac:dyDescent="0.3">
      <c r="A334" s="4">
        <v>592</v>
      </c>
      <c r="B334" s="5" t="s">
        <v>3169</v>
      </c>
      <c r="C334" s="6" t="s">
        <v>173</v>
      </c>
      <c r="D334" s="5" t="s">
        <v>3170</v>
      </c>
      <c r="E334" s="5" t="s">
        <v>48</v>
      </c>
      <c r="F334" s="6" t="s">
        <v>3171</v>
      </c>
      <c r="G334" s="6" t="s">
        <v>3172</v>
      </c>
      <c r="H334" s="8">
        <v>0</v>
      </c>
      <c r="I334" s="6" t="s">
        <v>54</v>
      </c>
      <c r="J334" s="6" t="s">
        <v>687</v>
      </c>
      <c r="K334" s="6" t="s">
        <v>3173</v>
      </c>
      <c r="L334" s="6" t="s">
        <v>217</v>
      </c>
      <c r="M334" s="6" t="s">
        <v>3174</v>
      </c>
      <c r="N334" s="8">
        <v>-0.21</v>
      </c>
      <c r="O334" s="6" t="s">
        <v>3175</v>
      </c>
      <c r="P334" s="6" t="s">
        <v>217</v>
      </c>
      <c r="Q334" s="6" t="s">
        <v>217</v>
      </c>
      <c r="R334" s="6" t="s">
        <v>3176</v>
      </c>
      <c r="S334" s="6">
        <v>5</v>
      </c>
      <c r="T334" s="6">
        <v>39</v>
      </c>
      <c r="U334" s="6" t="s">
        <v>217</v>
      </c>
      <c r="V334" s="6"/>
      <c r="W334" s="6"/>
      <c r="X334" s="6"/>
      <c r="Y334" s="6"/>
      <c r="Z334" s="6"/>
      <c r="AA334" s="6"/>
      <c r="AB334" s="6"/>
      <c r="AC334" s="6"/>
      <c r="AD334" s="7"/>
    </row>
    <row r="335" spans="1:30" ht="15.6" x14ac:dyDescent="0.3">
      <c r="A335" s="4">
        <v>593</v>
      </c>
      <c r="B335" s="5" t="s">
        <v>3177</v>
      </c>
      <c r="C335" s="6" t="s">
        <v>31</v>
      </c>
      <c r="D335" s="5" t="s">
        <v>3178</v>
      </c>
      <c r="E335" s="5" t="s">
        <v>48</v>
      </c>
      <c r="F335" s="6" t="s">
        <v>3179</v>
      </c>
      <c r="G335" s="6" t="s">
        <v>3180</v>
      </c>
      <c r="H335" s="8">
        <v>0</v>
      </c>
      <c r="I335" s="8">
        <v>-0.5</v>
      </c>
      <c r="J335" s="6" t="s">
        <v>166</v>
      </c>
      <c r="K335" s="6" t="s">
        <v>720</v>
      </c>
      <c r="L335" s="8">
        <v>-0.14000000000000001</v>
      </c>
      <c r="M335" s="6" t="s">
        <v>3181</v>
      </c>
      <c r="N335" s="8">
        <v>-0.14000000000000001</v>
      </c>
      <c r="O335" s="6" t="s">
        <v>3182</v>
      </c>
      <c r="P335" s="6" t="s">
        <v>3183</v>
      </c>
      <c r="Q335" s="6" t="s">
        <v>217</v>
      </c>
      <c r="R335" s="6" t="s">
        <v>641</v>
      </c>
      <c r="S335" s="6">
        <v>3</v>
      </c>
      <c r="T335" s="6">
        <v>455</v>
      </c>
      <c r="U335" s="8">
        <v>-0.94</v>
      </c>
      <c r="V335" s="6"/>
      <c r="W335" s="6"/>
      <c r="X335" s="6"/>
      <c r="Y335" s="6"/>
      <c r="Z335" s="6"/>
      <c r="AA335" s="6"/>
      <c r="AB335" s="6"/>
      <c r="AC335" s="6"/>
      <c r="AD335" s="7"/>
    </row>
    <row r="336" spans="1:30" ht="15.6" x14ac:dyDescent="0.3">
      <c r="A336" s="4">
        <v>594</v>
      </c>
      <c r="B336" s="5" t="s">
        <v>3184</v>
      </c>
      <c r="C336" s="6" t="s">
        <v>291</v>
      </c>
      <c r="D336" s="5" t="s">
        <v>3185</v>
      </c>
      <c r="E336" s="5" t="s">
        <v>48</v>
      </c>
      <c r="F336" s="6" t="s">
        <v>3186</v>
      </c>
      <c r="G336" s="6" t="s">
        <v>3187</v>
      </c>
      <c r="H336" s="8">
        <v>0</v>
      </c>
      <c r="I336" s="8">
        <v>-0.55000000000000004</v>
      </c>
      <c r="J336" s="6" t="s">
        <v>199</v>
      </c>
      <c r="K336" s="6" t="s">
        <v>3188</v>
      </c>
      <c r="L336" s="6" t="s">
        <v>217</v>
      </c>
      <c r="M336" s="6" t="s">
        <v>3189</v>
      </c>
      <c r="N336" s="6">
        <f>0.21%</f>
        <v>2.0999999999999999E-3</v>
      </c>
      <c r="O336" s="6" t="s">
        <v>3190</v>
      </c>
      <c r="P336" s="6" t="s">
        <v>217</v>
      </c>
      <c r="Q336" s="6" t="s">
        <v>217</v>
      </c>
      <c r="R336" s="6">
        <v>86</v>
      </c>
      <c r="S336" s="6">
        <v>1</v>
      </c>
      <c r="T336" s="6">
        <v>167</v>
      </c>
      <c r="U336" s="6" t="s">
        <v>217</v>
      </c>
      <c r="V336" s="6"/>
      <c r="W336" s="6"/>
      <c r="X336" s="6"/>
      <c r="Y336" s="6"/>
      <c r="Z336" s="6"/>
      <c r="AA336" s="6"/>
      <c r="AB336" s="6"/>
      <c r="AC336" s="6"/>
      <c r="AD336" s="7"/>
    </row>
    <row r="337" spans="1:30" ht="15.6" x14ac:dyDescent="0.3">
      <c r="A337" s="4">
        <v>595</v>
      </c>
      <c r="B337" s="5" t="s">
        <v>3191</v>
      </c>
      <c r="C337" s="6" t="s">
        <v>304</v>
      </c>
      <c r="D337" s="5" t="s">
        <v>3192</v>
      </c>
      <c r="E337" s="5" t="s">
        <v>48</v>
      </c>
      <c r="F337" s="6" t="s">
        <v>3193</v>
      </c>
      <c r="G337" s="6" t="s">
        <v>3194</v>
      </c>
      <c r="H337" s="8">
        <v>0</v>
      </c>
      <c r="I337" s="8">
        <v>-0.04</v>
      </c>
      <c r="J337" s="6" t="s">
        <v>1600</v>
      </c>
      <c r="K337" s="6" t="s">
        <v>3195</v>
      </c>
      <c r="L337" s="8">
        <v>-0.19</v>
      </c>
      <c r="M337" s="6" t="s">
        <v>3196</v>
      </c>
      <c r="N337" s="8">
        <v>-0.19</v>
      </c>
      <c r="O337" s="6" t="s">
        <v>3197</v>
      </c>
      <c r="P337" s="6" t="s">
        <v>217</v>
      </c>
      <c r="Q337" s="6" t="s">
        <v>217</v>
      </c>
      <c r="R337" s="6">
        <v>45</v>
      </c>
      <c r="S337" s="6">
        <v>0</v>
      </c>
      <c r="T337" s="6">
        <v>72</v>
      </c>
      <c r="U337" s="6" t="s">
        <v>217</v>
      </c>
      <c r="V337" s="6"/>
      <c r="W337" s="6"/>
      <c r="X337" s="6"/>
      <c r="Y337" s="6"/>
      <c r="Z337" s="6"/>
      <c r="AA337" s="6"/>
      <c r="AB337" s="6"/>
      <c r="AC337" s="6"/>
      <c r="AD337" s="7"/>
    </row>
    <row r="338" spans="1:30" ht="15.6" x14ac:dyDescent="0.3">
      <c r="A338" s="4">
        <v>598</v>
      </c>
      <c r="B338" s="5" t="s">
        <v>3198</v>
      </c>
      <c r="C338" s="6" t="s">
        <v>114</v>
      </c>
      <c r="D338" s="5" t="s">
        <v>3199</v>
      </c>
      <c r="E338" s="5" t="s">
        <v>48</v>
      </c>
      <c r="F338" s="6" t="s">
        <v>3200</v>
      </c>
      <c r="G338" s="6" t="s">
        <v>3201</v>
      </c>
      <c r="H338" s="8">
        <v>0</v>
      </c>
      <c r="I338" s="6" t="s">
        <v>217</v>
      </c>
      <c r="J338" s="6" t="s">
        <v>1851</v>
      </c>
      <c r="K338" s="6" t="s">
        <v>3202</v>
      </c>
      <c r="L338" s="6">
        <f>13%</f>
        <v>0.13</v>
      </c>
      <c r="M338" s="6" t="s">
        <v>3203</v>
      </c>
      <c r="N338" s="6">
        <f>13%</f>
        <v>0.13</v>
      </c>
      <c r="O338" s="6" t="s">
        <v>3204</v>
      </c>
      <c r="P338" s="6" t="s">
        <v>3205</v>
      </c>
      <c r="Q338" s="6" t="s">
        <v>217</v>
      </c>
      <c r="R338" s="6">
        <v>48</v>
      </c>
      <c r="S338" s="6">
        <v>3</v>
      </c>
      <c r="T338" s="6">
        <v>233</v>
      </c>
      <c r="U338" s="6">
        <f>170%</f>
        <v>1.7</v>
      </c>
      <c r="V338" s="6"/>
      <c r="W338" s="6"/>
      <c r="X338" s="6"/>
      <c r="Y338" s="6"/>
      <c r="Z338" s="6"/>
      <c r="AA338" s="6"/>
      <c r="AB338" s="6"/>
      <c r="AC338" s="6"/>
      <c r="AD338" s="7"/>
    </row>
    <row r="339" spans="1:30" ht="15.6" x14ac:dyDescent="0.3">
      <c r="A339" s="4">
        <v>599</v>
      </c>
      <c r="B339" s="5" t="s">
        <v>3206</v>
      </c>
      <c r="C339" s="6" t="s">
        <v>126</v>
      </c>
      <c r="D339" s="5" t="s">
        <v>3207</v>
      </c>
      <c r="E339" s="5" t="s">
        <v>48</v>
      </c>
      <c r="F339" s="6" t="s">
        <v>3208</v>
      </c>
      <c r="G339" s="6" t="s">
        <v>3209</v>
      </c>
      <c r="H339" s="8">
        <v>0</v>
      </c>
      <c r="I339" s="8">
        <v>-0.99</v>
      </c>
      <c r="J339" s="6" t="s">
        <v>1048</v>
      </c>
      <c r="K339" s="6" t="s">
        <v>3210</v>
      </c>
      <c r="L339" s="8">
        <v>-0.9</v>
      </c>
      <c r="M339" s="6" t="s">
        <v>3211</v>
      </c>
      <c r="N339" s="8">
        <v>-0.9</v>
      </c>
      <c r="O339" s="6" t="s">
        <v>3212</v>
      </c>
      <c r="P339" s="6" t="s">
        <v>2337</v>
      </c>
      <c r="Q339" s="6" t="s">
        <v>217</v>
      </c>
      <c r="R339" s="6">
        <v>689</v>
      </c>
      <c r="S339" s="6">
        <v>4</v>
      </c>
      <c r="T339" s="6" t="s">
        <v>1022</v>
      </c>
      <c r="U339" s="6">
        <f>19%</f>
        <v>0.19</v>
      </c>
      <c r="V339" s="6"/>
      <c r="W339" s="6"/>
      <c r="X339" s="6"/>
      <c r="Y339" s="6"/>
      <c r="Z339" s="6"/>
      <c r="AA339" s="6"/>
      <c r="AB339" s="6"/>
      <c r="AC339" s="6"/>
      <c r="AD339" s="7"/>
    </row>
    <row r="340" spans="1:30" ht="15.6" x14ac:dyDescent="0.3">
      <c r="A340" s="4">
        <v>600</v>
      </c>
      <c r="B340" s="5" t="s">
        <v>3213</v>
      </c>
      <c r="C340" s="6" t="s">
        <v>102</v>
      </c>
      <c r="D340" s="5" t="s">
        <v>3214</v>
      </c>
      <c r="E340" s="5" t="s">
        <v>48</v>
      </c>
      <c r="F340" s="6" t="s">
        <v>3215</v>
      </c>
      <c r="G340" s="6" t="s">
        <v>3216</v>
      </c>
      <c r="H340" s="8">
        <v>0</v>
      </c>
      <c r="I340" s="6" t="s">
        <v>2448</v>
      </c>
      <c r="J340" s="6" t="s">
        <v>259</v>
      </c>
      <c r="K340" s="6" t="s">
        <v>3217</v>
      </c>
      <c r="L340" s="8">
        <v>-0.11</v>
      </c>
      <c r="M340" s="6" t="s">
        <v>3218</v>
      </c>
      <c r="N340" s="8">
        <v>-0.11</v>
      </c>
      <c r="O340" s="6" t="s">
        <v>3219</v>
      </c>
      <c r="P340" s="6" t="s">
        <v>3220</v>
      </c>
      <c r="Q340" s="6" t="s">
        <v>217</v>
      </c>
      <c r="R340" s="6" t="s">
        <v>3221</v>
      </c>
      <c r="S340" s="6">
        <v>2</v>
      </c>
      <c r="T340" s="6">
        <v>513</v>
      </c>
      <c r="U340" s="6">
        <f>20%</f>
        <v>0.2</v>
      </c>
      <c r="V340" s="6"/>
      <c r="W340" s="6"/>
      <c r="X340" s="6"/>
      <c r="Y340" s="6"/>
      <c r="Z340" s="6"/>
      <c r="AA340" s="6"/>
      <c r="AB340" s="6"/>
      <c r="AC340" s="6"/>
      <c r="AD340" s="7"/>
    </row>
    <row r="341" spans="1:30" ht="15.6" x14ac:dyDescent="0.3">
      <c r="A341" s="4">
        <v>601</v>
      </c>
      <c r="B341" s="5" t="s">
        <v>3222</v>
      </c>
      <c r="C341" s="6" t="s">
        <v>173</v>
      </c>
      <c r="D341" s="5" t="s">
        <v>3223</v>
      </c>
      <c r="E341" s="5" t="s">
        <v>48</v>
      </c>
      <c r="F341" s="6" t="s">
        <v>3224</v>
      </c>
      <c r="G341" s="6" t="s">
        <v>3225</v>
      </c>
      <c r="H341" s="8">
        <v>0</v>
      </c>
      <c r="I341" s="6" t="s">
        <v>2350</v>
      </c>
      <c r="J341" s="6" t="s">
        <v>189</v>
      </c>
      <c r="K341" s="6" t="s">
        <v>3226</v>
      </c>
      <c r="L341" s="6" t="s">
        <v>217</v>
      </c>
      <c r="M341" s="6" t="s">
        <v>3227</v>
      </c>
      <c r="N341" s="8">
        <v>-0.13</v>
      </c>
      <c r="O341" s="6" t="s">
        <v>3228</v>
      </c>
      <c r="P341" s="6" t="s">
        <v>217</v>
      </c>
      <c r="Q341" s="6" t="s">
        <v>217</v>
      </c>
      <c r="R341" s="6">
        <v>27</v>
      </c>
      <c r="S341" s="6">
        <v>0</v>
      </c>
      <c r="T341" s="6">
        <v>55</v>
      </c>
      <c r="U341" s="6" t="s">
        <v>217</v>
      </c>
      <c r="V341" s="6"/>
      <c r="W341" s="6"/>
      <c r="X341" s="6"/>
      <c r="Y341" s="6"/>
      <c r="Z341" s="6"/>
      <c r="AA341" s="6"/>
      <c r="AB341" s="6"/>
      <c r="AC341" s="6"/>
      <c r="AD341" s="7"/>
    </row>
    <row r="342" spans="1:30" ht="15.6" x14ac:dyDescent="0.3">
      <c r="A342" s="4">
        <v>602</v>
      </c>
      <c r="B342" s="5" t="s">
        <v>3229</v>
      </c>
      <c r="C342" s="6" t="s">
        <v>72</v>
      </c>
      <c r="D342" s="5" t="s">
        <v>3230</v>
      </c>
      <c r="E342" s="5" t="s">
        <v>48</v>
      </c>
      <c r="F342" s="6" t="s">
        <v>3231</v>
      </c>
      <c r="G342" s="6" t="s">
        <v>3232</v>
      </c>
      <c r="H342" s="8">
        <v>0</v>
      </c>
      <c r="I342" s="8">
        <v>-0.85</v>
      </c>
      <c r="J342" s="6" t="s">
        <v>421</v>
      </c>
      <c r="K342" s="6" t="s">
        <v>3233</v>
      </c>
      <c r="L342" s="6" t="s">
        <v>217</v>
      </c>
      <c r="M342" s="6" t="s">
        <v>3234</v>
      </c>
      <c r="N342" s="6">
        <f>0.094%</f>
        <v>9.3999999999999997E-4</v>
      </c>
      <c r="O342" s="6" t="s">
        <v>3235</v>
      </c>
      <c r="P342" s="6" t="s">
        <v>3236</v>
      </c>
      <c r="Q342" s="6" t="s">
        <v>217</v>
      </c>
      <c r="R342" s="6">
        <v>204</v>
      </c>
      <c r="S342" s="6">
        <v>2</v>
      </c>
      <c r="T342" s="6">
        <v>50</v>
      </c>
      <c r="U342" s="6" t="s">
        <v>217</v>
      </c>
      <c r="V342" s="6"/>
      <c r="W342" s="6"/>
      <c r="X342" s="6"/>
      <c r="Y342" s="6"/>
      <c r="Z342" s="6"/>
      <c r="AA342" s="6"/>
      <c r="AB342" s="6"/>
      <c r="AC342" s="6"/>
      <c r="AD342" s="7"/>
    </row>
    <row r="343" spans="1:30" ht="15.6" x14ac:dyDescent="0.3">
      <c r="A343" s="4">
        <v>603</v>
      </c>
      <c r="B343" s="5" t="s">
        <v>3237</v>
      </c>
      <c r="C343" s="6" t="s">
        <v>72</v>
      </c>
      <c r="D343" s="5" t="s">
        <v>3238</v>
      </c>
      <c r="E343" s="5" t="s">
        <v>48</v>
      </c>
      <c r="F343" s="6" t="s">
        <v>3239</v>
      </c>
      <c r="G343" s="6" t="s">
        <v>3240</v>
      </c>
      <c r="H343" s="8">
        <v>0</v>
      </c>
      <c r="I343" s="6">
        <f>55%</f>
        <v>0.55000000000000004</v>
      </c>
      <c r="J343" s="6" t="s">
        <v>1354</v>
      </c>
      <c r="K343" s="6" t="s">
        <v>3241</v>
      </c>
      <c r="L343" s="6">
        <f>170%</f>
        <v>1.7</v>
      </c>
      <c r="M343" s="6" t="s">
        <v>3242</v>
      </c>
      <c r="N343" s="6">
        <f>170%</f>
        <v>1.7</v>
      </c>
      <c r="O343" s="6" t="s">
        <v>3243</v>
      </c>
      <c r="P343" s="6" t="s">
        <v>3244</v>
      </c>
      <c r="Q343" s="6" t="s">
        <v>217</v>
      </c>
      <c r="R343" s="6">
        <v>835</v>
      </c>
      <c r="S343" s="6">
        <v>4</v>
      </c>
      <c r="T343" s="6">
        <v>95</v>
      </c>
      <c r="U343" s="6" t="e">
        <f>+∞%</f>
        <v>#NAME?</v>
      </c>
      <c r="V343" s="6"/>
      <c r="W343" s="6"/>
      <c r="X343" s="6"/>
      <c r="Y343" s="6"/>
      <c r="Z343" s="6"/>
      <c r="AA343" s="6"/>
      <c r="AB343" s="6"/>
      <c r="AC343" s="6"/>
      <c r="AD343" s="7"/>
    </row>
    <row r="344" spans="1:30" ht="15.6" x14ac:dyDescent="0.3">
      <c r="A344" s="4">
        <v>604</v>
      </c>
      <c r="B344" s="5" t="s">
        <v>3245</v>
      </c>
      <c r="C344" s="6" t="s">
        <v>304</v>
      </c>
      <c r="D344" s="5" t="s">
        <v>3246</v>
      </c>
      <c r="E344" s="5" t="s">
        <v>48</v>
      </c>
      <c r="F344" s="6" t="s">
        <v>3247</v>
      </c>
      <c r="G344" s="6" t="s">
        <v>3248</v>
      </c>
      <c r="H344" s="8">
        <v>0</v>
      </c>
      <c r="I344" s="8">
        <v>-0.09</v>
      </c>
      <c r="J344" s="6" t="s">
        <v>77</v>
      </c>
      <c r="K344" s="6" t="s">
        <v>3249</v>
      </c>
      <c r="L344" s="6">
        <f>100%</f>
        <v>1</v>
      </c>
      <c r="M344" s="6" t="s">
        <v>3250</v>
      </c>
      <c r="N344" s="6">
        <f>100%</f>
        <v>1</v>
      </c>
      <c r="O344" s="6" t="s">
        <v>3251</v>
      </c>
      <c r="P344" s="6" t="s">
        <v>3252</v>
      </c>
      <c r="Q344" s="6" t="s">
        <v>217</v>
      </c>
      <c r="R344" s="6">
        <v>533</v>
      </c>
      <c r="S344" s="6">
        <v>1</v>
      </c>
      <c r="T344" s="6" t="s">
        <v>3253</v>
      </c>
      <c r="U344" s="6">
        <f>11%</f>
        <v>0.11</v>
      </c>
      <c r="V344" s="6"/>
      <c r="W344" s="6"/>
      <c r="X344" s="6"/>
      <c r="Y344" s="6"/>
      <c r="Z344" s="6"/>
      <c r="AA344" s="6"/>
      <c r="AB344" s="6"/>
      <c r="AC344" s="6"/>
      <c r="AD344" s="7"/>
    </row>
    <row r="345" spans="1:30" ht="15.6" x14ac:dyDescent="0.3">
      <c r="A345" s="4">
        <v>605</v>
      </c>
      <c r="B345" s="5" t="s">
        <v>3254</v>
      </c>
      <c r="C345" s="6">
        <v>6</v>
      </c>
      <c r="D345" s="5" t="s">
        <v>3255</v>
      </c>
      <c r="E345" s="5" t="s">
        <v>48</v>
      </c>
      <c r="F345" s="6">
        <v>6873</v>
      </c>
      <c r="G345" s="6" t="s">
        <v>3256</v>
      </c>
      <c r="H345" s="8">
        <v>0</v>
      </c>
      <c r="I345" s="6" t="s">
        <v>2924</v>
      </c>
      <c r="J345" s="6" t="s">
        <v>584</v>
      </c>
      <c r="K345" s="6" t="s">
        <v>3257</v>
      </c>
      <c r="L345" s="6" t="s">
        <v>217</v>
      </c>
      <c r="M345" s="6" t="s">
        <v>3258</v>
      </c>
      <c r="N345" s="8">
        <v>-0.15</v>
      </c>
      <c r="O345" s="6" t="s">
        <v>3259</v>
      </c>
      <c r="P345" s="6" t="s">
        <v>217</v>
      </c>
      <c r="Q345" s="6" t="s">
        <v>217</v>
      </c>
      <c r="R345" s="6">
        <v>6</v>
      </c>
      <c r="S345" s="6">
        <v>0</v>
      </c>
      <c r="T345" s="6">
        <v>28</v>
      </c>
      <c r="U345" s="6" t="s">
        <v>217</v>
      </c>
      <c r="V345" s="6"/>
      <c r="W345" s="6"/>
      <c r="X345" s="6"/>
      <c r="Y345" s="6"/>
      <c r="Z345" s="6"/>
      <c r="AA345" s="6"/>
      <c r="AB345" s="6"/>
      <c r="AC345" s="6"/>
      <c r="AD345" s="7"/>
    </row>
    <row r="346" spans="1:30" ht="15.6" x14ac:dyDescent="0.3">
      <c r="A346" s="4">
        <v>606</v>
      </c>
      <c r="B346" s="5" t="s">
        <v>3260</v>
      </c>
      <c r="C346" s="6" t="s">
        <v>148</v>
      </c>
      <c r="D346" s="5" t="s">
        <v>3261</v>
      </c>
      <c r="E346" s="5" t="s">
        <v>48</v>
      </c>
      <c r="F346" s="6" t="s">
        <v>3262</v>
      </c>
      <c r="G346" s="6" t="s">
        <v>3263</v>
      </c>
      <c r="H346" s="8">
        <v>0</v>
      </c>
      <c r="I346" s="8">
        <v>-0.82</v>
      </c>
      <c r="J346" s="6" t="s">
        <v>385</v>
      </c>
      <c r="K346" s="6" t="s">
        <v>3264</v>
      </c>
      <c r="L346" s="6" t="s">
        <v>217</v>
      </c>
      <c r="M346" s="6" t="s">
        <v>2353</v>
      </c>
      <c r="N346" s="8">
        <v>-0.09</v>
      </c>
      <c r="O346" s="6" t="s">
        <v>3265</v>
      </c>
      <c r="P346" s="6" t="s">
        <v>3266</v>
      </c>
      <c r="Q346" s="6" t="s">
        <v>217</v>
      </c>
      <c r="R346" s="6">
        <v>709</v>
      </c>
      <c r="S346" s="6">
        <v>1</v>
      </c>
      <c r="T346" s="6">
        <v>208</v>
      </c>
      <c r="U346" s="6" t="s">
        <v>217</v>
      </c>
      <c r="V346" s="6"/>
      <c r="W346" s="6"/>
      <c r="X346" s="6"/>
      <c r="Y346" s="6"/>
      <c r="Z346" s="6"/>
      <c r="AA346" s="6"/>
      <c r="AB346" s="6"/>
      <c r="AC346" s="6"/>
      <c r="AD346" s="7"/>
    </row>
    <row r="347" spans="1:30" ht="15.6" x14ac:dyDescent="0.3">
      <c r="A347" s="4">
        <v>607</v>
      </c>
      <c r="B347" s="5" t="s">
        <v>3267</v>
      </c>
      <c r="C347" s="6" t="s">
        <v>114</v>
      </c>
      <c r="D347" s="5" t="s">
        <v>3268</v>
      </c>
      <c r="E347" s="5" t="s">
        <v>48</v>
      </c>
      <c r="F347" s="6" t="s">
        <v>3269</v>
      </c>
      <c r="G347" s="6" t="s">
        <v>3270</v>
      </c>
      <c r="H347" s="8">
        <v>0</v>
      </c>
      <c r="I347" s="8">
        <v>-0.99</v>
      </c>
      <c r="J347" s="6" t="s">
        <v>36</v>
      </c>
      <c r="K347" s="6" t="s">
        <v>3271</v>
      </c>
      <c r="L347" s="8">
        <v>-0.86</v>
      </c>
      <c r="M347" s="6" t="s">
        <v>3272</v>
      </c>
      <c r="N347" s="8">
        <v>-0.86</v>
      </c>
      <c r="O347" s="6" t="s">
        <v>3273</v>
      </c>
      <c r="P347" s="6" t="s">
        <v>3274</v>
      </c>
      <c r="Q347" s="6" t="s">
        <v>217</v>
      </c>
      <c r="R347" s="6">
        <v>306</v>
      </c>
      <c r="S347" s="6">
        <v>1</v>
      </c>
      <c r="T347" s="6">
        <v>219</v>
      </c>
      <c r="U347" s="8">
        <v>-0.71</v>
      </c>
      <c r="V347" s="6"/>
      <c r="W347" s="6"/>
      <c r="X347" s="6"/>
      <c r="Y347" s="6"/>
      <c r="Z347" s="6"/>
      <c r="AA347" s="6"/>
      <c r="AB347" s="6"/>
      <c r="AC347" s="6"/>
      <c r="AD347" s="7"/>
    </row>
    <row r="348" spans="1:30" ht="15.6" x14ac:dyDescent="0.3">
      <c r="A348" s="4">
        <v>608</v>
      </c>
      <c r="B348" s="5" t="s">
        <v>3275</v>
      </c>
      <c r="C348" s="6" t="s">
        <v>466</v>
      </c>
      <c r="D348" s="5" t="s">
        <v>3276</v>
      </c>
      <c r="E348" s="5" t="s">
        <v>48</v>
      </c>
      <c r="F348" s="6" t="s">
        <v>3277</v>
      </c>
      <c r="G348" s="6" t="s">
        <v>3278</v>
      </c>
      <c r="H348" s="8">
        <v>0</v>
      </c>
      <c r="I348" s="6" t="s">
        <v>877</v>
      </c>
      <c r="J348" s="6" t="s">
        <v>1258</v>
      </c>
      <c r="K348" s="6" t="s">
        <v>3279</v>
      </c>
      <c r="L348" s="8">
        <v>-0.19</v>
      </c>
      <c r="M348" s="6" t="s">
        <v>2441</v>
      </c>
      <c r="N348" s="8">
        <v>-0.19</v>
      </c>
      <c r="O348" s="6" t="s">
        <v>2306</v>
      </c>
      <c r="P348" s="6" t="s">
        <v>3280</v>
      </c>
      <c r="Q348" s="6" t="s">
        <v>217</v>
      </c>
      <c r="R348" s="6">
        <v>157</v>
      </c>
      <c r="S348" s="6">
        <v>5</v>
      </c>
      <c r="T348" s="6">
        <v>202</v>
      </c>
      <c r="U348" s="8">
        <v>-0.55000000000000004</v>
      </c>
      <c r="V348" s="6"/>
      <c r="W348" s="6"/>
      <c r="X348" s="6"/>
      <c r="Y348" s="6"/>
      <c r="Z348" s="6"/>
      <c r="AA348" s="6"/>
      <c r="AB348" s="6"/>
      <c r="AC348" s="6"/>
      <c r="AD348" s="7"/>
    </row>
    <row r="349" spans="1:30" ht="15.6" x14ac:dyDescent="0.3">
      <c r="A349" s="4">
        <v>609</v>
      </c>
      <c r="B349" s="5" t="s">
        <v>3281</v>
      </c>
      <c r="C349" s="6" t="s">
        <v>567</v>
      </c>
      <c r="D349" s="5" t="s">
        <v>3282</v>
      </c>
      <c r="E349" s="5" t="s">
        <v>48</v>
      </c>
      <c r="F349" s="6" t="s">
        <v>3283</v>
      </c>
      <c r="G349" s="6" t="s">
        <v>3284</v>
      </c>
      <c r="H349" s="8">
        <v>0</v>
      </c>
      <c r="I349" s="8">
        <v>-0.53</v>
      </c>
      <c r="J349" s="6" t="s">
        <v>442</v>
      </c>
      <c r="K349" s="6" t="s">
        <v>3285</v>
      </c>
      <c r="L349" s="6" t="s">
        <v>573</v>
      </c>
      <c r="M349" s="6" t="s">
        <v>3286</v>
      </c>
      <c r="N349" s="6" t="s">
        <v>573</v>
      </c>
      <c r="O349" s="6" t="s">
        <v>3287</v>
      </c>
      <c r="P349" s="6" t="s">
        <v>3288</v>
      </c>
      <c r="Q349" s="6" t="s">
        <v>217</v>
      </c>
      <c r="R349" s="6">
        <v>24</v>
      </c>
      <c r="S349" s="6">
        <v>0</v>
      </c>
      <c r="T349" s="6">
        <v>54</v>
      </c>
      <c r="U349" s="6" t="s">
        <v>217</v>
      </c>
      <c r="V349" s="6"/>
      <c r="W349" s="6"/>
      <c r="X349" s="6"/>
      <c r="Y349" s="6"/>
      <c r="Z349" s="6"/>
      <c r="AA349" s="6"/>
      <c r="AB349" s="6"/>
      <c r="AC349" s="6"/>
      <c r="AD349" s="7"/>
    </row>
    <row r="350" spans="1:30" ht="15.6" x14ac:dyDescent="0.3">
      <c r="A350" s="4">
        <v>611</v>
      </c>
      <c r="B350" s="5" t="s">
        <v>3289</v>
      </c>
      <c r="C350" s="6" t="s">
        <v>126</v>
      </c>
      <c r="D350" s="5" t="s">
        <v>3290</v>
      </c>
      <c r="E350" s="5" t="s">
        <v>48</v>
      </c>
      <c r="F350" s="6" t="s">
        <v>3291</v>
      </c>
      <c r="G350" s="6" t="s">
        <v>3292</v>
      </c>
      <c r="H350" s="8">
        <v>0</v>
      </c>
      <c r="I350" s="8">
        <v>-0.98</v>
      </c>
      <c r="J350" s="6" t="s">
        <v>1479</v>
      </c>
      <c r="K350" s="6" t="s">
        <v>3293</v>
      </c>
      <c r="L350" s="8">
        <v>-0.61</v>
      </c>
      <c r="M350" s="6" t="s">
        <v>3294</v>
      </c>
      <c r="N350" s="8">
        <v>-0.61</v>
      </c>
      <c r="O350" s="6" t="s">
        <v>3295</v>
      </c>
      <c r="P350" s="6" t="s">
        <v>3296</v>
      </c>
      <c r="Q350" s="6" t="s">
        <v>217</v>
      </c>
      <c r="R350" s="6">
        <v>288</v>
      </c>
      <c r="S350" s="6">
        <v>0</v>
      </c>
      <c r="T350" s="6">
        <v>426</v>
      </c>
      <c r="U350" s="8">
        <v>-0.38</v>
      </c>
      <c r="V350" s="6"/>
      <c r="W350" s="6"/>
      <c r="X350" s="6"/>
      <c r="Y350" s="6"/>
      <c r="Z350" s="6"/>
      <c r="AA350" s="6"/>
      <c r="AB350" s="6"/>
      <c r="AC350" s="6"/>
      <c r="AD350" s="7"/>
    </row>
    <row r="351" spans="1:30" ht="15.6" x14ac:dyDescent="0.3">
      <c r="A351" s="4">
        <v>613</v>
      </c>
      <c r="B351" s="5" t="s">
        <v>3297</v>
      </c>
      <c r="C351" s="6" t="s">
        <v>304</v>
      </c>
      <c r="D351" s="5" t="s">
        <v>3298</v>
      </c>
      <c r="E351" s="5" t="s">
        <v>48</v>
      </c>
      <c r="F351" s="6" t="s">
        <v>3299</v>
      </c>
      <c r="G351" s="6" t="s">
        <v>3300</v>
      </c>
      <c r="H351" s="8">
        <v>0</v>
      </c>
      <c r="I351" s="8">
        <v>-0.24</v>
      </c>
      <c r="J351" s="6" t="s">
        <v>442</v>
      </c>
      <c r="K351" s="6" t="s">
        <v>3301</v>
      </c>
      <c r="L351" s="8">
        <v>-0.3</v>
      </c>
      <c r="M351" s="6" t="s">
        <v>3302</v>
      </c>
      <c r="N351" s="8">
        <v>-0.28999999999999998</v>
      </c>
      <c r="O351" s="6" t="s">
        <v>3303</v>
      </c>
      <c r="P351" s="6" t="s">
        <v>3304</v>
      </c>
      <c r="Q351" s="6" t="s">
        <v>217</v>
      </c>
      <c r="R351" s="6">
        <v>82</v>
      </c>
      <c r="S351" s="6">
        <v>1</v>
      </c>
      <c r="T351" s="6">
        <v>191</v>
      </c>
      <c r="U351" s="6" t="s">
        <v>217</v>
      </c>
      <c r="V351" s="6"/>
      <c r="W351" s="6"/>
      <c r="X351" s="6"/>
      <c r="Y351" s="6"/>
      <c r="Z351" s="6"/>
      <c r="AA351" s="6"/>
      <c r="AB351" s="6"/>
      <c r="AC351" s="6"/>
      <c r="AD351" s="7"/>
    </row>
    <row r="352" spans="1:30" ht="15.6" x14ac:dyDescent="0.3">
      <c r="A352" s="4">
        <v>614</v>
      </c>
      <c r="B352" s="5" t="s">
        <v>3305</v>
      </c>
      <c r="C352" s="6" t="s">
        <v>114</v>
      </c>
      <c r="D352" s="5" t="s">
        <v>3306</v>
      </c>
      <c r="E352" s="5" t="s">
        <v>48</v>
      </c>
      <c r="F352" s="6" t="s">
        <v>3307</v>
      </c>
      <c r="G352" s="6" t="s">
        <v>3308</v>
      </c>
      <c r="H352" s="8">
        <v>0</v>
      </c>
      <c r="I352" s="6" t="s">
        <v>106</v>
      </c>
      <c r="J352" s="6" t="s">
        <v>1238</v>
      </c>
      <c r="K352" s="6" t="s">
        <v>3309</v>
      </c>
      <c r="L352" s="6">
        <f>24%</f>
        <v>0.24</v>
      </c>
      <c r="M352" s="6" t="s">
        <v>3310</v>
      </c>
      <c r="N352" s="6">
        <f>24%</f>
        <v>0.24</v>
      </c>
      <c r="O352" s="6" t="s">
        <v>987</v>
      </c>
      <c r="P352" s="6" t="s">
        <v>3311</v>
      </c>
      <c r="Q352" s="6" t="s">
        <v>217</v>
      </c>
      <c r="R352" s="6" t="s">
        <v>3312</v>
      </c>
      <c r="S352" s="6">
        <v>116</v>
      </c>
      <c r="T352" s="6" t="s">
        <v>3313</v>
      </c>
      <c r="U352" s="6">
        <f>830%</f>
        <v>8.3000000000000007</v>
      </c>
      <c r="V352" s="6"/>
      <c r="W352" s="6"/>
      <c r="X352" s="6"/>
      <c r="Y352" s="6"/>
      <c r="Z352" s="6"/>
      <c r="AA352" s="6"/>
      <c r="AB352" s="6"/>
      <c r="AC352" s="6"/>
      <c r="AD352" s="7"/>
    </row>
    <row r="353" spans="1:30" ht="15.6" x14ac:dyDescent="0.3">
      <c r="A353" s="4">
        <v>615</v>
      </c>
      <c r="B353" s="5" t="s">
        <v>3314</v>
      </c>
      <c r="C353" s="6" t="s">
        <v>185</v>
      </c>
      <c r="D353" s="5" t="s">
        <v>3315</v>
      </c>
      <c r="E353" s="5" t="s">
        <v>48</v>
      </c>
      <c r="F353" s="6" t="s">
        <v>3316</v>
      </c>
      <c r="G353" s="6" t="s">
        <v>3317</v>
      </c>
      <c r="H353" s="8">
        <v>0</v>
      </c>
      <c r="I353" s="8">
        <v>-0.9</v>
      </c>
      <c r="J353" s="6" t="s">
        <v>584</v>
      </c>
      <c r="K353" s="6" t="s">
        <v>3108</v>
      </c>
      <c r="L353" s="8">
        <v>-0.27</v>
      </c>
      <c r="M353" s="6" t="s">
        <v>3318</v>
      </c>
      <c r="N353" s="8">
        <v>-0.27</v>
      </c>
      <c r="O353" s="6" t="s">
        <v>1241</v>
      </c>
      <c r="P353" s="6" t="s">
        <v>3319</v>
      </c>
      <c r="Q353" s="6" t="s">
        <v>217</v>
      </c>
      <c r="R353" s="6">
        <v>89</v>
      </c>
      <c r="S353" s="6">
        <v>1</v>
      </c>
      <c r="T353" s="6">
        <v>354</v>
      </c>
      <c r="U353" s="6"/>
      <c r="V353" s="6"/>
      <c r="W353" s="6"/>
      <c r="X353" s="6"/>
      <c r="Y353" s="6"/>
      <c r="Z353" s="6"/>
      <c r="AA353" s="6"/>
      <c r="AB353" s="6"/>
      <c r="AC353" s="6"/>
      <c r="AD353" s="7"/>
    </row>
    <row r="354" spans="1:30" ht="15.6" x14ac:dyDescent="0.3">
      <c r="A354" s="4">
        <v>616</v>
      </c>
      <c r="B354" s="5" t="s">
        <v>3320</v>
      </c>
      <c r="C354" s="6" t="s">
        <v>114</v>
      </c>
      <c r="D354" s="5" t="s">
        <v>3321</v>
      </c>
      <c r="E354" s="5" t="s">
        <v>48</v>
      </c>
      <c r="F354" s="6" t="s">
        <v>3322</v>
      </c>
      <c r="G354" s="6" t="s">
        <v>3323</v>
      </c>
      <c r="H354" s="8">
        <v>0</v>
      </c>
      <c r="I354" s="6" t="s">
        <v>1788</v>
      </c>
      <c r="J354" s="6" t="s">
        <v>189</v>
      </c>
      <c r="K354" s="6" t="s">
        <v>3324</v>
      </c>
      <c r="L354" s="6" t="s">
        <v>3325</v>
      </c>
      <c r="M354" s="6" t="s">
        <v>3326</v>
      </c>
      <c r="N354" s="6" t="s">
        <v>3325</v>
      </c>
      <c r="O354" s="6" t="s">
        <v>3327</v>
      </c>
      <c r="P354" s="6" t="s">
        <v>217</v>
      </c>
      <c r="Q354" s="6" t="s">
        <v>217</v>
      </c>
      <c r="R354" s="6">
        <v>236</v>
      </c>
      <c r="S354" s="6">
        <v>13</v>
      </c>
      <c r="T354" s="6">
        <v>355</v>
      </c>
      <c r="U354" s="6" t="s">
        <v>217</v>
      </c>
      <c r="V354" s="6"/>
      <c r="W354" s="6"/>
      <c r="X354" s="6"/>
      <c r="Y354" s="6"/>
      <c r="Z354" s="6"/>
      <c r="AA354" s="6"/>
      <c r="AB354" s="6"/>
      <c r="AC354" s="6"/>
      <c r="AD354" s="7"/>
    </row>
    <row r="355" spans="1:30" ht="15.6" x14ac:dyDescent="0.3">
      <c r="A355" s="4">
        <v>617</v>
      </c>
      <c r="B355" s="5" t="s">
        <v>3328</v>
      </c>
      <c r="C355" s="6" t="s">
        <v>114</v>
      </c>
      <c r="D355" s="5" t="s">
        <v>3329</v>
      </c>
      <c r="E355" s="5" t="s">
        <v>48</v>
      </c>
      <c r="F355" s="6" t="s">
        <v>3330</v>
      </c>
      <c r="G355" s="6" t="s">
        <v>3331</v>
      </c>
      <c r="H355" s="8">
        <v>0</v>
      </c>
      <c r="I355" s="6" t="s">
        <v>3016</v>
      </c>
      <c r="J355" s="6" t="s">
        <v>1443</v>
      </c>
      <c r="K355" s="6" t="s">
        <v>3332</v>
      </c>
      <c r="L355" s="6" t="s">
        <v>217</v>
      </c>
      <c r="M355" s="6" t="s">
        <v>3333</v>
      </c>
      <c r="N355" s="8">
        <v>-0.03</v>
      </c>
      <c r="O355" s="6" t="s">
        <v>3334</v>
      </c>
      <c r="P355" s="6" t="s">
        <v>217</v>
      </c>
      <c r="Q355" s="6" t="s">
        <v>217</v>
      </c>
      <c r="R355" s="6">
        <v>221</v>
      </c>
      <c r="S355" s="6">
        <v>5</v>
      </c>
      <c r="T355" s="6">
        <v>291</v>
      </c>
      <c r="U355" s="6" t="s">
        <v>217</v>
      </c>
      <c r="V355" s="6"/>
      <c r="W355" s="6"/>
      <c r="X355" s="6"/>
      <c r="Y355" s="6"/>
      <c r="Z355" s="6"/>
      <c r="AA355" s="6"/>
      <c r="AB355" s="6"/>
      <c r="AC355" s="6"/>
      <c r="AD355" s="7"/>
    </row>
    <row r="356" spans="1:30" ht="15.6" x14ac:dyDescent="0.3">
      <c r="A356" s="4">
        <v>618</v>
      </c>
      <c r="B356" s="5" t="s">
        <v>3335</v>
      </c>
      <c r="C356" s="6" t="s">
        <v>114</v>
      </c>
      <c r="D356" s="5" t="s">
        <v>3336</v>
      </c>
      <c r="E356" s="5" t="s">
        <v>48</v>
      </c>
      <c r="F356" s="6" t="s">
        <v>3337</v>
      </c>
      <c r="G356" s="6" t="s">
        <v>3338</v>
      </c>
      <c r="H356" s="8">
        <v>0</v>
      </c>
      <c r="I356" s="6" t="s">
        <v>3016</v>
      </c>
      <c r="J356" s="6" t="s">
        <v>454</v>
      </c>
      <c r="K356" s="6" t="s">
        <v>3339</v>
      </c>
      <c r="L356" s="6" t="s">
        <v>165</v>
      </c>
      <c r="M356" s="6" t="s">
        <v>3340</v>
      </c>
      <c r="N356" s="6" t="s">
        <v>165</v>
      </c>
      <c r="O356" s="6" t="s">
        <v>1923</v>
      </c>
      <c r="P356" s="6" t="s">
        <v>3341</v>
      </c>
      <c r="Q356" s="6" t="s">
        <v>217</v>
      </c>
      <c r="R356" s="6" t="s">
        <v>3342</v>
      </c>
      <c r="S356" s="6">
        <v>0</v>
      </c>
      <c r="T356" s="6" t="s">
        <v>3343</v>
      </c>
      <c r="U356" s="6">
        <f>170%</f>
        <v>1.7</v>
      </c>
      <c r="V356" s="6"/>
      <c r="W356" s="6"/>
      <c r="X356" s="6"/>
      <c r="Y356" s="6"/>
      <c r="Z356" s="6"/>
      <c r="AA356" s="6"/>
      <c r="AB356" s="6"/>
      <c r="AC356" s="6"/>
      <c r="AD356" s="7"/>
    </row>
    <row r="357" spans="1:30" ht="15.6" x14ac:dyDescent="0.3">
      <c r="A357" s="4">
        <v>619</v>
      </c>
      <c r="B357" s="5" t="s">
        <v>3344</v>
      </c>
      <c r="C357" s="6" t="s">
        <v>31</v>
      </c>
      <c r="D357" s="5" t="s">
        <v>3345</v>
      </c>
      <c r="E357" s="5" t="s">
        <v>48</v>
      </c>
      <c r="F357" s="6" t="s">
        <v>3346</v>
      </c>
      <c r="G357" s="6" t="s">
        <v>3347</v>
      </c>
      <c r="H357" s="8">
        <v>0</v>
      </c>
      <c r="I357" s="6" t="s">
        <v>845</v>
      </c>
      <c r="J357" s="6" t="s">
        <v>1412</v>
      </c>
      <c r="K357" s="6" t="s">
        <v>3348</v>
      </c>
      <c r="L357" s="8">
        <v>-0.63</v>
      </c>
      <c r="M357" s="6" t="s">
        <v>3349</v>
      </c>
      <c r="N357" s="8">
        <v>-0.63</v>
      </c>
      <c r="O357" s="6" t="s">
        <v>3350</v>
      </c>
      <c r="P357" s="6" t="s">
        <v>3351</v>
      </c>
      <c r="Q357" s="8">
        <v>-0.41</v>
      </c>
      <c r="R357" s="6">
        <v>130</v>
      </c>
      <c r="S357" s="6">
        <v>9</v>
      </c>
      <c r="T357" s="6">
        <v>999</v>
      </c>
      <c r="U357" s="8">
        <v>-0.53</v>
      </c>
      <c r="V357" s="6"/>
      <c r="W357" s="6"/>
      <c r="X357" s="6"/>
      <c r="Y357" s="6"/>
      <c r="Z357" s="6"/>
      <c r="AA357" s="6"/>
      <c r="AB357" s="6"/>
      <c r="AC357" s="6"/>
      <c r="AD357" s="7"/>
    </row>
    <row r="358" spans="1:30" ht="15.6" x14ac:dyDescent="0.3">
      <c r="A358" s="4">
        <v>620</v>
      </c>
      <c r="B358" s="5" t="s">
        <v>3352</v>
      </c>
      <c r="C358" s="6" t="s">
        <v>102</v>
      </c>
      <c r="D358" s="5" t="s">
        <v>3353</v>
      </c>
      <c r="E358" s="5" t="s">
        <v>48</v>
      </c>
      <c r="F358" s="6" t="s">
        <v>3354</v>
      </c>
      <c r="G358" s="6" t="s">
        <v>3355</v>
      </c>
      <c r="H358" s="8">
        <v>0</v>
      </c>
      <c r="I358" s="8">
        <v>-0.11</v>
      </c>
      <c r="J358" s="6" t="s">
        <v>153</v>
      </c>
      <c r="K358" s="6" t="s">
        <v>3356</v>
      </c>
      <c r="L358" s="6" t="s">
        <v>217</v>
      </c>
      <c r="M358" s="6" t="s">
        <v>3357</v>
      </c>
      <c r="N358" s="6">
        <f>6.9%</f>
        <v>6.9000000000000006E-2</v>
      </c>
      <c r="O358" s="6" t="s">
        <v>3333</v>
      </c>
      <c r="P358" s="6" t="s">
        <v>3358</v>
      </c>
      <c r="Q358" s="6" t="s">
        <v>217</v>
      </c>
      <c r="R358" s="6">
        <v>36</v>
      </c>
      <c r="S358" s="6">
        <v>2</v>
      </c>
      <c r="T358" s="6">
        <v>465</v>
      </c>
      <c r="U358" s="6">
        <f>11%</f>
        <v>0.11</v>
      </c>
      <c r="V358" s="6"/>
      <c r="W358" s="6"/>
      <c r="X358" s="6"/>
      <c r="Y358" s="6"/>
      <c r="Z358" s="6"/>
      <c r="AA358" s="6"/>
      <c r="AB358" s="6"/>
      <c r="AC358" s="6"/>
      <c r="AD358" s="7"/>
    </row>
    <row r="359" spans="1:30" ht="15.6" x14ac:dyDescent="0.3">
      <c r="A359" s="4">
        <v>621</v>
      </c>
      <c r="B359" s="5" t="s">
        <v>3359</v>
      </c>
      <c r="C359" s="6" t="s">
        <v>370</v>
      </c>
      <c r="D359" s="5" t="s">
        <v>3360</v>
      </c>
      <c r="E359" s="5" t="s">
        <v>48</v>
      </c>
      <c r="F359" s="6" t="s">
        <v>3361</v>
      </c>
      <c r="G359" s="6" t="s">
        <v>3362</v>
      </c>
      <c r="H359" s="8">
        <v>0</v>
      </c>
      <c r="I359" s="8">
        <v>-0.89</v>
      </c>
      <c r="J359" s="6" t="s">
        <v>64</v>
      </c>
      <c r="K359" s="6" t="s">
        <v>3363</v>
      </c>
      <c r="L359" s="8">
        <v>-0.11</v>
      </c>
      <c r="M359" s="6" t="s">
        <v>3364</v>
      </c>
      <c r="N359" s="8">
        <v>-0.11</v>
      </c>
      <c r="O359" s="6" t="s">
        <v>3365</v>
      </c>
      <c r="P359" s="6" t="s">
        <v>3366</v>
      </c>
      <c r="Q359" s="6" t="s">
        <v>217</v>
      </c>
      <c r="R359" s="6">
        <v>141</v>
      </c>
      <c r="S359" s="6">
        <v>0</v>
      </c>
      <c r="T359" s="6">
        <v>318</v>
      </c>
      <c r="U359" s="8">
        <v>-0.28000000000000003</v>
      </c>
      <c r="V359" s="6"/>
      <c r="W359" s="6"/>
      <c r="X359" s="6"/>
      <c r="Y359" s="6"/>
      <c r="Z359" s="6"/>
      <c r="AA359" s="6"/>
      <c r="AB359" s="6"/>
      <c r="AC359" s="6"/>
      <c r="AD359" s="7"/>
    </row>
    <row r="360" spans="1:30" ht="15.6" x14ac:dyDescent="0.3">
      <c r="A360" s="4">
        <v>622</v>
      </c>
      <c r="B360" s="5" t="s">
        <v>3367</v>
      </c>
      <c r="C360" s="6" t="s">
        <v>173</v>
      </c>
      <c r="D360" s="5" t="s">
        <v>3368</v>
      </c>
      <c r="E360" s="5" t="s">
        <v>48</v>
      </c>
      <c r="F360" s="6" t="s">
        <v>3369</v>
      </c>
      <c r="G360" s="6" t="s">
        <v>3370</v>
      </c>
      <c r="H360" s="8">
        <v>0</v>
      </c>
      <c r="I360" s="6" t="s">
        <v>217</v>
      </c>
      <c r="J360" s="6" t="s">
        <v>332</v>
      </c>
      <c r="K360" s="6" t="s">
        <v>3371</v>
      </c>
      <c r="L360" s="6">
        <f>20%</f>
        <v>0.2</v>
      </c>
      <c r="M360" s="6" t="s">
        <v>3372</v>
      </c>
      <c r="N360" s="6">
        <f>20%</f>
        <v>0.2</v>
      </c>
      <c r="O360" s="6" t="s">
        <v>3258</v>
      </c>
      <c r="P360" s="6" t="s">
        <v>3373</v>
      </c>
      <c r="Q360" s="6" t="s">
        <v>217</v>
      </c>
      <c r="R360" s="6">
        <v>4</v>
      </c>
      <c r="S360" s="6">
        <v>0</v>
      </c>
      <c r="T360" s="6">
        <v>73</v>
      </c>
      <c r="U360" s="6">
        <f>10%</f>
        <v>0.1</v>
      </c>
      <c r="V360" s="6"/>
      <c r="W360" s="6"/>
      <c r="X360" s="6"/>
      <c r="Y360" s="6"/>
      <c r="Z360" s="6"/>
      <c r="AA360" s="6"/>
      <c r="AB360" s="6"/>
      <c r="AC360" s="6"/>
      <c r="AD360" s="7"/>
    </row>
    <row r="361" spans="1:30" ht="15.6" x14ac:dyDescent="0.3">
      <c r="A361" s="4">
        <v>623</v>
      </c>
      <c r="B361" s="5" t="s">
        <v>3374</v>
      </c>
      <c r="C361" s="6" t="s">
        <v>46</v>
      </c>
      <c r="D361" s="5" t="s">
        <v>3375</v>
      </c>
      <c r="E361" s="5" t="s">
        <v>48</v>
      </c>
      <c r="F361" s="6" t="s">
        <v>3376</v>
      </c>
      <c r="G361" s="6" t="s">
        <v>3377</v>
      </c>
      <c r="H361" s="8">
        <v>0</v>
      </c>
      <c r="I361" s="8">
        <v>-0.97</v>
      </c>
      <c r="J361" s="6" t="s">
        <v>506</v>
      </c>
      <c r="K361" s="6" t="s">
        <v>3378</v>
      </c>
      <c r="L361" s="8">
        <v>-0.39</v>
      </c>
      <c r="M361" s="6" t="s">
        <v>3379</v>
      </c>
      <c r="N361" s="8">
        <v>-0.39</v>
      </c>
      <c r="O361" s="6" t="s">
        <v>3380</v>
      </c>
      <c r="P361" s="6" t="s">
        <v>3381</v>
      </c>
      <c r="Q361" s="6" t="s">
        <v>217</v>
      </c>
      <c r="R361" s="6">
        <v>357</v>
      </c>
      <c r="S361" s="6">
        <v>2</v>
      </c>
      <c r="T361" s="6">
        <v>536</v>
      </c>
      <c r="U361" s="6" t="s">
        <v>217</v>
      </c>
      <c r="V361" s="6"/>
      <c r="W361" s="6"/>
      <c r="X361" s="6"/>
      <c r="Y361" s="6"/>
      <c r="Z361" s="6"/>
      <c r="AA361" s="6"/>
      <c r="AB361" s="6"/>
      <c r="AC361" s="6"/>
      <c r="AD361" s="7"/>
    </row>
    <row r="362" spans="1:30" ht="15.6" x14ac:dyDescent="0.3">
      <c r="A362" s="4">
        <v>624</v>
      </c>
      <c r="B362" s="5" t="s">
        <v>3382</v>
      </c>
      <c r="C362" s="6" t="s">
        <v>291</v>
      </c>
      <c r="D362" s="5" t="s">
        <v>3383</v>
      </c>
      <c r="E362" s="5" t="s">
        <v>48</v>
      </c>
      <c r="F362" s="6" t="s">
        <v>3384</v>
      </c>
      <c r="G362" s="6" t="s">
        <v>3385</v>
      </c>
      <c r="H362" s="8">
        <v>0</v>
      </c>
      <c r="I362" s="6" t="s">
        <v>3386</v>
      </c>
      <c r="J362" s="6" t="s">
        <v>1059</v>
      </c>
      <c r="K362" s="6" t="s">
        <v>3387</v>
      </c>
      <c r="L362" s="6">
        <f>56%</f>
        <v>0.56000000000000005</v>
      </c>
      <c r="M362" s="6" t="s">
        <v>3388</v>
      </c>
      <c r="N362" s="6">
        <f>56%</f>
        <v>0.56000000000000005</v>
      </c>
      <c r="O362" s="6" t="s">
        <v>3389</v>
      </c>
      <c r="P362" s="6" t="s">
        <v>3390</v>
      </c>
      <c r="Q362" s="6" t="s">
        <v>217</v>
      </c>
      <c r="R362" s="6">
        <v>256</v>
      </c>
      <c r="S362" s="6">
        <v>0</v>
      </c>
      <c r="T362" s="6">
        <v>861</v>
      </c>
      <c r="U362" s="6" t="s">
        <v>9262</v>
      </c>
      <c r="V362" s="6"/>
      <c r="W362" s="6"/>
      <c r="X362" s="6"/>
      <c r="Y362" s="6"/>
      <c r="Z362" s="6"/>
      <c r="AA362" s="6"/>
      <c r="AB362" s="6"/>
      <c r="AC362" s="6"/>
      <c r="AD362" s="7"/>
    </row>
    <row r="363" spans="1:30" ht="15.6" x14ac:dyDescent="0.3">
      <c r="A363" s="4">
        <v>625</v>
      </c>
      <c r="B363" s="5" t="s">
        <v>3391</v>
      </c>
      <c r="C363" s="6" t="s">
        <v>46</v>
      </c>
      <c r="D363" s="5" t="s">
        <v>3392</v>
      </c>
      <c r="E363" s="5" t="s">
        <v>48</v>
      </c>
      <c r="F363" s="6" t="s">
        <v>3393</v>
      </c>
      <c r="G363" s="6" t="s">
        <v>3394</v>
      </c>
      <c r="H363" s="8">
        <v>0</v>
      </c>
      <c r="I363" s="8">
        <v>-0.28999999999999998</v>
      </c>
      <c r="J363" s="6" t="s">
        <v>199</v>
      </c>
      <c r="K363" s="6" t="s">
        <v>3395</v>
      </c>
      <c r="L363" s="6" t="s">
        <v>1061</v>
      </c>
      <c r="M363" s="6" t="s">
        <v>3396</v>
      </c>
      <c r="N363" s="6" t="s">
        <v>1061</v>
      </c>
      <c r="O363" s="6" t="s">
        <v>3397</v>
      </c>
      <c r="P363" s="6" t="s">
        <v>3398</v>
      </c>
      <c r="Q363" s="6" t="s">
        <v>217</v>
      </c>
      <c r="R363" s="6" t="s">
        <v>3399</v>
      </c>
      <c r="S363" s="6">
        <v>120</v>
      </c>
      <c r="T363" s="6">
        <v>401</v>
      </c>
      <c r="U363" s="8">
        <v>-0.46</v>
      </c>
      <c r="V363" s="6"/>
      <c r="W363" s="6"/>
      <c r="X363" s="6"/>
      <c r="Y363" s="6"/>
      <c r="Z363" s="6"/>
      <c r="AA363" s="6"/>
      <c r="AB363" s="6"/>
      <c r="AC363" s="6"/>
      <c r="AD363" s="7"/>
    </row>
    <row r="364" spans="1:30" ht="15.6" x14ac:dyDescent="0.3">
      <c r="A364" s="4">
        <v>626</v>
      </c>
      <c r="B364" s="5" t="s">
        <v>3400</v>
      </c>
      <c r="C364" s="6" t="s">
        <v>72</v>
      </c>
      <c r="D364" s="5" t="s">
        <v>3401</v>
      </c>
      <c r="E364" s="5" t="s">
        <v>48</v>
      </c>
      <c r="F364" s="6" t="s">
        <v>3402</v>
      </c>
      <c r="G364" s="6" t="s">
        <v>3403</v>
      </c>
      <c r="H364" s="8">
        <v>0</v>
      </c>
      <c r="I364" s="6" t="s">
        <v>3404</v>
      </c>
      <c r="J364" s="6" t="s">
        <v>189</v>
      </c>
      <c r="K364" s="6" t="s">
        <v>1239</v>
      </c>
      <c r="L364" s="6" t="s">
        <v>217</v>
      </c>
      <c r="M364" s="6" t="s">
        <v>1994</v>
      </c>
      <c r="N364" s="6" t="s">
        <v>3405</v>
      </c>
      <c r="O364" s="6" t="s">
        <v>3406</v>
      </c>
      <c r="P364" s="6" t="s">
        <v>3407</v>
      </c>
      <c r="Q364" s="6" t="s">
        <v>217</v>
      </c>
      <c r="R364" s="6">
        <v>29</v>
      </c>
      <c r="S364" s="6">
        <v>0</v>
      </c>
      <c r="T364" s="6">
        <v>651</v>
      </c>
      <c r="U364" s="6" t="s">
        <v>9262</v>
      </c>
      <c r="V364" s="6"/>
      <c r="W364" s="6"/>
      <c r="X364" s="6"/>
      <c r="Y364" s="6"/>
      <c r="Z364" s="6"/>
      <c r="AA364" s="6"/>
      <c r="AB364" s="6"/>
      <c r="AC364" s="6"/>
      <c r="AD364" s="7"/>
    </row>
    <row r="365" spans="1:30" ht="15.6" x14ac:dyDescent="0.3">
      <c r="A365" s="4">
        <v>627</v>
      </c>
      <c r="B365" s="5" t="s">
        <v>3408</v>
      </c>
      <c r="C365" s="6" t="s">
        <v>85</v>
      </c>
      <c r="D365" s="5" t="s">
        <v>3409</v>
      </c>
      <c r="E365" s="5" t="s">
        <v>48</v>
      </c>
      <c r="F365" s="6" t="s">
        <v>3410</v>
      </c>
      <c r="G365" s="6" t="s">
        <v>3411</v>
      </c>
      <c r="H365" s="8">
        <v>0</v>
      </c>
      <c r="I365" s="6">
        <f>250%</f>
        <v>2.5</v>
      </c>
      <c r="J365" s="6" t="s">
        <v>888</v>
      </c>
      <c r="K365" s="6" t="s">
        <v>3412</v>
      </c>
      <c r="L365" s="6">
        <f>14%</f>
        <v>0.14000000000000001</v>
      </c>
      <c r="M365" s="6" t="s">
        <v>3413</v>
      </c>
      <c r="N365" s="6">
        <f>14%</f>
        <v>0.14000000000000001</v>
      </c>
      <c r="O365" s="6" t="s">
        <v>3414</v>
      </c>
      <c r="P365" s="6" t="s">
        <v>3415</v>
      </c>
      <c r="Q365" s="6" t="s">
        <v>217</v>
      </c>
      <c r="R365" s="6">
        <v>762</v>
      </c>
      <c r="S365" s="6">
        <v>4</v>
      </c>
      <c r="T365" s="6">
        <v>352</v>
      </c>
      <c r="U365" s="6">
        <f>24%</f>
        <v>0.24</v>
      </c>
      <c r="V365" s="6"/>
      <c r="W365" s="6"/>
      <c r="X365" s="6"/>
      <c r="Y365" s="6"/>
      <c r="Z365" s="6"/>
      <c r="AA365" s="6"/>
      <c r="AB365" s="6"/>
      <c r="AC365" s="6"/>
      <c r="AD365" s="7"/>
    </row>
    <row r="366" spans="1:30" ht="15.6" x14ac:dyDescent="0.3">
      <c r="A366" s="4">
        <v>628</v>
      </c>
      <c r="B366" s="5" t="s">
        <v>3416</v>
      </c>
      <c r="C366" s="6" t="s">
        <v>267</v>
      </c>
      <c r="D366" s="5" t="s">
        <v>3417</v>
      </c>
      <c r="E366" s="5" t="s">
        <v>48</v>
      </c>
      <c r="F366" s="6" t="s">
        <v>3418</v>
      </c>
      <c r="G366" s="6" t="s">
        <v>3419</v>
      </c>
      <c r="H366" s="8">
        <v>0</v>
      </c>
      <c r="I366" s="8">
        <v>-0.03</v>
      </c>
      <c r="J366" s="6" t="s">
        <v>698</v>
      </c>
      <c r="K366" s="6" t="s">
        <v>3420</v>
      </c>
      <c r="L366" s="8">
        <v>-0.08</v>
      </c>
      <c r="M366" s="6" t="s">
        <v>3421</v>
      </c>
      <c r="N366" s="8">
        <v>-0.08</v>
      </c>
      <c r="O366" s="6" t="s">
        <v>3422</v>
      </c>
      <c r="P366" s="6" t="s">
        <v>217</v>
      </c>
      <c r="Q366" s="6" t="s">
        <v>217</v>
      </c>
      <c r="R366" s="6">
        <v>3</v>
      </c>
      <c r="S366" s="6">
        <v>0</v>
      </c>
      <c r="T366" s="6">
        <v>32</v>
      </c>
      <c r="U366" s="6" t="s">
        <v>217</v>
      </c>
      <c r="V366" s="6"/>
      <c r="W366" s="6"/>
      <c r="X366" s="6"/>
      <c r="Y366" s="6"/>
      <c r="Z366" s="6"/>
      <c r="AA366" s="6"/>
      <c r="AB366" s="6"/>
      <c r="AC366" s="6"/>
      <c r="AD366" s="7"/>
    </row>
    <row r="367" spans="1:30" ht="15.6" x14ac:dyDescent="0.3">
      <c r="A367" s="4">
        <v>629</v>
      </c>
      <c r="B367" s="5" t="s">
        <v>3423</v>
      </c>
      <c r="C367" s="6" t="s">
        <v>820</v>
      </c>
      <c r="D367" s="5" t="s">
        <v>3424</v>
      </c>
      <c r="E367" s="5" t="s">
        <v>48</v>
      </c>
      <c r="F367" s="6" t="s">
        <v>3425</v>
      </c>
      <c r="G367" s="6" t="s">
        <v>3426</v>
      </c>
      <c r="H367" s="8">
        <v>0</v>
      </c>
      <c r="I367" s="6" t="s">
        <v>3427</v>
      </c>
      <c r="J367" s="6" t="s">
        <v>332</v>
      </c>
      <c r="K367" s="6" t="s">
        <v>3428</v>
      </c>
      <c r="L367" s="6" t="s">
        <v>217</v>
      </c>
      <c r="M367" s="6" t="s">
        <v>3429</v>
      </c>
      <c r="N367" s="8">
        <v>-0.15</v>
      </c>
      <c r="O367" s="6" t="s">
        <v>3430</v>
      </c>
      <c r="P367" s="6" t="s">
        <v>217</v>
      </c>
      <c r="Q367" s="6" t="s">
        <v>217</v>
      </c>
      <c r="R367" s="6">
        <v>7</v>
      </c>
      <c r="S367" s="6">
        <v>0</v>
      </c>
      <c r="T367" s="6">
        <v>33</v>
      </c>
      <c r="U367" s="6" t="s">
        <v>217</v>
      </c>
      <c r="V367" s="6"/>
      <c r="W367" s="6"/>
      <c r="X367" s="6"/>
      <c r="Y367" s="6"/>
      <c r="Z367" s="6"/>
      <c r="AA367" s="6"/>
      <c r="AB367" s="6"/>
      <c r="AC367" s="6"/>
      <c r="AD367" s="7"/>
    </row>
    <row r="368" spans="1:30" ht="15.6" x14ac:dyDescent="0.3">
      <c r="A368" s="4">
        <v>630</v>
      </c>
      <c r="B368" s="5" t="s">
        <v>3431</v>
      </c>
      <c r="C368" s="6" t="s">
        <v>114</v>
      </c>
      <c r="D368" s="5" t="s">
        <v>3432</v>
      </c>
      <c r="E368" s="5" t="s">
        <v>48</v>
      </c>
      <c r="F368" s="6" t="s">
        <v>3433</v>
      </c>
      <c r="G368" s="6" t="s">
        <v>3434</v>
      </c>
      <c r="H368" s="8">
        <v>0</v>
      </c>
      <c r="I368" s="8">
        <v>-0.64</v>
      </c>
      <c r="J368" s="6" t="s">
        <v>3435</v>
      </c>
      <c r="K368" s="6" t="s">
        <v>3436</v>
      </c>
      <c r="L368" s="8">
        <v>-0.22</v>
      </c>
      <c r="M368" s="6" t="s">
        <v>3437</v>
      </c>
      <c r="N368" s="8">
        <v>-0.22</v>
      </c>
      <c r="O368" s="6" t="s">
        <v>3438</v>
      </c>
      <c r="P368" s="6" t="s">
        <v>883</v>
      </c>
      <c r="Q368" s="6" t="s">
        <v>217</v>
      </c>
      <c r="R368" s="6">
        <v>181</v>
      </c>
      <c r="S368" s="6">
        <v>4</v>
      </c>
      <c r="T368" s="6">
        <v>466</v>
      </c>
      <c r="U368" s="6">
        <f>130%</f>
        <v>1.3</v>
      </c>
      <c r="V368" s="6"/>
      <c r="W368" s="6"/>
      <c r="X368" s="6"/>
      <c r="Y368" s="6"/>
      <c r="Z368" s="6"/>
      <c r="AA368" s="6"/>
      <c r="AB368" s="6"/>
      <c r="AC368" s="6"/>
      <c r="AD368" s="7"/>
    </row>
    <row r="369" spans="1:30" ht="15.6" x14ac:dyDescent="0.3">
      <c r="A369" s="4">
        <v>631</v>
      </c>
      <c r="B369" s="5" t="s">
        <v>3439</v>
      </c>
      <c r="C369" s="6" t="s">
        <v>72</v>
      </c>
      <c r="D369" s="5" t="s">
        <v>3440</v>
      </c>
      <c r="E369" s="5" t="s">
        <v>48</v>
      </c>
      <c r="F369" s="6" t="s">
        <v>3441</v>
      </c>
      <c r="G369" s="6" t="s">
        <v>3442</v>
      </c>
      <c r="H369" s="8">
        <v>0</v>
      </c>
      <c r="I369" s="6" t="s">
        <v>2686</v>
      </c>
      <c r="J369" s="6" t="s">
        <v>131</v>
      </c>
      <c r="K369" s="6" t="s">
        <v>3443</v>
      </c>
      <c r="L369" s="6" t="s">
        <v>217</v>
      </c>
      <c r="M369" s="6" t="s">
        <v>3444</v>
      </c>
      <c r="N369" s="8">
        <v>-0.12</v>
      </c>
      <c r="O369" s="6" t="s">
        <v>3445</v>
      </c>
      <c r="P369" s="6" t="s">
        <v>217</v>
      </c>
      <c r="Q369" s="6" t="s">
        <v>217</v>
      </c>
      <c r="R369" s="6">
        <v>41</v>
      </c>
      <c r="S369" s="6">
        <v>1</v>
      </c>
      <c r="T369" s="6">
        <v>69</v>
      </c>
      <c r="U369" s="6" t="s">
        <v>217</v>
      </c>
      <c r="V369" s="6"/>
      <c r="W369" s="6"/>
      <c r="X369" s="6"/>
      <c r="Y369" s="6"/>
      <c r="Z369" s="6"/>
      <c r="AA369" s="6"/>
      <c r="AB369" s="6"/>
      <c r="AC369" s="6"/>
      <c r="AD369" s="7"/>
    </row>
    <row r="370" spans="1:30" ht="15.6" x14ac:dyDescent="0.3">
      <c r="A370" s="4">
        <v>633</v>
      </c>
      <c r="B370" s="5" t="s">
        <v>3446</v>
      </c>
      <c r="C370" s="6" t="s">
        <v>267</v>
      </c>
      <c r="D370" s="5" t="s">
        <v>3447</v>
      </c>
      <c r="E370" s="5" t="s">
        <v>48</v>
      </c>
      <c r="F370" s="6" t="s">
        <v>3448</v>
      </c>
      <c r="G370" s="6" t="s">
        <v>3449</v>
      </c>
      <c r="H370" s="8">
        <v>0</v>
      </c>
      <c r="I370" s="6" t="s">
        <v>2358</v>
      </c>
      <c r="J370" s="6" t="s">
        <v>596</v>
      </c>
      <c r="K370" s="6" t="s">
        <v>3450</v>
      </c>
      <c r="L370" s="6" t="s">
        <v>217</v>
      </c>
      <c r="M370" s="6" t="s">
        <v>3451</v>
      </c>
      <c r="N370" s="6" t="s">
        <v>1061</v>
      </c>
      <c r="O370" s="6" t="s">
        <v>3452</v>
      </c>
      <c r="P370" s="6" t="s">
        <v>217</v>
      </c>
      <c r="Q370" s="6" t="s">
        <v>217</v>
      </c>
      <c r="R370" s="6">
        <v>218</v>
      </c>
      <c r="S370" s="6">
        <v>10</v>
      </c>
      <c r="T370" s="6">
        <v>307</v>
      </c>
      <c r="U370" s="6" t="s">
        <v>217</v>
      </c>
      <c r="V370" s="6"/>
      <c r="W370" s="6"/>
      <c r="X370" s="6"/>
      <c r="Y370" s="6"/>
      <c r="Z370" s="6"/>
      <c r="AA370" s="6"/>
      <c r="AB370" s="6"/>
      <c r="AC370" s="6"/>
      <c r="AD370" s="7"/>
    </row>
    <row r="371" spans="1:30" ht="15.6" x14ac:dyDescent="0.3">
      <c r="A371" s="4">
        <v>634</v>
      </c>
      <c r="B371" s="5" t="s">
        <v>3453</v>
      </c>
      <c r="C371" s="6" t="s">
        <v>72</v>
      </c>
      <c r="D371" s="5" t="s">
        <v>3454</v>
      </c>
      <c r="E371" s="5" t="s">
        <v>48</v>
      </c>
      <c r="F371" s="6" t="s">
        <v>3455</v>
      </c>
      <c r="G371" s="6" t="s">
        <v>3456</v>
      </c>
      <c r="H371" s="8">
        <v>0</v>
      </c>
      <c r="I371" s="8">
        <v>-0.95</v>
      </c>
      <c r="J371" s="6" t="s">
        <v>2517</v>
      </c>
      <c r="K371" s="6" t="s">
        <v>3457</v>
      </c>
      <c r="L371" s="6" t="s">
        <v>217</v>
      </c>
      <c r="M371" s="6" t="s">
        <v>3458</v>
      </c>
      <c r="N371" s="6" t="s">
        <v>3016</v>
      </c>
      <c r="O371" s="6" t="s">
        <v>3459</v>
      </c>
      <c r="P371" s="6" t="s">
        <v>3460</v>
      </c>
      <c r="Q371" s="6" t="s">
        <v>217</v>
      </c>
      <c r="R371" s="6" t="s">
        <v>3461</v>
      </c>
      <c r="S371" s="6">
        <v>34</v>
      </c>
      <c r="T371" s="6">
        <v>320</v>
      </c>
      <c r="U371" s="6">
        <f>5.3%</f>
        <v>5.2999999999999999E-2</v>
      </c>
      <c r="V371" s="6"/>
      <c r="W371" s="6"/>
      <c r="X371" s="6"/>
      <c r="Y371" s="6"/>
      <c r="Z371" s="6"/>
      <c r="AA371" s="6"/>
      <c r="AB371" s="6"/>
      <c r="AC371" s="6"/>
      <c r="AD371" s="7"/>
    </row>
    <row r="372" spans="1:30" ht="15.6" x14ac:dyDescent="0.3">
      <c r="A372" s="4">
        <v>635</v>
      </c>
      <c r="B372" s="5" t="s">
        <v>3462</v>
      </c>
      <c r="C372" s="6" t="s">
        <v>102</v>
      </c>
      <c r="D372" s="5" t="s">
        <v>3463</v>
      </c>
      <c r="E372" s="5" t="s">
        <v>48</v>
      </c>
      <c r="F372" s="6" t="s">
        <v>3464</v>
      </c>
      <c r="G372" s="6" t="s">
        <v>3465</v>
      </c>
      <c r="H372" s="8">
        <v>0</v>
      </c>
      <c r="I372" s="8">
        <v>-0.99</v>
      </c>
      <c r="J372" s="6" t="s">
        <v>1453</v>
      </c>
      <c r="K372" s="6" t="s">
        <v>2786</v>
      </c>
      <c r="L372" s="6" t="s">
        <v>217</v>
      </c>
      <c r="M372" s="6" t="s">
        <v>2787</v>
      </c>
      <c r="N372" s="8">
        <v>-0.1</v>
      </c>
      <c r="O372" s="6" t="s">
        <v>3466</v>
      </c>
      <c r="P372" s="6" t="s">
        <v>3467</v>
      </c>
      <c r="Q372" s="6" t="s">
        <v>217</v>
      </c>
      <c r="R372" s="6" t="s">
        <v>3468</v>
      </c>
      <c r="S372" s="6">
        <v>4</v>
      </c>
      <c r="T372" s="6">
        <v>613</v>
      </c>
      <c r="U372" s="6" t="s">
        <v>217</v>
      </c>
      <c r="V372" s="6"/>
      <c r="W372" s="6"/>
      <c r="X372" s="6"/>
      <c r="Y372" s="6"/>
      <c r="Z372" s="6"/>
      <c r="AA372" s="6"/>
      <c r="AB372" s="6"/>
      <c r="AC372" s="6"/>
      <c r="AD372" s="7"/>
    </row>
    <row r="373" spans="1:30" ht="15.6" x14ac:dyDescent="0.3">
      <c r="A373" s="4">
        <v>637</v>
      </c>
      <c r="B373" s="5" t="s">
        <v>3469</v>
      </c>
      <c r="C373" s="6" t="s">
        <v>126</v>
      </c>
      <c r="D373" s="5" t="s">
        <v>3470</v>
      </c>
      <c r="E373" s="5" t="s">
        <v>48</v>
      </c>
      <c r="F373" s="6" t="s">
        <v>3471</v>
      </c>
      <c r="G373" s="6" t="s">
        <v>3472</v>
      </c>
      <c r="H373" s="8">
        <v>0</v>
      </c>
      <c r="I373" s="6" t="s">
        <v>2638</v>
      </c>
      <c r="J373" s="6" t="s">
        <v>812</v>
      </c>
      <c r="K373" s="6" t="s">
        <v>3473</v>
      </c>
      <c r="L373" s="6">
        <f>36%</f>
        <v>0.36</v>
      </c>
      <c r="M373" s="6" t="s">
        <v>3190</v>
      </c>
      <c r="N373" s="6">
        <f>36%</f>
        <v>0.36</v>
      </c>
      <c r="O373" s="6" t="s">
        <v>3474</v>
      </c>
      <c r="P373" s="6" t="s">
        <v>217</v>
      </c>
      <c r="Q373" s="6" t="s">
        <v>217</v>
      </c>
      <c r="R373" s="6">
        <v>2</v>
      </c>
      <c r="S373" s="6">
        <v>0</v>
      </c>
      <c r="T373" s="6">
        <v>27</v>
      </c>
      <c r="U373" s="6" t="s">
        <v>217</v>
      </c>
      <c r="V373" s="6"/>
      <c r="W373" s="6"/>
      <c r="X373" s="6"/>
      <c r="Y373" s="6"/>
      <c r="Z373" s="6"/>
      <c r="AA373" s="6"/>
      <c r="AB373" s="6"/>
      <c r="AC373" s="6"/>
      <c r="AD373" s="7"/>
    </row>
    <row r="374" spans="1:30" ht="15.6" x14ac:dyDescent="0.3">
      <c r="A374" s="4">
        <v>638</v>
      </c>
      <c r="B374" s="5" t="s">
        <v>3475</v>
      </c>
      <c r="C374" s="6" t="s">
        <v>370</v>
      </c>
      <c r="D374" s="5" t="s">
        <v>3476</v>
      </c>
      <c r="E374" s="5" t="s">
        <v>48</v>
      </c>
      <c r="F374" s="6" t="s">
        <v>3477</v>
      </c>
      <c r="G374" s="6" t="s">
        <v>3478</v>
      </c>
      <c r="H374" s="8">
        <v>0</v>
      </c>
      <c r="I374" s="6" t="s">
        <v>920</v>
      </c>
      <c r="J374" s="6" t="s">
        <v>596</v>
      </c>
      <c r="K374" s="6" t="s">
        <v>3479</v>
      </c>
      <c r="L374" s="6" t="s">
        <v>217</v>
      </c>
      <c r="M374" s="6" t="s">
        <v>3480</v>
      </c>
      <c r="N374" s="8">
        <v>-0.15</v>
      </c>
      <c r="O374" s="6" t="s">
        <v>3481</v>
      </c>
      <c r="P374" s="6" t="s">
        <v>3482</v>
      </c>
      <c r="Q374" s="6" t="s">
        <v>217</v>
      </c>
      <c r="R374" s="6">
        <v>45</v>
      </c>
      <c r="S374" s="6">
        <v>0</v>
      </c>
      <c r="T374" s="6">
        <v>184</v>
      </c>
      <c r="U374" s="6" t="e">
        <f>+∞%</f>
        <v>#NAME?</v>
      </c>
      <c r="V374" s="6"/>
      <c r="W374" s="6"/>
      <c r="X374" s="6"/>
      <c r="Y374" s="6"/>
      <c r="Z374" s="6"/>
      <c r="AA374" s="6"/>
      <c r="AB374" s="6"/>
      <c r="AC374" s="6"/>
      <c r="AD374" s="7"/>
    </row>
    <row r="375" spans="1:30" ht="15.6" x14ac:dyDescent="0.3">
      <c r="A375" s="4">
        <v>640</v>
      </c>
      <c r="B375" s="5" t="s">
        <v>3483</v>
      </c>
      <c r="C375" s="6" t="s">
        <v>102</v>
      </c>
      <c r="D375" s="5" t="s">
        <v>3484</v>
      </c>
      <c r="E375" s="5" t="s">
        <v>48</v>
      </c>
      <c r="F375" s="6" t="s">
        <v>3485</v>
      </c>
      <c r="G375" s="6" t="s">
        <v>3486</v>
      </c>
      <c r="H375" s="8">
        <v>0</v>
      </c>
      <c r="I375" s="8">
        <v>-0.66</v>
      </c>
      <c r="J375" s="6" t="s">
        <v>1071</v>
      </c>
      <c r="K375" s="6" t="s">
        <v>3487</v>
      </c>
      <c r="L375" s="8">
        <v>-0.17</v>
      </c>
      <c r="M375" s="6" t="s">
        <v>3488</v>
      </c>
      <c r="N375" s="8">
        <v>-0.17</v>
      </c>
      <c r="O375" s="6" t="s">
        <v>3489</v>
      </c>
      <c r="P375" s="6" t="s">
        <v>1349</v>
      </c>
      <c r="Q375" s="6" t="s">
        <v>217</v>
      </c>
      <c r="R375" s="6">
        <v>298</v>
      </c>
      <c r="S375" s="6">
        <v>6</v>
      </c>
      <c r="T375" s="6">
        <v>986</v>
      </c>
      <c r="U375" s="6" t="s">
        <v>217</v>
      </c>
      <c r="V375" s="6"/>
      <c r="W375" s="6"/>
      <c r="X375" s="6"/>
      <c r="Y375" s="6"/>
      <c r="Z375" s="6"/>
      <c r="AA375" s="6"/>
      <c r="AB375" s="6"/>
      <c r="AC375" s="6"/>
      <c r="AD375" s="7"/>
    </row>
    <row r="376" spans="1:30" ht="15.6" x14ac:dyDescent="0.3">
      <c r="A376" s="4">
        <v>641</v>
      </c>
      <c r="B376" s="5" t="s">
        <v>3490</v>
      </c>
      <c r="C376" s="6" t="s">
        <v>126</v>
      </c>
      <c r="D376" s="5" t="s">
        <v>3491</v>
      </c>
      <c r="E376" s="5" t="s">
        <v>48</v>
      </c>
      <c r="F376" s="6" t="s">
        <v>3492</v>
      </c>
      <c r="G376" s="6" t="s">
        <v>3493</v>
      </c>
      <c r="H376" s="8">
        <v>0</v>
      </c>
      <c r="I376" s="6" t="s">
        <v>710</v>
      </c>
      <c r="J376" s="6" t="s">
        <v>2509</v>
      </c>
      <c r="K376" s="6" t="s">
        <v>3494</v>
      </c>
      <c r="L376" s="8">
        <v>-0.15</v>
      </c>
      <c r="M376" s="6" t="s">
        <v>3495</v>
      </c>
      <c r="N376" s="8">
        <v>-0.15</v>
      </c>
      <c r="O376" s="6" t="s">
        <v>3496</v>
      </c>
      <c r="P376" s="6" t="s">
        <v>217</v>
      </c>
      <c r="Q376" s="6" t="s">
        <v>217</v>
      </c>
      <c r="R376" s="6">
        <v>24</v>
      </c>
      <c r="S376" s="6">
        <v>1</v>
      </c>
      <c r="T376" s="6">
        <v>37</v>
      </c>
      <c r="U376" s="6" t="s">
        <v>217</v>
      </c>
      <c r="V376" s="6"/>
      <c r="W376" s="6"/>
      <c r="X376" s="6"/>
      <c r="Y376" s="6"/>
      <c r="Z376" s="6"/>
      <c r="AA376" s="6"/>
      <c r="AB376" s="6"/>
      <c r="AC376" s="6"/>
      <c r="AD376" s="7"/>
    </row>
    <row r="377" spans="1:30" ht="15.6" x14ac:dyDescent="0.3">
      <c r="A377" s="4">
        <v>642</v>
      </c>
      <c r="B377" s="5" t="s">
        <v>3497</v>
      </c>
      <c r="C377" s="6" t="s">
        <v>1645</v>
      </c>
      <c r="D377" s="5" t="s">
        <v>3498</v>
      </c>
      <c r="E377" s="5" t="s">
        <v>48</v>
      </c>
      <c r="F377" s="6" t="s">
        <v>3499</v>
      </c>
      <c r="G377" s="6" t="s">
        <v>3500</v>
      </c>
      <c r="H377" s="8">
        <v>0</v>
      </c>
      <c r="I377" s="8">
        <v>-0.14000000000000001</v>
      </c>
      <c r="J377" s="6" t="s">
        <v>284</v>
      </c>
      <c r="K377" s="6" t="s">
        <v>3501</v>
      </c>
      <c r="L377" s="6" t="s">
        <v>217</v>
      </c>
      <c r="M377" s="6" t="s">
        <v>3502</v>
      </c>
      <c r="N377" s="6">
        <f>2.1%</f>
        <v>2.1000000000000001E-2</v>
      </c>
      <c r="O377" s="6" t="s">
        <v>3503</v>
      </c>
      <c r="P377" s="6" t="s">
        <v>3504</v>
      </c>
      <c r="Q377" s="6" t="s">
        <v>217</v>
      </c>
      <c r="R377" s="6">
        <v>340</v>
      </c>
      <c r="S377" s="6">
        <v>6</v>
      </c>
      <c r="T377" s="6" t="s">
        <v>3505</v>
      </c>
      <c r="U377" s="6">
        <f>200%</f>
        <v>2</v>
      </c>
      <c r="V377" s="6"/>
      <c r="W377" s="6"/>
      <c r="X377" s="6"/>
      <c r="Y377" s="6"/>
      <c r="Z377" s="6"/>
      <c r="AA377" s="6"/>
      <c r="AB377" s="6"/>
      <c r="AC377" s="6"/>
      <c r="AD377" s="7"/>
    </row>
    <row r="378" spans="1:30" ht="15.6" x14ac:dyDescent="0.3">
      <c r="A378" s="4">
        <v>643</v>
      </c>
      <c r="B378" s="5" t="s">
        <v>3506</v>
      </c>
      <c r="C378" s="6" t="s">
        <v>102</v>
      </c>
      <c r="D378" s="5" t="s">
        <v>3507</v>
      </c>
      <c r="E378" s="5" t="s">
        <v>48</v>
      </c>
      <c r="F378" s="6" t="s">
        <v>3508</v>
      </c>
      <c r="G378" s="6" t="s">
        <v>3509</v>
      </c>
      <c r="H378" s="8">
        <v>0</v>
      </c>
      <c r="I378" s="6" t="s">
        <v>2246</v>
      </c>
      <c r="J378" s="6" t="s">
        <v>343</v>
      </c>
      <c r="K378" s="6" t="s">
        <v>3510</v>
      </c>
      <c r="L378" s="8">
        <v>-0.11</v>
      </c>
      <c r="M378" s="6" t="s">
        <v>3511</v>
      </c>
      <c r="N378" s="8">
        <v>-0.11</v>
      </c>
      <c r="O378" s="6" t="s">
        <v>3512</v>
      </c>
      <c r="P378" s="6" t="s">
        <v>3513</v>
      </c>
      <c r="Q378" s="6" t="s">
        <v>217</v>
      </c>
      <c r="R378" s="6">
        <v>83</v>
      </c>
      <c r="S378" s="6">
        <v>0</v>
      </c>
      <c r="T378" s="6">
        <v>135</v>
      </c>
      <c r="U378" s="6" t="s">
        <v>9262</v>
      </c>
      <c r="V378" s="6"/>
      <c r="W378" s="6"/>
      <c r="X378" s="6"/>
      <c r="Y378" s="6"/>
      <c r="Z378" s="6"/>
      <c r="AA378" s="6"/>
      <c r="AB378" s="6"/>
      <c r="AC378" s="6"/>
      <c r="AD378" s="7"/>
    </row>
    <row r="379" spans="1:30" ht="15.6" x14ac:dyDescent="0.3">
      <c r="A379" s="4">
        <v>644</v>
      </c>
      <c r="B379" s="5" t="s">
        <v>3514</v>
      </c>
      <c r="C379" s="6" t="s">
        <v>370</v>
      </c>
      <c r="D379" s="5" t="s">
        <v>3515</v>
      </c>
      <c r="E379" s="5" t="s">
        <v>48</v>
      </c>
      <c r="F379" s="6" t="s">
        <v>3516</v>
      </c>
      <c r="G379" s="6" t="s">
        <v>3517</v>
      </c>
      <c r="H379" s="8">
        <v>0</v>
      </c>
      <c r="I379" s="8">
        <v>-0.97</v>
      </c>
      <c r="J379" s="6" t="s">
        <v>1354</v>
      </c>
      <c r="K379" s="6" t="s">
        <v>3518</v>
      </c>
      <c r="L379" s="6" t="s">
        <v>217</v>
      </c>
      <c r="M379" s="6" t="s">
        <v>3519</v>
      </c>
      <c r="N379" s="8">
        <v>-0.12</v>
      </c>
      <c r="O379" s="6" t="s">
        <v>3520</v>
      </c>
      <c r="P379" s="10">
        <v>45778</v>
      </c>
      <c r="Q379" s="6" t="s">
        <v>217</v>
      </c>
      <c r="R379" s="6" t="s">
        <v>3521</v>
      </c>
      <c r="S379" s="6">
        <v>41</v>
      </c>
      <c r="T379" s="6">
        <v>554</v>
      </c>
      <c r="U379" s="6" t="s">
        <v>217</v>
      </c>
      <c r="V379" s="6"/>
      <c r="W379" s="6"/>
      <c r="X379" s="6"/>
      <c r="Y379" s="6"/>
      <c r="Z379" s="6"/>
      <c r="AA379" s="6"/>
      <c r="AB379" s="6"/>
      <c r="AC379" s="6"/>
      <c r="AD379" s="7"/>
    </row>
    <row r="380" spans="1:30" ht="15.6" x14ac:dyDescent="0.3">
      <c r="A380" s="4">
        <v>646</v>
      </c>
      <c r="B380" s="5" t="s">
        <v>3522</v>
      </c>
      <c r="C380" s="6" t="s">
        <v>1013</v>
      </c>
      <c r="D380" s="5" t="s">
        <v>3523</v>
      </c>
      <c r="E380" s="5" t="s">
        <v>48</v>
      </c>
      <c r="F380" s="6" t="s">
        <v>3524</v>
      </c>
      <c r="G380" s="6" t="s">
        <v>3525</v>
      </c>
      <c r="H380" s="8">
        <v>0</v>
      </c>
      <c r="I380" s="8">
        <v>-0.99</v>
      </c>
      <c r="J380" s="6" t="s">
        <v>687</v>
      </c>
      <c r="K380" s="6" t="s">
        <v>3526</v>
      </c>
      <c r="L380" s="8">
        <v>-0.24</v>
      </c>
      <c r="M380" s="6" t="s">
        <v>3527</v>
      </c>
      <c r="N380" s="8">
        <v>-0.24</v>
      </c>
      <c r="O380" s="6" t="s">
        <v>3528</v>
      </c>
      <c r="P380" s="6" t="s">
        <v>3529</v>
      </c>
      <c r="Q380" s="6" t="s">
        <v>217</v>
      </c>
      <c r="R380" s="6">
        <v>620</v>
      </c>
      <c r="S380" s="6">
        <v>2</v>
      </c>
      <c r="T380" s="6">
        <v>575</v>
      </c>
      <c r="U380" s="8">
        <v>-0.73</v>
      </c>
      <c r="V380" s="6"/>
      <c r="W380" s="6"/>
      <c r="X380" s="6"/>
      <c r="Y380" s="6"/>
      <c r="Z380" s="6"/>
      <c r="AA380" s="6"/>
      <c r="AB380" s="6"/>
      <c r="AC380" s="6"/>
      <c r="AD380" s="7"/>
    </row>
    <row r="381" spans="1:30" ht="15.6" x14ac:dyDescent="0.3">
      <c r="A381" s="4">
        <v>647</v>
      </c>
      <c r="B381" s="5" t="s">
        <v>3530</v>
      </c>
      <c r="C381" s="6" t="s">
        <v>72</v>
      </c>
      <c r="D381" s="5" t="s">
        <v>3531</v>
      </c>
      <c r="E381" s="5" t="s">
        <v>48</v>
      </c>
      <c r="F381" s="6" t="s">
        <v>3532</v>
      </c>
      <c r="G381" s="6" t="s">
        <v>3533</v>
      </c>
      <c r="H381" s="8">
        <v>0</v>
      </c>
      <c r="I381" s="6" t="s">
        <v>2972</v>
      </c>
      <c r="J381" s="6" t="s">
        <v>284</v>
      </c>
      <c r="K381" s="6" t="s">
        <v>2510</v>
      </c>
      <c r="L381" s="8">
        <v>-0.4</v>
      </c>
      <c r="M381" s="6" t="s">
        <v>3534</v>
      </c>
      <c r="N381" s="8">
        <v>-0.4</v>
      </c>
      <c r="O381" s="6" t="s">
        <v>2855</v>
      </c>
      <c r="P381" s="6" t="s">
        <v>217</v>
      </c>
      <c r="Q381" s="6" t="s">
        <v>217</v>
      </c>
      <c r="R381" s="6">
        <v>189</v>
      </c>
      <c r="S381" s="6">
        <v>0</v>
      </c>
      <c r="T381" s="6">
        <v>170</v>
      </c>
      <c r="U381" s="6" t="s">
        <v>217</v>
      </c>
      <c r="V381" s="6"/>
      <c r="W381" s="6"/>
      <c r="X381" s="6"/>
      <c r="Y381" s="6"/>
      <c r="Z381" s="6"/>
      <c r="AA381" s="6"/>
      <c r="AB381" s="6"/>
      <c r="AC381" s="6"/>
      <c r="AD381" s="7"/>
    </row>
    <row r="382" spans="1:30" ht="15.6" x14ac:dyDescent="0.3">
      <c r="A382" s="4">
        <v>648</v>
      </c>
      <c r="B382" s="5" t="s">
        <v>3535</v>
      </c>
      <c r="C382" s="6" t="s">
        <v>546</v>
      </c>
      <c r="D382" s="5" t="s">
        <v>3536</v>
      </c>
      <c r="E382" s="5" t="s">
        <v>48</v>
      </c>
      <c r="F382" s="6" t="s">
        <v>3537</v>
      </c>
      <c r="G382" s="6" t="s">
        <v>3538</v>
      </c>
      <c r="H382" s="8">
        <v>0</v>
      </c>
      <c r="I382" s="8">
        <v>-0.33</v>
      </c>
      <c r="J382" s="6" t="s">
        <v>1491</v>
      </c>
      <c r="K382" s="6" t="s">
        <v>3539</v>
      </c>
      <c r="L382" s="6">
        <f>15%</f>
        <v>0.15</v>
      </c>
      <c r="M382" s="6" t="s">
        <v>3540</v>
      </c>
      <c r="N382" s="6">
        <f>15%</f>
        <v>0.15</v>
      </c>
      <c r="O382" s="6" t="s">
        <v>3541</v>
      </c>
      <c r="P382" s="6" t="s">
        <v>3542</v>
      </c>
      <c r="Q382" s="6" t="s">
        <v>217</v>
      </c>
      <c r="R382" s="6">
        <v>25</v>
      </c>
      <c r="S382" s="6">
        <v>0</v>
      </c>
      <c r="T382" s="6" t="s">
        <v>3543</v>
      </c>
      <c r="U382" s="6" t="s">
        <v>217</v>
      </c>
      <c r="V382" s="6"/>
      <c r="W382" s="6"/>
      <c r="X382" s="6"/>
      <c r="Y382" s="6"/>
      <c r="Z382" s="6"/>
      <c r="AA382" s="6"/>
      <c r="AB382" s="6"/>
      <c r="AC382" s="6"/>
      <c r="AD382" s="7"/>
    </row>
    <row r="383" spans="1:30" ht="15.6" x14ac:dyDescent="0.3">
      <c r="A383" s="4">
        <v>649</v>
      </c>
      <c r="B383" s="5" t="s">
        <v>3544</v>
      </c>
      <c r="C383" s="6" t="s">
        <v>1408</v>
      </c>
      <c r="D383" s="5" t="s">
        <v>3545</v>
      </c>
      <c r="E383" s="5" t="s">
        <v>48</v>
      </c>
      <c r="F383" s="6" t="s">
        <v>3546</v>
      </c>
      <c r="G383" s="6" t="s">
        <v>3547</v>
      </c>
      <c r="H383" s="8">
        <v>0</v>
      </c>
      <c r="I383" s="8">
        <v>-0.86</v>
      </c>
      <c r="J383" s="6" t="s">
        <v>131</v>
      </c>
      <c r="K383" s="6" t="s">
        <v>3548</v>
      </c>
      <c r="L383" s="8">
        <v>-0.41</v>
      </c>
      <c r="M383" s="6" t="s">
        <v>3549</v>
      </c>
      <c r="N383" s="8">
        <v>-0.41</v>
      </c>
      <c r="O383" s="6" t="s">
        <v>3550</v>
      </c>
      <c r="P383" s="6" t="s">
        <v>3551</v>
      </c>
      <c r="Q383" s="6" t="s">
        <v>217</v>
      </c>
      <c r="R383" s="6" t="s">
        <v>3552</v>
      </c>
      <c r="S383" s="6">
        <v>6</v>
      </c>
      <c r="T383" s="6" t="s">
        <v>535</v>
      </c>
      <c r="U383" s="8">
        <v>-0.84</v>
      </c>
      <c r="V383" s="6"/>
      <c r="W383" s="6"/>
      <c r="X383" s="6"/>
      <c r="Y383" s="6"/>
      <c r="Z383" s="6"/>
      <c r="AA383" s="6"/>
      <c r="AB383" s="6"/>
      <c r="AC383" s="6"/>
      <c r="AD383" s="7"/>
    </row>
    <row r="384" spans="1:30" ht="15.6" x14ac:dyDescent="0.3">
      <c r="A384" s="4">
        <v>650</v>
      </c>
      <c r="B384" s="5" t="s">
        <v>3553</v>
      </c>
      <c r="C384" s="6" t="s">
        <v>114</v>
      </c>
      <c r="D384" s="5" t="s">
        <v>3554</v>
      </c>
      <c r="E384" s="5" t="s">
        <v>48</v>
      </c>
      <c r="F384" s="6" t="s">
        <v>3555</v>
      </c>
      <c r="G384" s="6" t="s">
        <v>3556</v>
      </c>
      <c r="H384" s="8">
        <v>0</v>
      </c>
      <c r="I384" s="8">
        <v>-0.9</v>
      </c>
      <c r="J384" s="6" t="s">
        <v>107</v>
      </c>
      <c r="K384" s="6" t="s">
        <v>3108</v>
      </c>
      <c r="L384" s="8">
        <v>-0.25</v>
      </c>
      <c r="M384" s="6" t="s">
        <v>3557</v>
      </c>
      <c r="N384" s="8">
        <v>-0.25</v>
      </c>
      <c r="O384" s="6" t="s">
        <v>3558</v>
      </c>
      <c r="P384" s="6" t="s">
        <v>3559</v>
      </c>
      <c r="Q384" s="6" t="s">
        <v>217</v>
      </c>
      <c r="R384" s="6">
        <v>281</v>
      </c>
      <c r="S384" s="6">
        <v>1</v>
      </c>
      <c r="T384" s="6">
        <v>656</v>
      </c>
      <c r="U384" s="6" t="s">
        <v>217</v>
      </c>
      <c r="V384" s="6"/>
      <c r="W384" s="6"/>
      <c r="X384" s="6"/>
      <c r="Y384" s="6"/>
      <c r="Z384" s="6"/>
      <c r="AA384" s="6"/>
      <c r="AB384" s="6"/>
      <c r="AC384" s="6"/>
      <c r="AD384" s="7"/>
    </row>
    <row r="385" spans="1:30" ht="15.6" x14ac:dyDescent="0.3">
      <c r="A385" s="4">
        <v>651</v>
      </c>
      <c r="B385" s="5" t="s">
        <v>3560</v>
      </c>
      <c r="C385" s="6" t="s">
        <v>148</v>
      </c>
      <c r="D385" s="5" t="s">
        <v>3561</v>
      </c>
      <c r="E385" s="5" t="s">
        <v>48</v>
      </c>
      <c r="F385" s="6" t="s">
        <v>3562</v>
      </c>
      <c r="G385" s="6" t="s">
        <v>3563</v>
      </c>
      <c r="H385" s="8">
        <v>0</v>
      </c>
      <c r="I385" s="6" t="s">
        <v>920</v>
      </c>
      <c r="J385" s="6" t="s">
        <v>442</v>
      </c>
      <c r="K385" s="6" t="s">
        <v>3564</v>
      </c>
      <c r="L385" s="6" t="s">
        <v>217</v>
      </c>
      <c r="M385" s="6" t="s">
        <v>3565</v>
      </c>
      <c r="N385" s="6" t="s">
        <v>2448</v>
      </c>
      <c r="O385" s="6" t="s">
        <v>3566</v>
      </c>
      <c r="P385" s="6" t="s">
        <v>217</v>
      </c>
      <c r="Q385" s="6" t="s">
        <v>217</v>
      </c>
      <c r="R385" s="6">
        <v>30</v>
      </c>
      <c r="S385" s="6">
        <v>1</v>
      </c>
      <c r="T385" s="6">
        <v>122</v>
      </c>
      <c r="U385" s="6" t="s">
        <v>217</v>
      </c>
      <c r="V385" s="6"/>
      <c r="W385" s="6"/>
      <c r="X385" s="6"/>
      <c r="Y385" s="6"/>
      <c r="Z385" s="6"/>
      <c r="AA385" s="6"/>
      <c r="AB385" s="6"/>
      <c r="AC385" s="6"/>
      <c r="AD385" s="7"/>
    </row>
    <row r="386" spans="1:30" ht="15.6" x14ac:dyDescent="0.3">
      <c r="A386" s="4">
        <v>652</v>
      </c>
      <c r="B386" s="5" t="s">
        <v>3567</v>
      </c>
      <c r="C386" s="6" t="s">
        <v>291</v>
      </c>
      <c r="D386" s="5" t="s">
        <v>3568</v>
      </c>
      <c r="E386" s="5" t="s">
        <v>48</v>
      </c>
      <c r="F386" s="6" t="s">
        <v>3569</v>
      </c>
      <c r="G386" s="6" t="s">
        <v>3570</v>
      </c>
      <c r="H386" s="8">
        <v>0</v>
      </c>
      <c r="I386" s="6" t="s">
        <v>3016</v>
      </c>
      <c r="J386" s="6" t="s">
        <v>211</v>
      </c>
      <c r="K386" s="6" t="s">
        <v>3571</v>
      </c>
      <c r="L386" s="8">
        <v>-0.16</v>
      </c>
      <c r="M386" s="6" t="s">
        <v>3572</v>
      </c>
      <c r="N386" s="8">
        <v>-0.16</v>
      </c>
      <c r="O386" s="6" t="s">
        <v>3573</v>
      </c>
      <c r="P386" s="6" t="s">
        <v>217</v>
      </c>
      <c r="Q386" s="6" t="s">
        <v>217</v>
      </c>
      <c r="R386" s="6">
        <v>103</v>
      </c>
      <c r="S386" s="6">
        <v>0</v>
      </c>
      <c r="T386" s="6">
        <v>429</v>
      </c>
      <c r="U386" s="6" t="s">
        <v>217</v>
      </c>
      <c r="V386" s="6"/>
      <c r="W386" s="6"/>
      <c r="X386" s="6"/>
      <c r="Y386" s="6"/>
      <c r="Z386" s="6"/>
      <c r="AA386" s="6"/>
      <c r="AB386" s="6"/>
      <c r="AC386" s="6"/>
      <c r="AD386" s="7"/>
    </row>
    <row r="387" spans="1:30" ht="15.6" x14ac:dyDescent="0.3">
      <c r="A387" s="4">
        <v>656</v>
      </c>
      <c r="B387" s="5" t="s">
        <v>3574</v>
      </c>
      <c r="C387" s="6" t="s">
        <v>114</v>
      </c>
      <c r="D387" s="5" t="s">
        <v>3575</v>
      </c>
      <c r="E387" s="5" t="s">
        <v>48</v>
      </c>
      <c r="F387" s="6" t="s">
        <v>3576</v>
      </c>
      <c r="G387" s="6" t="s">
        <v>3577</v>
      </c>
      <c r="H387" s="8">
        <v>0</v>
      </c>
      <c r="I387" s="6" t="s">
        <v>51</v>
      </c>
      <c r="J387" s="6" t="s">
        <v>698</v>
      </c>
      <c r="K387" s="6" t="s">
        <v>3578</v>
      </c>
      <c r="L387" s="6" t="s">
        <v>217</v>
      </c>
      <c r="M387" s="6" t="s">
        <v>3579</v>
      </c>
      <c r="N387" s="8">
        <v>-0.15</v>
      </c>
      <c r="O387" s="6" t="s">
        <v>3580</v>
      </c>
      <c r="P387" s="6" t="s">
        <v>217</v>
      </c>
      <c r="Q387" s="6" t="s">
        <v>217</v>
      </c>
      <c r="R387" s="6">
        <v>187</v>
      </c>
      <c r="S387" s="6">
        <v>1</v>
      </c>
      <c r="T387" s="6">
        <v>362</v>
      </c>
      <c r="U387" s="6" t="s">
        <v>217</v>
      </c>
      <c r="V387" s="6"/>
      <c r="W387" s="6"/>
      <c r="X387" s="6"/>
      <c r="Y387" s="6"/>
      <c r="Z387" s="6"/>
      <c r="AA387" s="6"/>
      <c r="AB387" s="6"/>
      <c r="AC387" s="6"/>
      <c r="AD387" s="7"/>
    </row>
    <row r="388" spans="1:30" ht="15.6" x14ac:dyDescent="0.3">
      <c r="A388" s="4">
        <v>659</v>
      </c>
      <c r="B388" s="5" t="s">
        <v>3581</v>
      </c>
      <c r="C388" s="6" t="s">
        <v>1013</v>
      </c>
      <c r="D388" s="5" t="s">
        <v>3582</v>
      </c>
      <c r="E388" s="5" t="s">
        <v>48</v>
      </c>
      <c r="F388" s="6" t="s">
        <v>3583</v>
      </c>
      <c r="G388" s="6" t="s">
        <v>3584</v>
      </c>
      <c r="H388" s="8">
        <v>0</v>
      </c>
      <c r="I388" s="8">
        <v>-0.98</v>
      </c>
      <c r="J388" s="6" t="s">
        <v>482</v>
      </c>
      <c r="K388" s="6" t="s">
        <v>3585</v>
      </c>
      <c r="L388" s="6" t="s">
        <v>217</v>
      </c>
      <c r="M388" s="6" t="s">
        <v>3586</v>
      </c>
      <c r="N388" s="8">
        <v>-0.06</v>
      </c>
      <c r="O388" s="6" t="s">
        <v>3587</v>
      </c>
      <c r="P388" s="6" t="s">
        <v>3588</v>
      </c>
      <c r="Q388" s="6" t="s">
        <v>217</v>
      </c>
      <c r="R388" s="6">
        <v>166</v>
      </c>
      <c r="S388" s="6">
        <v>4</v>
      </c>
      <c r="T388" s="6">
        <v>333</v>
      </c>
      <c r="U388" s="6" t="s">
        <v>217</v>
      </c>
      <c r="V388" s="6"/>
      <c r="W388" s="6"/>
      <c r="X388" s="6"/>
      <c r="Y388" s="6"/>
      <c r="Z388" s="6"/>
      <c r="AA388" s="6"/>
      <c r="AB388" s="6"/>
      <c r="AC388" s="6"/>
      <c r="AD388" s="7"/>
    </row>
    <row r="389" spans="1:30" ht="15.6" x14ac:dyDescent="0.3">
      <c r="A389" s="4">
        <v>660</v>
      </c>
      <c r="B389" s="5" t="s">
        <v>3589</v>
      </c>
      <c r="C389" s="6" t="s">
        <v>102</v>
      </c>
      <c r="D389" s="5" t="s">
        <v>3590</v>
      </c>
      <c r="E389" s="5" t="s">
        <v>48</v>
      </c>
      <c r="F389" s="6" t="s">
        <v>3591</v>
      </c>
      <c r="G389" s="6" t="s">
        <v>3592</v>
      </c>
      <c r="H389" s="8">
        <v>0</v>
      </c>
      <c r="I389" s="8">
        <v>-0.82</v>
      </c>
      <c r="J389" s="6" t="s">
        <v>225</v>
      </c>
      <c r="K389" s="6" t="s">
        <v>3593</v>
      </c>
      <c r="L389" s="8">
        <v>-0.23</v>
      </c>
      <c r="M389" s="6" t="s">
        <v>3594</v>
      </c>
      <c r="N389" s="8">
        <v>-0.23</v>
      </c>
      <c r="O389" s="6" t="s">
        <v>3595</v>
      </c>
      <c r="P389" s="6" t="s">
        <v>3596</v>
      </c>
      <c r="Q389" s="6" t="s">
        <v>217</v>
      </c>
      <c r="R389" s="6">
        <v>621</v>
      </c>
      <c r="S389" s="6">
        <v>41</v>
      </c>
      <c r="T389" s="6" t="s">
        <v>3597</v>
      </c>
      <c r="U389" s="6" t="s">
        <v>217</v>
      </c>
      <c r="V389" s="6"/>
      <c r="W389" s="6"/>
      <c r="X389" s="6"/>
      <c r="Y389" s="6"/>
      <c r="Z389" s="6"/>
      <c r="AA389" s="6"/>
      <c r="AB389" s="6"/>
      <c r="AC389" s="6"/>
      <c r="AD389" s="7"/>
    </row>
    <row r="390" spans="1:30" ht="15.6" x14ac:dyDescent="0.3">
      <c r="A390" s="4">
        <v>661</v>
      </c>
      <c r="B390" s="5" t="s">
        <v>3598</v>
      </c>
      <c r="C390" s="6" t="s">
        <v>114</v>
      </c>
      <c r="D390" s="5" t="s">
        <v>3599</v>
      </c>
      <c r="E390" s="5" t="s">
        <v>48</v>
      </c>
      <c r="F390" s="6" t="s">
        <v>3600</v>
      </c>
      <c r="G390" s="6" t="s">
        <v>3601</v>
      </c>
      <c r="H390" s="8">
        <v>0</v>
      </c>
      <c r="I390" s="6" t="s">
        <v>3602</v>
      </c>
      <c r="J390" s="6" t="s">
        <v>225</v>
      </c>
      <c r="K390" s="6" t="s">
        <v>3603</v>
      </c>
      <c r="L390" s="8">
        <v>-0.23</v>
      </c>
      <c r="M390" s="6" t="s">
        <v>3604</v>
      </c>
      <c r="N390" s="8">
        <v>-0.23</v>
      </c>
      <c r="O390" s="6" t="s">
        <v>3605</v>
      </c>
      <c r="P390" s="6" t="s">
        <v>3606</v>
      </c>
      <c r="Q390" s="6" t="s">
        <v>217</v>
      </c>
      <c r="R390" s="6">
        <v>380</v>
      </c>
      <c r="S390" s="6">
        <v>0</v>
      </c>
      <c r="T390" s="6">
        <v>140</v>
      </c>
      <c r="U390" s="6" t="s">
        <v>217</v>
      </c>
      <c r="V390" s="6"/>
      <c r="W390" s="6"/>
      <c r="X390" s="6"/>
      <c r="Y390" s="6"/>
      <c r="Z390" s="6"/>
      <c r="AA390" s="6"/>
      <c r="AB390" s="6"/>
      <c r="AC390" s="6"/>
      <c r="AD390" s="7"/>
    </row>
    <row r="391" spans="1:30" ht="15.6" x14ac:dyDescent="0.3">
      <c r="A391" s="4">
        <v>662</v>
      </c>
      <c r="B391" s="5" t="s">
        <v>3607</v>
      </c>
      <c r="C391" s="6" t="s">
        <v>114</v>
      </c>
      <c r="D391" s="5" t="s">
        <v>3608</v>
      </c>
      <c r="E391" s="5" t="s">
        <v>48</v>
      </c>
      <c r="F391" s="6" t="s">
        <v>3609</v>
      </c>
      <c r="G391" s="6" t="s">
        <v>3610</v>
      </c>
      <c r="H391" s="8">
        <v>0</v>
      </c>
      <c r="I391" s="8">
        <v>-0.55000000000000004</v>
      </c>
      <c r="J391" s="6" t="s">
        <v>584</v>
      </c>
      <c r="K391" s="6" t="s">
        <v>3611</v>
      </c>
      <c r="L391" s="8">
        <v>-0.1</v>
      </c>
      <c r="M391" s="6" t="s">
        <v>3612</v>
      </c>
      <c r="N391" s="8">
        <v>-0.1</v>
      </c>
      <c r="O391" s="6" t="s">
        <v>3613</v>
      </c>
      <c r="P391" s="6" t="s">
        <v>703</v>
      </c>
      <c r="Q391" s="6" t="s">
        <v>217</v>
      </c>
      <c r="R391" s="6">
        <v>353</v>
      </c>
      <c r="S391" s="6">
        <v>5</v>
      </c>
      <c r="T391" s="6">
        <v>510</v>
      </c>
      <c r="U391" s="8">
        <v>-0.35</v>
      </c>
      <c r="V391" s="6"/>
      <c r="W391" s="6"/>
      <c r="X391" s="6"/>
      <c r="Y391" s="6"/>
      <c r="Z391" s="6"/>
      <c r="AA391" s="6"/>
      <c r="AB391" s="6"/>
      <c r="AC391" s="6"/>
      <c r="AD391" s="7"/>
    </row>
    <row r="392" spans="1:30" ht="15.6" x14ac:dyDescent="0.3">
      <c r="A392" s="4">
        <v>663</v>
      </c>
      <c r="B392" s="5" t="s">
        <v>3614</v>
      </c>
      <c r="C392" s="6" t="s">
        <v>102</v>
      </c>
      <c r="D392" s="5" t="s">
        <v>3615</v>
      </c>
      <c r="E392" s="5" t="s">
        <v>48</v>
      </c>
      <c r="F392" s="6" t="s">
        <v>3616</v>
      </c>
      <c r="G392" s="6" t="s">
        <v>3617</v>
      </c>
      <c r="H392" s="8">
        <v>0</v>
      </c>
      <c r="I392" s="8">
        <v>-0.59</v>
      </c>
      <c r="J392" s="6" t="s">
        <v>3618</v>
      </c>
      <c r="K392" s="6" t="s">
        <v>3619</v>
      </c>
      <c r="L392" s="8">
        <v>-0.3</v>
      </c>
      <c r="M392" s="6" t="s">
        <v>3620</v>
      </c>
      <c r="N392" s="8">
        <v>-0.3</v>
      </c>
      <c r="O392" s="6" t="s">
        <v>3621</v>
      </c>
      <c r="P392" s="6" t="s">
        <v>3622</v>
      </c>
      <c r="Q392" s="6" t="s">
        <v>217</v>
      </c>
      <c r="R392" s="6" t="s">
        <v>3623</v>
      </c>
      <c r="S392" s="6">
        <v>23</v>
      </c>
      <c r="T392" s="6">
        <v>666</v>
      </c>
      <c r="U392" s="8">
        <v>-0.1</v>
      </c>
      <c r="V392" s="6"/>
      <c r="W392" s="6"/>
      <c r="X392" s="6"/>
      <c r="Y392" s="6"/>
      <c r="Z392" s="6"/>
      <c r="AA392" s="6"/>
      <c r="AB392" s="6"/>
      <c r="AC392" s="6"/>
      <c r="AD392" s="7"/>
    </row>
    <row r="393" spans="1:30" ht="15.6" x14ac:dyDescent="0.3">
      <c r="A393" s="4">
        <v>664</v>
      </c>
      <c r="B393" s="5" t="s">
        <v>3624</v>
      </c>
      <c r="C393" s="6" t="s">
        <v>304</v>
      </c>
      <c r="D393" s="5" t="s">
        <v>3625</v>
      </c>
      <c r="E393" s="5" t="s">
        <v>48</v>
      </c>
      <c r="F393" s="6" t="s">
        <v>3626</v>
      </c>
      <c r="G393" s="6" t="s">
        <v>3627</v>
      </c>
      <c r="H393" s="8">
        <v>0</v>
      </c>
      <c r="I393" s="6" t="s">
        <v>1471</v>
      </c>
      <c r="J393" s="6" t="s">
        <v>719</v>
      </c>
      <c r="K393" s="6" t="s">
        <v>3628</v>
      </c>
      <c r="L393" s="8">
        <v>-0.22</v>
      </c>
      <c r="M393" s="6" t="s">
        <v>3629</v>
      </c>
      <c r="N393" s="8">
        <v>-0.22</v>
      </c>
      <c r="O393" s="6" t="s">
        <v>3630</v>
      </c>
      <c r="P393" s="6" t="s">
        <v>217</v>
      </c>
      <c r="Q393" s="6" t="s">
        <v>217</v>
      </c>
      <c r="R393" s="6">
        <v>23</v>
      </c>
      <c r="S393" s="6">
        <v>0</v>
      </c>
      <c r="T393" s="6">
        <v>105</v>
      </c>
      <c r="U393" s="6" t="s">
        <v>217</v>
      </c>
      <c r="V393" s="6"/>
      <c r="W393" s="6"/>
      <c r="X393" s="6"/>
      <c r="Y393" s="6"/>
      <c r="Z393" s="6"/>
      <c r="AA393" s="6"/>
      <c r="AB393" s="6"/>
      <c r="AC393" s="6"/>
      <c r="AD393" s="7"/>
    </row>
    <row r="394" spans="1:30" ht="15.6" x14ac:dyDescent="0.3">
      <c r="A394" s="4">
        <v>665</v>
      </c>
      <c r="B394" s="5" t="s">
        <v>3631</v>
      </c>
      <c r="C394" s="6" t="s">
        <v>173</v>
      </c>
      <c r="D394" s="5" t="s">
        <v>3632</v>
      </c>
      <c r="E394" s="5" t="s">
        <v>48</v>
      </c>
      <c r="F394" s="6" t="s">
        <v>3633</v>
      </c>
      <c r="G394" s="6" t="s">
        <v>3634</v>
      </c>
      <c r="H394" s="8">
        <v>0</v>
      </c>
      <c r="I394" s="6" t="s">
        <v>1788</v>
      </c>
      <c r="J394" s="6" t="s">
        <v>1390</v>
      </c>
      <c r="K394" s="6" t="s">
        <v>3635</v>
      </c>
      <c r="L394" s="6" t="s">
        <v>217</v>
      </c>
      <c r="M394" s="6" t="s">
        <v>2468</v>
      </c>
      <c r="N394" s="8">
        <v>-0.11</v>
      </c>
      <c r="O394" s="6" t="s">
        <v>3636</v>
      </c>
      <c r="P394" s="6" t="s">
        <v>3637</v>
      </c>
      <c r="Q394" s="6" t="s">
        <v>217</v>
      </c>
      <c r="R394" s="6">
        <v>130</v>
      </c>
      <c r="S394" s="6">
        <v>1</v>
      </c>
      <c r="T394" s="6">
        <v>527</v>
      </c>
      <c r="U394" s="6">
        <f>75%</f>
        <v>0.75</v>
      </c>
      <c r="V394" s="6"/>
      <c r="W394" s="6"/>
      <c r="X394" s="6"/>
      <c r="Y394" s="6"/>
      <c r="Z394" s="6"/>
      <c r="AA394" s="6"/>
      <c r="AB394" s="6"/>
      <c r="AC394" s="6"/>
      <c r="AD394" s="7"/>
    </row>
    <row r="395" spans="1:30" ht="15.6" x14ac:dyDescent="0.3">
      <c r="A395" s="4">
        <v>667</v>
      </c>
      <c r="B395" s="5" t="s">
        <v>3638</v>
      </c>
      <c r="C395" s="6" t="s">
        <v>60</v>
      </c>
      <c r="D395" s="5" t="s">
        <v>3639</v>
      </c>
      <c r="E395" s="5" t="s">
        <v>48</v>
      </c>
      <c r="F395" s="6" t="s">
        <v>3640</v>
      </c>
      <c r="G395" s="6" t="s">
        <v>3641</v>
      </c>
      <c r="H395" s="8">
        <v>0</v>
      </c>
      <c r="I395" s="6" t="s">
        <v>1628</v>
      </c>
      <c r="J395" s="6" t="s">
        <v>166</v>
      </c>
      <c r="K395" s="6" t="s">
        <v>3642</v>
      </c>
      <c r="L395" s="8">
        <v>-0.18</v>
      </c>
      <c r="M395" s="6" t="s">
        <v>3643</v>
      </c>
      <c r="N395" s="8">
        <v>-0.18</v>
      </c>
      <c r="O395" s="6" t="s">
        <v>3636</v>
      </c>
      <c r="P395" s="6" t="s">
        <v>217</v>
      </c>
      <c r="Q395" s="6" t="s">
        <v>217</v>
      </c>
      <c r="R395" s="6">
        <v>20</v>
      </c>
      <c r="S395" s="6">
        <v>0</v>
      </c>
      <c r="T395" s="6">
        <v>40</v>
      </c>
      <c r="U395" s="6" t="s">
        <v>217</v>
      </c>
      <c r="V395" s="6"/>
      <c r="W395" s="6"/>
      <c r="X395" s="6"/>
      <c r="Y395" s="6"/>
      <c r="Z395" s="6"/>
      <c r="AA395" s="6"/>
      <c r="AB395" s="6"/>
      <c r="AC395" s="6"/>
      <c r="AD395" s="7"/>
    </row>
    <row r="396" spans="1:30" ht="15.6" x14ac:dyDescent="0.3">
      <c r="A396" s="4">
        <v>668</v>
      </c>
      <c r="B396" s="5" t="s">
        <v>3644</v>
      </c>
      <c r="C396" s="6">
        <v>6</v>
      </c>
      <c r="D396" s="5" t="s">
        <v>3645</v>
      </c>
      <c r="E396" s="5" t="s">
        <v>48</v>
      </c>
      <c r="F396" s="6" t="s">
        <v>3646</v>
      </c>
      <c r="G396" s="6" t="s">
        <v>3647</v>
      </c>
      <c r="H396" s="8">
        <v>0</v>
      </c>
      <c r="I396" s="8">
        <v>-1</v>
      </c>
      <c r="J396" s="6" t="s">
        <v>1808</v>
      </c>
      <c r="K396" s="6" t="s">
        <v>3648</v>
      </c>
      <c r="L396" s="8">
        <v>-0.26</v>
      </c>
      <c r="M396" s="6" t="s">
        <v>2761</v>
      </c>
      <c r="N396" s="8">
        <v>-0.26</v>
      </c>
      <c r="O396" s="6" t="s">
        <v>3649</v>
      </c>
      <c r="P396" s="6" t="s">
        <v>3650</v>
      </c>
      <c r="Q396" s="6" t="s">
        <v>217</v>
      </c>
      <c r="R396" s="6">
        <v>55</v>
      </c>
      <c r="S396" s="6">
        <v>0</v>
      </c>
      <c r="T396" s="6">
        <v>476</v>
      </c>
      <c r="U396" s="6" t="s">
        <v>217</v>
      </c>
      <c r="V396" s="6"/>
      <c r="W396" s="6"/>
      <c r="X396" s="6"/>
      <c r="Y396" s="6"/>
      <c r="Z396" s="6"/>
      <c r="AA396" s="6"/>
      <c r="AB396" s="6"/>
      <c r="AC396" s="6"/>
      <c r="AD396" s="7"/>
    </row>
    <row r="397" spans="1:30" ht="15.6" x14ac:dyDescent="0.3">
      <c r="A397" s="4">
        <v>669</v>
      </c>
      <c r="B397" s="5" t="s">
        <v>3651</v>
      </c>
      <c r="C397" s="6" t="s">
        <v>370</v>
      </c>
      <c r="D397" s="5" t="s">
        <v>3652</v>
      </c>
      <c r="E397" s="5" t="s">
        <v>48</v>
      </c>
      <c r="F397" s="6" t="s">
        <v>3653</v>
      </c>
      <c r="G397" s="6" t="s">
        <v>3654</v>
      </c>
      <c r="H397" s="8">
        <v>0</v>
      </c>
      <c r="I397" s="6" t="s">
        <v>3655</v>
      </c>
      <c r="J397" s="6" t="s">
        <v>584</v>
      </c>
      <c r="K397" s="6" t="s">
        <v>3656</v>
      </c>
      <c r="L397" s="6" t="s">
        <v>217</v>
      </c>
      <c r="M397" s="6" t="s">
        <v>3657</v>
      </c>
      <c r="N397" s="6">
        <f>2.4%</f>
        <v>2.4E-2</v>
      </c>
      <c r="O397" s="6" t="s">
        <v>3658</v>
      </c>
      <c r="P397" s="6" t="s">
        <v>3659</v>
      </c>
      <c r="Q397" s="6" t="s">
        <v>217</v>
      </c>
      <c r="R397" s="6">
        <v>281</v>
      </c>
      <c r="S397" s="6">
        <v>1</v>
      </c>
      <c r="T397" s="6" t="s">
        <v>3660</v>
      </c>
      <c r="U397" s="6">
        <f>490%</f>
        <v>4.9000000000000004</v>
      </c>
      <c r="V397" s="6"/>
      <c r="W397" s="6"/>
      <c r="X397" s="6"/>
      <c r="Y397" s="6"/>
      <c r="Z397" s="6"/>
      <c r="AA397" s="6"/>
      <c r="AB397" s="6"/>
      <c r="AC397" s="6"/>
      <c r="AD397" s="7"/>
    </row>
    <row r="398" spans="1:30" ht="15.6" x14ac:dyDescent="0.3">
      <c r="A398" s="4">
        <v>670</v>
      </c>
      <c r="B398" s="5" t="s">
        <v>3661</v>
      </c>
      <c r="C398" s="6" t="s">
        <v>148</v>
      </c>
      <c r="D398" s="5" t="s">
        <v>3662</v>
      </c>
      <c r="E398" s="5" t="s">
        <v>48</v>
      </c>
      <c r="F398" s="6" t="s">
        <v>3663</v>
      </c>
      <c r="G398" s="6" t="s">
        <v>3664</v>
      </c>
      <c r="H398" s="8">
        <v>0</v>
      </c>
      <c r="I398" s="8">
        <v>-0.01</v>
      </c>
      <c r="J398" s="6" t="s">
        <v>1609</v>
      </c>
      <c r="K398" s="6" t="s">
        <v>3665</v>
      </c>
      <c r="L398" s="6" t="s">
        <v>217</v>
      </c>
      <c r="M398" s="6" t="s">
        <v>3666</v>
      </c>
      <c r="N398" s="8">
        <v>-0.14000000000000001</v>
      </c>
      <c r="O398" s="6" t="s">
        <v>3667</v>
      </c>
      <c r="P398" s="6" t="s">
        <v>217</v>
      </c>
      <c r="Q398" s="6" t="s">
        <v>217</v>
      </c>
      <c r="R398" s="6">
        <v>165</v>
      </c>
      <c r="S398" s="6">
        <v>0</v>
      </c>
      <c r="T398" s="6">
        <v>478</v>
      </c>
      <c r="U398" s="6" t="s">
        <v>217</v>
      </c>
      <c r="V398" s="6"/>
      <c r="W398" s="6"/>
      <c r="X398" s="6"/>
      <c r="Y398" s="6"/>
      <c r="Z398" s="6"/>
      <c r="AA398" s="6"/>
      <c r="AB398" s="6"/>
      <c r="AC398" s="6"/>
      <c r="AD398" s="7"/>
    </row>
    <row r="399" spans="1:30" ht="15.6" x14ac:dyDescent="0.3">
      <c r="A399" s="4">
        <v>671</v>
      </c>
      <c r="B399" s="5" t="s">
        <v>3668</v>
      </c>
      <c r="C399" s="6" t="s">
        <v>114</v>
      </c>
      <c r="D399" s="5" t="s">
        <v>3669</v>
      </c>
      <c r="E399" s="5" t="s">
        <v>48</v>
      </c>
      <c r="F399" s="6" t="s">
        <v>3670</v>
      </c>
      <c r="G399" s="6" t="s">
        <v>3671</v>
      </c>
      <c r="H399" s="8">
        <v>0</v>
      </c>
      <c r="I399" s="8">
        <v>-0.37</v>
      </c>
      <c r="J399" s="6" t="s">
        <v>1354</v>
      </c>
      <c r="K399" s="6" t="s">
        <v>3672</v>
      </c>
      <c r="L399" s="6" t="s">
        <v>217</v>
      </c>
      <c r="M399" s="6" t="s">
        <v>1368</v>
      </c>
      <c r="N399" s="6">
        <f>0.04%</f>
        <v>4.0000000000000002E-4</v>
      </c>
      <c r="O399" s="6" t="s">
        <v>3673</v>
      </c>
      <c r="P399" s="6" t="s">
        <v>217</v>
      </c>
      <c r="Q399" s="6" t="s">
        <v>217</v>
      </c>
      <c r="R399" s="6">
        <v>134</v>
      </c>
      <c r="S399" s="6">
        <v>0</v>
      </c>
      <c r="T399" s="6">
        <v>45</v>
      </c>
      <c r="U399" s="6" t="s">
        <v>217</v>
      </c>
      <c r="V399" s="6"/>
      <c r="W399" s="6"/>
      <c r="X399" s="6"/>
      <c r="Y399" s="6"/>
      <c r="Z399" s="6"/>
      <c r="AA399" s="6"/>
      <c r="AB399" s="6"/>
      <c r="AC399" s="6"/>
      <c r="AD399" s="7"/>
    </row>
    <row r="400" spans="1:30" ht="15.6" x14ac:dyDescent="0.3">
      <c r="A400" s="4">
        <v>672</v>
      </c>
      <c r="B400" s="5" t="s">
        <v>3674</v>
      </c>
      <c r="C400" s="6" t="s">
        <v>126</v>
      </c>
      <c r="D400" s="5" t="s">
        <v>3675</v>
      </c>
      <c r="E400" s="5" t="s">
        <v>48</v>
      </c>
      <c r="F400" s="6" t="s">
        <v>3676</v>
      </c>
      <c r="G400" s="6" t="s">
        <v>3677</v>
      </c>
      <c r="H400" s="8">
        <v>0</v>
      </c>
      <c r="I400" s="6" t="s">
        <v>3427</v>
      </c>
      <c r="J400" s="6" t="s">
        <v>141</v>
      </c>
      <c r="K400" s="6" t="s">
        <v>3678</v>
      </c>
      <c r="L400" s="8">
        <v>-0.31</v>
      </c>
      <c r="M400" s="6" t="s">
        <v>3679</v>
      </c>
      <c r="N400" s="8">
        <v>-0.31</v>
      </c>
      <c r="O400" s="6" t="s">
        <v>3680</v>
      </c>
      <c r="P400" s="6" t="s">
        <v>217</v>
      </c>
      <c r="Q400" s="6" t="s">
        <v>217</v>
      </c>
      <c r="R400" s="6">
        <v>141</v>
      </c>
      <c r="S400" s="6">
        <v>4</v>
      </c>
      <c r="T400" s="6">
        <v>298</v>
      </c>
      <c r="U400" s="6" t="s">
        <v>217</v>
      </c>
      <c r="V400" s="6"/>
      <c r="W400" s="6"/>
      <c r="X400" s="6"/>
      <c r="Y400" s="6"/>
      <c r="Z400" s="6"/>
      <c r="AA400" s="6"/>
      <c r="AB400" s="6"/>
      <c r="AC400" s="6"/>
      <c r="AD400" s="7"/>
    </row>
    <row r="401" spans="1:30" ht="15.6" x14ac:dyDescent="0.3">
      <c r="A401" s="4">
        <v>673</v>
      </c>
      <c r="B401" s="5" t="s">
        <v>3681</v>
      </c>
      <c r="C401" s="6" t="s">
        <v>291</v>
      </c>
      <c r="D401" s="5" t="s">
        <v>3682</v>
      </c>
      <c r="E401" s="5" t="s">
        <v>48</v>
      </c>
      <c r="F401" s="6" t="s">
        <v>3683</v>
      </c>
      <c r="G401" s="6" t="s">
        <v>3684</v>
      </c>
      <c r="H401" s="8">
        <v>0</v>
      </c>
      <c r="I401" s="8">
        <v>-0.7</v>
      </c>
      <c r="J401" s="6" t="s">
        <v>1412</v>
      </c>
      <c r="K401" s="6" t="s">
        <v>3685</v>
      </c>
      <c r="L401" s="6" t="s">
        <v>217</v>
      </c>
      <c r="M401" s="6" t="s">
        <v>3686</v>
      </c>
      <c r="N401" s="6" t="s">
        <v>217</v>
      </c>
      <c r="O401" s="6" t="s">
        <v>3687</v>
      </c>
      <c r="P401" s="6" t="s">
        <v>1087</v>
      </c>
      <c r="Q401" s="6" t="s">
        <v>217</v>
      </c>
      <c r="R401" s="6">
        <v>107</v>
      </c>
      <c r="S401" s="6">
        <v>0</v>
      </c>
      <c r="T401" s="6">
        <v>307</v>
      </c>
      <c r="U401" s="8">
        <v>-0.12</v>
      </c>
      <c r="V401" s="6"/>
      <c r="W401" s="6"/>
      <c r="X401" s="6"/>
      <c r="Y401" s="6"/>
      <c r="Z401" s="6"/>
      <c r="AA401" s="6"/>
      <c r="AB401" s="6"/>
      <c r="AC401" s="6"/>
      <c r="AD401" s="7"/>
    </row>
    <row r="402" spans="1:30" ht="15.6" x14ac:dyDescent="0.3">
      <c r="A402" s="4">
        <v>674</v>
      </c>
      <c r="B402" s="5" t="s">
        <v>3688</v>
      </c>
      <c r="C402" s="6" t="s">
        <v>102</v>
      </c>
      <c r="D402" s="5" t="s">
        <v>3689</v>
      </c>
      <c r="E402" s="5" t="s">
        <v>48</v>
      </c>
      <c r="F402" s="6" t="s">
        <v>3690</v>
      </c>
      <c r="G402" s="6" t="s">
        <v>3691</v>
      </c>
      <c r="H402" s="8">
        <v>0</v>
      </c>
      <c r="I402" s="6" t="s">
        <v>2879</v>
      </c>
      <c r="J402" s="6" t="s">
        <v>1412</v>
      </c>
      <c r="K402" s="6" t="s">
        <v>3692</v>
      </c>
      <c r="L402" s="8">
        <v>-0.47</v>
      </c>
      <c r="M402" s="6" t="s">
        <v>3693</v>
      </c>
      <c r="N402" s="8">
        <v>-0.47</v>
      </c>
      <c r="O402" s="6" t="s">
        <v>3594</v>
      </c>
      <c r="P402" s="6" t="s">
        <v>3694</v>
      </c>
      <c r="Q402" s="6">
        <f>3.5%</f>
        <v>3.5000000000000003E-2</v>
      </c>
      <c r="R402" s="6" t="s">
        <v>3695</v>
      </c>
      <c r="S402" s="6">
        <v>31</v>
      </c>
      <c r="T402" s="6" t="s">
        <v>3696</v>
      </c>
      <c r="U402" s="8">
        <v>-0.16</v>
      </c>
      <c r="V402" s="6"/>
      <c r="W402" s="6"/>
      <c r="X402" s="6"/>
      <c r="Y402" s="6"/>
      <c r="Z402" s="6"/>
      <c r="AA402" s="6"/>
      <c r="AB402" s="6"/>
      <c r="AC402" s="6"/>
      <c r="AD402" s="7"/>
    </row>
    <row r="403" spans="1:30" ht="15.6" x14ac:dyDescent="0.3">
      <c r="A403" s="4">
        <v>675</v>
      </c>
      <c r="B403" s="5" t="s">
        <v>3697</v>
      </c>
      <c r="C403" s="6" t="s">
        <v>466</v>
      </c>
      <c r="D403" s="5" t="s">
        <v>3698</v>
      </c>
      <c r="E403" s="5" t="s">
        <v>48</v>
      </c>
      <c r="F403" s="6" t="s">
        <v>3699</v>
      </c>
      <c r="G403" s="6" t="s">
        <v>3700</v>
      </c>
      <c r="H403" s="8">
        <v>0</v>
      </c>
      <c r="I403" s="8">
        <v>-0.4</v>
      </c>
      <c r="J403" s="6" t="s">
        <v>1808</v>
      </c>
      <c r="K403" s="6" t="s">
        <v>3701</v>
      </c>
      <c r="L403" s="8">
        <v>-0.18</v>
      </c>
      <c r="M403" s="6" t="s">
        <v>3702</v>
      </c>
      <c r="N403" s="8">
        <v>-0.18</v>
      </c>
      <c r="O403" s="6" t="s">
        <v>3703</v>
      </c>
      <c r="P403" s="6" t="s">
        <v>3704</v>
      </c>
      <c r="Q403" s="6" t="s">
        <v>217</v>
      </c>
      <c r="R403" s="6" t="s">
        <v>3705</v>
      </c>
      <c r="S403" s="6">
        <v>64</v>
      </c>
      <c r="T403" s="6" t="s">
        <v>83</v>
      </c>
      <c r="U403" s="6"/>
      <c r="V403" s="6"/>
      <c r="W403" s="6"/>
      <c r="X403" s="6"/>
      <c r="Y403" s="6"/>
      <c r="Z403" s="6"/>
      <c r="AA403" s="6"/>
      <c r="AB403" s="6"/>
      <c r="AC403" s="6"/>
      <c r="AD403" s="7"/>
    </row>
    <row r="404" spans="1:30" ht="15.6" x14ac:dyDescent="0.3">
      <c r="A404" s="4">
        <v>676</v>
      </c>
      <c r="B404" s="5" t="s">
        <v>3706</v>
      </c>
      <c r="C404" s="6" t="s">
        <v>466</v>
      </c>
      <c r="D404" s="5" t="s">
        <v>3707</v>
      </c>
      <c r="E404" s="5" t="s">
        <v>48</v>
      </c>
      <c r="F404" s="6" t="s">
        <v>3708</v>
      </c>
      <c r="G404" s="6" t="s">
        <v>3709</v>
      </c>
      <c r="H404" s="8">
        <v>0</v>
      </c>
      <c r="I404" s="6" t="s">
        <v>51</v>
      </c>
      <c r="J404" s="6" t="s">
        <v>506</v>
      </c>
      <c r="K404" s="6" t="s">
        <v>3710</v>
      </c>
      <c r="L404" s="8">
        <v>-0.27</v>
      </c>
      <c r="M404" s="6" t="s">
        <v>3711</v>
      </c>
      <c r="N404" s="8">
        <v>-0.27</v>
      </c>
      <c r="O404" s="6" t="s">
        <v>3712</v>
      </c>
      <c r="P404" s="6" t="s">
        <v>217</v>
      </c>
      <c r="Q404" s="6" t="s">
        <v>217</v>
      </c>
      <c r="R404" s="6">
        <v>162</v>
      </c>
      <c r="S404" s="6">
        <v>1</v>
      </c>
      <c r="T404" s="6">
        <v>136</v>
      </c>
      <c r="U404" s="6" t="s">
        <v>217</v>
      </c>
      <c r="V404" s="6"/>
      <c r="W404" s="6"/>
      <c r="X404" s="6"/>
      <c r="Y404" s="6"/>
      <c r="Z404" s="6"/>
      <c r="AA404" s="6"/>
      <c r="AB404" s="6"/>
      <c r="AC404" s="6"/>
      <c r="AD404" s="7"/>
    </row>
    <row r="405" spans="1:30" ht="15.6" x14ac:dyDescent="0.3">
      <c r="A405" s="4">
        <v>677</v>
      </c>
      <c r="B405" s="5" t="s">
        <v>3713</v>
      </c>
      <c r="C405" s="6" t="s">
        <v>1408</v>
      </c>
      <c r="D405" s="5" t="s">
        <v>3714</v>
      </c>
      <c r="E405" s="5" t="s">
        <v>48</v>
      </c>
      <c r="F405" s="6" t="s">
        <v>3715</v>
      </c>
      <c r="G405" s="6" t="s">
        <v>3716</v>
      </c>
      <c r="H405" s="8">
        <v>0</v>
      </c>
      <c r="I405" s="8">
        <v>-0.52</v>
      </c>
      <c r="J405" s="6" t="s">
        <v>647</v>
      </c>
      <c r="K405" s="6" t="s">
        <v>3717</v>
      </c>
      <c r="L405" s="6" t="s">
        <v>217</v>
      </c>
      <c r="M405" s="6" t="s">
        <v>3718</v>
      </c>
      <c r="N405" s="8">
        <v>-0.11</v>
      </c>
      <c r="O405" s="6" t="s">
        <v>3719</v>
      </c>
      <c r="P405" s="6" t="s">
        <v>3720</v>
      </c>
      <c r="Q405" s="6" t="s">
        <v>217</v>
      </c>
      <c r="R405" s="6">
        <v>188</v>
      </c>
      <c r="S405" s="6">
        <v>0</v>
      </c>
      <c r="T405" s="6">
        <v>166</v>
      </c>
      <c r="U405" s="8">
        <v>-0.49</v>
      </c>
      <c r="V405" s="6"/>
      <c r="W405" s="6"/>
      <c r="X405" s="6"/>
      <c r="Y405" s="6"/>
      <c r="Z405" s="6"/>
      <c r="AA405" s="6"/>
      <c r="AB405" s="6"/>
      <c r="AC405" s="6"/>
      <c r="AD405" s="7"/>
    </row>
    <row r="406" spans="1:30" ht="15.6" x14ac:dyDescent="0.3">
      <c r="A406" s="4">
        <v>678</v>
      </c>
      <c r="B406" s="5" t="s">
        <v>3721</v>
      </c>
      <c r="C406" s="6" t="s">
        <v>126</v>
      </c>
      <c r="D406" s="5" t="s">
        <v>3722</v>
      </c>
      <c r="E406" s="5" t="s">
        <v>48</v>
      </c>
      <c r="F406" s="6" t="s">
        <v>3723</v>
      </c>
      <c r="G406" s="6" t="s">
        <v>3724</v>
      </c>
      <c r="H406" s="8">
        <v>0</v>
      </c>
      <c r="I406" s="6" t="s">
        <v>217</v>
      </c>
      <c r="J406" s="6" t="s">
        <v>984</v>
      </c>
      <c r="K406" s="6" t="s">
        <v>3725</v>
      </c>
      <c r="L406" s="6" t="s">
        <v>3325</v>
      </c>
      <c r="M406" s="6" t="s">
        <v>3726</v>
      </c>
      <c r="N406" s="6" t="s">
        <v>3325</v>
      </c>
      <c r="O406" s="6" t="s">
        <v>3727</v>
      </c>
      <c r="P406" s="6" t="s">
        <v>3728</v>
      </c>
      <c r="Q406" s="6" t="s">
        <v>217</v>
      </c>
      <c r="R406" s="6">
        <v>156</v>
      </c>
      <c r="S406" s="6">
        <v>6</v>
      </c>
      <c r="T406" s="6">
        <v>162</v>
      </c>
      <c r="U406" s="6" t="s">
        <v>9262</v>
      </c>
      <c r="V406" s="6"/>
      <c r="W406" s="6"/>
      <c r="X406" s="6"/>
      <c r="Y406" s="6"/>
      <c r="Z406" s="6"/>
      <c r="AA406" s="6"/>
      <c r="AB406" s="6"/>
      <c r="AC406" s="6"/>
      <c r="AD406" s="7"/>
    </row>
    <row r="407" spans="1:30" ht="15.6" x14ac:dyDescent="0.3">
      <c r="A407" s="4">
        <v>679</v>
      </c>
      <c r="B407" s="5" t="s">
        <v>3729</v>
      </c>
      <c r="C407" s="6" t="s">
        <v>291</v>
      </c>
      <c r="D407" s="5" t="s">
        <v>3730</v>
      </c>
      <c r="E407" s="5" t="s">
        <v>48</v>
      </c>
      <c r="F407" s="6" t="s">
        <v>3731</v>
      </c>
      <c r="G407" s="6" t="s">
        <v>3732</v>
      </c>
      <c r="H407" s="8">
        <v>0</v>
      </c>
      <c r="I407" s="6" t="s">
        <v>3733</v>
      </c>
      <c r="J407" s="6" t="s">
        <v>1491</v>
      </c>
      <c r="K407" s="6" t="s">
        <v>3734</v>
      </c>
      <c r="L407" s="6" t="s">
        <v>217</v>
      </c>
      <c r="M407" s="6" t="s">
        <v>3735</v>
      </c>
      <c r="N407" s="8">
        <v>-0.13</v>
      </c>
      <c r="O407" s="6" t="s">
        <v>3444</v>
      </c>
      <c r="P407" s="11">
        <v>45762</v>
      </c>
      <c r="Q407" s="6" t="s">
        <v>217</v>
      </c>
      <c r="R407" s="6">
        <v>45</v>
      </c>
      <c r="S407" s="6">
        <v>1</v>
      </c>
      <c r="T407" s="6">
        <v>60</v>
      </c>
      <c r="U407" s="6" t="e">
        <f>+∞%</f>
        <v>#NAME?</v>
      </c>
      <c r="V407" s="6"/>
      <c r="W407" s="6"/>
      <c r="X407" s="6"/>
      <c r="Y407" s="6"/>
      <c r="Z407" s="6"/>
      <c r="AA407" s="6"/>
      <c r="AB407" s="6"/>
      <c r="AC407" s="6"/>
      <c r="AD407" s="7"/>
    </row>
    <row r="408" spans="1:30" ht="15.6" x14ac:dyDescent="0.3">
      <c r="A408" s="4">
        <v>680</v>
      </c>
      <c r="B408" s="5" t="s">
        <v>3736</v>
      </c>
      <c r="C408" s="6" t="s">
        <v>114</v>
      </c>
      <c r="D408" s="5" t="s">
        <v>3737</v>
      </c>
      <c r="E408" s="5" t="s">
        <v>48</v>
      </c>
      <c r="F408" s="6" t="s">
        <v>3738</v>
      </c>
      <c r="G408" s="6" t="s">
        <v>3739</v>
      </c>
      <c r="H408" s="8">
        <v>0</v>
      </c>
      <c r="I408" s="8">
        <v>-0.22</v>
      </c>
      <c r="J408" s="6" t="s">
        <v>321</v>
      </c>
      <c r="K408" s="6" t="s">
        <v>3740</v>
      </c>
      <c r="L408" s="6" t="s">
        <v>217</v>
      </c>
      <c r="M408" s="6" t="s">
        <v>3741</v>
      </c>
      <c r="N408" s="6">
        <f>0.45%</f>
        <v>4.5000000000000005E-3</v>
      </c>
      <c r="O408" s="6" t="s">
        <v>3742</v>
      </c>
      <c r="P408" s="6" t="s">
        <v>3743</v>
      </c>
      <c r="Q408" s="6" t="s">
        <v>217</v>
      </c>
      <c r="R408" s="6" t="s">
        <v>564</v>
      </c>
      <c r="S408" s="6">
        <v>21</v>
      </c>
      <c r="T408" s="6">
        <v>465</v>
      </c>
      <c r="U408" s="6">
        <f>62%</f>
        <v>0.62</v>
      </c>
      <c r="V408" s="6"/>
      <c r="W408" s="6"/>
      <c r="X408" s="6"/>
      <c r="Y408" s="6"/>
      <c r="Z408" s="6"/>
      <c r="AA408" s="6"/>
      <c r="AB408" s="6"/>
      <c r="AC408" s="6"/>
      <c r="AD408" s="7"/>
    </row>
    <row r="409" spans="1:30" ht="15.6" x14ac:dyDescent="0.3">
      <c r="A409" s="4">
        <v>681</v>
      </c>
      <c r="B409" s="5" t="s">
        <v>3744</v>
      </c>
      <c r="C409" s="6" t="s">
        <v>31</v>
      </c>
      <c r="D409" s="5" t="s">
        <v>3745</v>
      </c>
      <c r="E409" s="5" t="s">
        <v>48</v>
      </c>
      <c r="F409" s="6" t="s">
        <v>3746</v>
      </c>
      <c r="G409" s="6" t="s">
        <v>3747</v>
      </c>
      <c r="H409" s="8">
        <v>0</v>
      </c>
      <c r="I409" s="6" t="s">
        <v>920</v>
      </c>
      <c r="J409" s="6" t="s">
        <v>482</v>
      </c>
      <c r="K409" s="6" t="s">
        <v>3748</v>
      </c>
      <c r="L409" s="6" t="s">
        <v>217</v>
      </c>
      <c r="M409" s="6" t="s">
        <v>3749</v>
      </c>
      <c r="N409" s="6" t="s">
        <v>3101</v>
      </c>
      <c r="O409" s="6" t="s">
        <v>2361</v>
      </c>
      <c r="P409" s="6" t="s">
        <v>217</v>
      </c>
      <c r="Q409" s="6" t="s">
        <v>217</v>
      </c>
      <c r="R409" s="6">
        <v>130</v>
      </c>
      <c r="S409" s="6">
        <v>1</v>
      </c>
      <c r="T409" s="6">
        <v>125</v>
      </c>
      <c r="U409" s="6" t="s">
        <v>217</v>
      </c>
      <c r="V409" s="6"/>
      <c r="W409" s="6"/>
      <c r="X409" s="6"/>
      <c r="Y409" s="6"/>
      <c r="Z409" s="6"/>
      <c r="AA409" s="6"/>
      <c r="AB409" s="6"/>
      <c r="AC409" s="6"/>
      <c r="AD409" s="7"/>
    </row>
    <row r="410" spans="1:30" ht="15.6" x14ac:dyDescent="0.3">
      <c r="A410" s="4">
        <v>685</v>
      </c>
      <c r="B410" s="5" t="s">
        <v>3750</v>
      </c>
      <c r="C410" s="6" t="s">
        <v>126</v>
      </c>
      <c r="D410" s="5" t="s">
        <v>3751</v>
      </c>
      <c r="E410" s="5" t="s">
        <v>48</v>
      </c>
      <c r="F410" s="6" t="s">
        <v>3752</v>
      </c>
      <c r="G410" s="6" t="s">
        <v>3753</v>
      </c>
      <c r="H410" s="8">
        <v>0</v>
      </c>
      <c r="I410" s="8">
        <v>-0.96</v>
      </c>
      <c r="J410" s="6" t="s">
        <v>798</v>
      </c>
      <c r="K410" s="6" t="s">
        <v>3754</v>
      </c>
      <c r="L410" s="8">
        <v>-0.56000000000000005</v>
      </c>
      <c r="M410" s="6" t="s">
        <v>3755</v>
      </c>
      <c r="N410" s="8">
        <v>-0.56000000000000005</v>
      </c>
      <c r="O410" s="6" t="s">
        <v>3756</v>
      </c>
      <c r="P410" s="6" t="s">
        <v>3757</v>
      </c>
      <c r="Q410" s="6" t="s">
        <v>217</v>
      </c>
      <c r="R410" s="6">
        <v>253</v>
      </c>
      <c r="S410" s="6">
        <v>9</v>
      </c>
      <c r="T410" s="6">
        <v>591</v>
      </c>
      <c r="U410" s="6" t="s">
        <v>217</v>
      </c>
      <c r="V410" s="6"/>
      <c r="W410" s="6"/>
      <c r="X410" s="6"/>
      <c r="Y410" s="6"/>
      <c r="Z410" s="6"/>
      <c r="AA410" s="6"/>
      <c r="AB410" s="6"/>
      <c r="AC410" s="6"/>
      <c r="AD410" s="7"/>
    </row>
    <row r="411" spans="1:30" ht="15.6" x14ac:dyDescent="0.3">
      <c r="A411" s="4">
        <v>686</v>
      </c>
      <c r="B411" s="5" t="s">
        <v>3758</v>
      </c>
      <c r="C411" s="6" t="s">
        <v>291</v>
      </c>
      <c r="D411" s="5" t="s">
        <v>3759</v>
      </c>
      <c r="E411" s="5" t="s">
        <v>48</v>
      </c>
      <c r="F411" s="6" t="s">
        <v>3760</v>
      </c>
      <c r="G411" s="6" t="s">
        <v>3761</v>
      </c>
      <c r="H411" s="8">
        <v>0</v>
      </c>
      <c r="I411" s="8">
        <v>-0.52</v>
      </c>
      <c r="J411" s="6" t="s">
        <v>354</v>
      </c>
      <c r="K411" s="6" t="s">
        <v>1868</v>
      </c>
      <c r="L411" s="8">
        <v>-0.22</v>
      </c>
      <c r="M411" s="6" t="s">
        <v>3762</v>
      </c>
      <c r="N411" s="8">
        <v>-0.22</v>
      </c>
      <c r="O411" s="6" t="s">
        <v>3763</v>
      </c>
      <c r="P411" s="6" t="s">
        <v>3764</v>
      </c>
      <c r="Q411" s="6" t="s">
        <v>217</v>
      </c>
      <c r="R411" s="6">
        <v>199</v>
      </c>
      <c r="S411" s="6">
        <v>0</v>
      </c>
      <c r="T411" s="6" t="s">
        <v>1032</v>
      </c>
      <c r="U411" s="6" t="s">
        <v>2448</v>
      </c>
      <c r="V411" s="6"/>
      <c r="W411" s="6"/>
      <c r="X411" s="6"/>
      <c r="Y411" s="6"/>
      <c r="Z411" s="6"/>
      <c r="AA411" s="6"/>
      <c r="AB411" s="6"/>
      <c r="AC411" s="6"/>
      <c r="AD411" s="7"/>
    </row>
    <row r="412" spans="1:30" ht="15.6" x14ac:dyDescent="0.3">
      <c r="A412" s="4">
        <v>687</v>
      </c>
      <c r="B412" s="5" t="s">
        <v>3765</v>
      </c>
      <c r="C412" s="6" t="s">
        <v>1408</v>
      </c>
      <c r="D412" s="5" t="s">
        <v>3766</v>
      </c>
      <c r="E412" s="5" t="s">
        <v>48</v>
      </c>
      <c r="F412" s="6" t="s">
        <v>3767</v>
      </c>
      <c r="G412" s="6" t="s">
        <v>3768</v>
      </c>
      <c r="H412" s="8">
        <v>0</v>
      </c>
      <c r="I412" s="6" t="s">
        <v>3769</v>
      </c>
      <c r="J412" s="6" t="s">
        <v>719</v>
      </c>
      <c r="K412" s="6" t="s">
        <v>3770</v>
      </c>
      <c r="L412" s="6" t="s">
        <v>217</v>
      </c>
      <c r="M412" s="6" t="s">
        <v>3771</v>
      </c>
      <c r="N412" s="8">
        <v>-0.18</v>
      </c>
      <c r="O412" s="6" t="s">
        <v>3772</v>
      </c>
      <c r="P412" s="6" t="s">
        <v>217</v>
      </c>
      <c r="Q412" s="6" t="s">
        <v>217</v>
      </c>
      <c r="R412" s="6">
        <v>151</v>
      </c>
      <c r="S412" s="6">
        <v>22</v>
      </c>
      <c r="T412" s="6">
        <v>54</v>
      </c>
      <c r="U412" s="6" t="s">
        <v>217</v>
      </c>
      <c r="V412" s="6"/>
      <c r="W412" s="6"/>
      <c r="X412" s="6"/>
      <c r="Y412" s="6"/>
      <c r="Z412" s="6"/>
      <c r="AA412" s="6"/>
      <c r="AB412" s="6"/>
      <c r="AC412" s="6"/>
      <c r="AD412" s="7"/>
    </row>
    <row r="413" spans="1:30" ht="15.6" x14ac:dyDescent="0.3">
      <c r="A413" s="4">
        <v>688</v>
      </c>
      <c r="B413" s="5" t="s">
        <v>3773</v>
      </c>
      <c r="C413" s="6" t="s">
        <v>126</v>
      </c>
      <c r="D413" s="5" t="s">
        <v>3774</v>
      </c>
      <c r="E413" s="5" t="s">
        <v>48</v>
      </c>
      <c r="F413" s="6" t="s">
        <v>3775</v>
      </c>
      <c r="G413" s="6" t="s">
        <v>3776</v>
      </c>
      <c r="H413" s="8">
        <v>0</v>
      </c>
      <c r="I413" s="6" t="s">
        <v>3777</v>
      </c>
      <c r="J413" s="6" t="s">
        <v>354</v>
      </c>
      <c r="K413" s="6" t="s">
        <v>3778</v>
      </c>
      <c r="L413" s="6" t="s">
        <v>217</v>
      </c>
      <c r="M413" s="6" t="s">
        <v>3779</v>
      </c>
      <c r="N413" s="6" t="s">
        <v>433</v>
      </c>
      <c r="O413" s="6" t="s">
        <v>3780</v>
      </c>
      <c r="P413" s="6" t="s">
        <v>217</v>
      </c>
      <c r="Q413" s="6" t="s">
        <v>217</v>
      </c>
      <c r="R413" s="6">
        <v>936</v>
      </c>
      <c r="S413" s="6">
        <v>1</v>
      </c>
      <c r="T413" s="6">
        <v>267</v>
      </c>
      <c r="U413" s="6" t="s">
        <v>217</v>
      </c>
      <c r="V413" s="6"/>
      <c r="W413" s="6"/>
      <c r="X413" s="6"/>
      <c r="Y413" s="6"/>
      <c r="Z413" s="6"/>
      <c r="AA413" s="6"/>
      <c r="AB413" s="6"/>
      <c r="AC413" s="6"/>
      <c r="AD413" s="7"/>
    </row>
    <row r="414" spans="1:30" ht="15.6" x14ac:dyDescent="0.3">
      <c r="A414" s="4">
        <v>690</v>
      </c>
      <c r="B414" s="5" t="s">
        <v>3781</v>
      </c>
      <c r="C414" s="6" t="s">
        <v>1244</v>
      </c>
      <c r="D414" s="5" t="s">
        <v>3782</v>
      </c>
      <c r="E414" s="5" t="s">
        <v>48</v>
      </c>
      <c r="F414" s="6" t="s">
        <v>3783</v>
      </c>
      <c r="G414" s="6" t="s">
        <v>3784</v>
      </c>
      <c r="H414" s="8">
        <v>0</v>
      </c>
      <c r="I414" s="8">
        <v>-0.87</v>
      </c>
      <c r="J414" s="6" t="s">
        <v>1390</v>
      </c>
      <c r="K414" s="6" t="s">
        <v>3785</v>
      </c>
      <c r="L414" s="8">
        <v>-0.21</v>
      </c>
      <c r="M414" s="6" t="s">
        <v>2399</v>
      </c>
      <c r="N414" s="8">
        <v>-0.21</v>
      </c>
      <c r="O414" s="6" t="s">
        <v>3786</v>
      </c>
      <c r="P414" s="6" t="s">
        <v>3787</v>
      </c>
      <c r="Q414" s="6" t="s">
        <v>217</v>
      </c>
      <c r="R414" s="6">
        <v>256</v>
      </c>
      <c r="S414" s="6">
        <v>0</v>
      </c>
      <c r="T414" s="6">
        <v>464</v>
      </c>
      <c r="U414" s="6" t="s">
        <v>217</v>
      </c>
      <c r="V414" s="6"/>
      <c r="W414" s="6"/>
      <c r="X414" s="6"/>
      <c r="Y414" s="6"/>
      <c r="Z414" s="6"/>
      <c r="AA414" s="6"/>
      <c r="AB414" s="6"/>
      <c r="AC414" s="6"/>
      <c r="AD414" s="7"/>
    </row>
    <row r="415" spans="1:30" ht="15.6" x14ac:dyDescent="0.3">
      <c r="A415" s="4">
        <v>691</v>
      </c>
      <c r="B415" s="5" t="s">
        <v>3788</v>
      </c>
      <c r="C415" s="6" t="s">
        <v>85</v>
      </c>
      <c r="D415" s="5" t="s">
        <v>3789</v>
      </c>
      <c r="E415" s="5" t="s">
        <v>48</v>
      </c>
      <c r="F415" s="6" t="s">
        <v>3790</v>
      </c>
      <c r="G415" s="6" t="s">
        <v>3791</v>
      </c>
      <c r="H415" s="8">
        <v>0</v>
      </c>
      <c r="I415" s="6" t="s">
        <v>217</v>
      </c>
      <c r="J415" s="6" t="s">
        <v>411</v>
      </c>
      <c r="K415" s="6" t="s">
        <v>3792</v>
      </c>
      <c r="L415" s="6" t="s">
        <v>217</v>
      </c>
      <c r="M415" s="6" t="s">
        <v>3793</v>
      </c>
      <c r="N415" s="8">
        <v>-0.13</v>
      </c>
      <c r="O415" s="6" t="s">
        <v>3794</v>
      </c>
      <c r="P415" s="6" t="s">
        <v>217</v>
      </c>
      <c r="Q415" s="6" t="s">
        <v>217</v>
      </c>
      <c r="R415" s="6">
        <v>6</v>
      </c>
      <c r="S415" s="6">
        <v>0</v>
      </c>
      <c r="T415" s="6">
        <v>58</v>
      </c>
      <c r="U415" s="6" t="s">
        <v>217</v>
      </c>
      <c r="V415" s="6"/>
      <c r="W415" s="6"/>
      <c r="X415" s="6"/>
      <c r="Y415" s="6"/>
      <c r="Z415" s="6"/>
      <c r="AA415" s="6"/>
      <c r="AB415" s="6"/>
      <c r="AC415" s="6"/>
      <c r="AD415" s="7"/>
    </row>
    <row r="416" spans="1:30" ht="15.6" x14ac:dyDescent="0.3">
      <c r="A416" s="4">
        <v>693</v>
      </c>
      <c r="B416" s="5" t="s">
        <v>3795</v>
      </c>
      <c r="C416" s="6" t="s">
        <v>567</v>
      </c>
      <c r="D416" s="5" t="s">
        <v>3796</v>
      </c>
      <c r="E416" s="5" t="s">
        <v>48</v>
      </c>
      <c r="F416" s="6" t="s">
        <v>3797</v>
      </c>
      <c r="G416" s="6" t="s">
        <v>3798</v>
      </c>
      <c r="H416" s="8">
        <v>0</v>
      </c>
      <c r="I416" s="8">
        <v>-0.95</v>
      </c>
      <c r="J416" s="6" t="s">
        <v>1071</v>
      </c>
      <c r="K416" s="6" t="s">
        <v>3799</v>
      </c>
      <c r="L416" s="8">
        <v>-0.11</v>
      </c>
      <c r="M416" s="6" t="s">
        <v>3800</v>
      </c>
      <c r="N416" s="8">
        <v>-0.11</v>
      </c>
      <c r="O416" s="6" t="s">
        <v>3801</v>
      </c>
      <c r="P416" s="6" t="s">
        <v>3802</v>
      </c>
      <c r="Q416" s="6" t="s">
        <v>217</v>
      </c>
      <c r="R416" s="6">
        <v>166</v>
      </c>
      <c r="S416" s="6">
        <v>2</v>
      </c>
      <c r="T416" s="6">
        <v>468</v>
      </c>
      <c r="U416" s="6" t="s">
        <v>217</v>
      </c>
      <c r="V416" s="6"/>
      <c r="W416" s="6"/>
      <c r="X416" s="6"/>
      <c r="Y416" s="6"/>
      <c r="Z416" s="6"/>
      <c r="AA416" s="6"/>
      <c r="AB416" s="6"/>
      <c r="AC416" s="6"/>
      <c r="AD416" s="7"/>
    </row>
    <row r="417" spans="1:30" ht="15.6" x14ac:dyDescent="0.3">
      <c r="A417" s="4">
        <v>694</v>
      </c>
      <c r="B417" s="5" t="s">
        <v>3803</v>
      </c>
      <c r="C417" s="6" t="s">
        <v>370</v>
      </c>
      <c r="D417" s="5" t="s">
        <v>3804</v>
      </c>
      <c r="E417" s="5" t="s">
        <v>48</v>
      </c>
      <c r="F417" s="6" t="s">
        <v>3805</v>
      </c>
      <c r="G417" s="6" t="s">
        <v>3806</v>
      </c>
      <c r="H417" s="8">
        <v>0</v>
      </c>
      <c r="I417" s="8">
        <v>-0.18</v>
      </c>
      <c r="J417" s="6" t="s">
        <v>719</v>
      </c>
      <c r="K417" s="6" t="s">
        <v>3807</v>
      </c>
      <c r="L417" s="6" t="s">
        <v>217</v>
      </c>
      <c r="M417" s="6" t="s">
        <v>3667</v>
      </c>
      <c r="N417" s="6" t="s">
        <v>2448</v>
      </c>
      <c r="O417" s="6" t="s">
        <v>3808</v>
      </c>
      <c r="P417" s="6" t="s">
        <v>217</v>
      </c>
      <c r="Q417" s="6" t="s">
        <v>217</v>
      </c>
      <c r="R417" s="6">
        <v>17</v>
      </c>
      <c r="S417" s="6">
        <v>0</v>
      </c>
      <c r="T417" s="6">
        <v>234</v>
      </c>
      <c r="U417" s="6" t="s">
        <v>217</v>
      </c>
      <c r="V417" s="6"/>
      <c r="W417" s="6"/>
      <c r="X417" s="6"/>
      <c r="Y417" s="6"/>
      <c r="Z417" s="6"/>
      <c r="AA417" s="6"/>
      <c r="AB417" s="6"/>
      <c r="AC417" s="6"/>
      <c r="AD417" s="7"/>
    </row>
    <row r="418" spans="1:30" ht="15.6" x14ac:dyDescent="0.3">
      <c r="A418" s="4">
        <v>695</v>
      </c>
      <c r="B418" s="5" t="s">
        <v>3809</v>
      </c>
      <c r="C418" s="6" t="s">
        <v>267</v>
      </c>
      <c r="D418" s="5" t="s">
        <v>3810</v>
      </c>
      <c r="E418" s="5" t="s">
        <v>48</v>
      </c>
      <c r="F418" s="6" t="s">
        <v>3811</v>
      </c>
      <c r="G418" s="6" t="s">
        <v>3812</v>
      </c>
      <c r="H418" s="8">
        <v>0</v>
      </c>
      <c r="I418" s="8">
        <v>-0.57999999999999996</v>
      </c>
      <c r="J418" s="6" t="s">
        <v>421</v>
      </c>
      <c r="K418" s="6" t="s">
        <v>3813</v>
      </c>
      <c r="L418" s="8">
        <v>-0.19</v>
      </c>
      <c r="M418" s="6" t="s">
        <v>3814</v>
      </c>
      <c r="N418" s="8">
        <v>-0.19</v>
      </c>
      <c r="O418" s="6" t="s">
        <v>3815</v>
      </c>
      <c r="P418" s="6" t="s">
        <v>3816</v>
      </c>
      <c r="Q418" s="6" t="s">
        <v>217</v>
      </c>
      <c r="R418" s="6">
        <v>241</v>
      </c>
      <c r="S418" s="6">
        <v>0</v>
      </c>
      <c r="T418" s="6">
        <v>186</v>
      </c>
      <c r="U418" s="6" t="s">
        <v>217</v>
      </c>
      <c r="V418" s="6"/>
      <c r="W418" s="6"/>
      <c r="X418" s="6"/>
      <c r="Y418" s="6"/>
      <c r="Z418" s="6"/>
      <c r="AA418" s="6"/>
      <c r="AB418" s="6"/>
      <c r="AC418" s="6"/>
      <c r="AD418" s="7"/>
    </row>
    <row r="419" spans="1:30" ht="15.6" x14ac:dyDescent="0.3">
      <c r="A419" s="4">
        <v>696</v>
      </c>
      <c r="B419" s="5" t="s">
        <v>3817</v>
      </c>
      <c r="C419" s="6" t="s">
        <v>60</v>
      </c>
      <c r="D419" s="5" t="s">
        <v>3818</v>
      </c>
      <c r="E419" s="5" t="s">
        <v>48</v>
      </c>
      <c r="F419" s="6" t="s">
        <v>3819</v>
      </c>
      <c r="G419" s="6" t="s">
        <v>3820</v>
      </c>
      <c r="H419" s="8">
        <v>0</v>
      </c>
      <c r="I419" s="8">
        <v>-0.89</v>
      </c>
      <c r="J419" s="6" t="s">
        <v>250</v>
      </c>
      <c r="K419" s="6" t="s">
        <v>1239</v>
      </c>
      <c r="L419" s="8">
        <v>-0.38</v>
      </c>
      <c r="M419" s="6" t="s">
        <v>1240</v>
      </c>
      <c r="N419" s="8">
        <v>-0.38</v>
      </c>
      <c r="O419" s="6" t="s">
        <v>3821</v>
      </c>
      <c r="P419" s="6" t="s">
        <v>3822</v>
      </c>
      <c r="Q419" s="6" t="s">
        <v>217</v>
      </c>
      <c r="R419" s="6" t="s">
        <v>3823</v>
      </c>
      <c r="S419" s="6">
        <v>6</v>
      </c>
      <c r="T419" s="6">
        <v>455</v>
      </c>
      <c r="U419" s="8">
        <v>-0.25</v>
      </c>
      <c r="V419" s="6"/>
      <c r="W419" s="6"/>
      <c r="X419" s="6"/>
      <c r="Y419" s="6"/>
      <c r="Z419" s="6"/>
      <c r="AA419" s="6"/>
      <c r="AB419" s="6"/>
      <c r="AC419" s="6"/>
      <c r="AD419" s="7"/>
    </row>
    <row r="420" spans="1:30" ht="15.6" x14ac:dyDescent="0.3">
      <c r="A420" s="4">
        <v>698</v>
      </c>
      <c r="B420" s="5" t="s">
        <v>3824</v>
      </c>
      <c r="C420" s="6" t="s">
        <v>304</v>
      </c>
      <c r="D420" s="5" t="s">
        <v>3825</v>
      </c>
      <c r="E420" s="5" t="s">
        <v>48</v>
      </c>
      <c r="F420" s="6" t="s">
        <v>3826</v>
      </c>
      <c r="G420" s="6" t="s">
        <v>3827</v>
      </c>
      <c r="H420" s="8">
        <v>0</v>
      </c>
      <c r="I420" s="6" t="s">
        <v>3828</v>
      </c>
      <c r="J420" s="6" t="s">
        <v>2009</v>
      </c>
      <c r="K420" s="6" t="s">
        <v>3829</v>
      </c>
      <c r="L420" s="6" t="s">
        <v>217</v>
      </c>
      <c r="M420" s="6" t="s">
        <v>3830</v>
      </c>
      <c r="N420" s="8">
        <v>-0.1</v>
      </c>
      <c r="O420" s="6" t="s">
        <v>3831</v>
      </c>
      <c r="P420" s="6" t="s">
        <v>217</v>
      </c>
      <c r="Q420" s="6" t="s">
        <v>217</v>
      </c>
      <c r="R420" s="6">
        <v>410</v>
      </c>
      <c r="S420" s="6">
        <v>0</v>
      </c>
      <c r="T420" s="6">
        <v>565</v>
      </c>
      <c r="U420" s="6" t="s">
        <v>217</v>
      </c>
      <c r="V420" s="6"/>
      <c r="W420" s="6"/>
      <c r="X420" s="6"/>
      <c r="Y420" s="6"/>
      <c r="Z420" s="6"/>
      <c r="AA420" s="6"/>
      <c r="AB420" s="6"/>
      <c r="AC420" s="6"/>
      <c r="AD420" s="7"/>
    </row>
    <row r="421" spans="1:30" ht="15.6" x14ac:dyDescent="0.3">
      <c r="A421" s="4">
        <v>699</v>
      </c>
      <c r="B421" s="5" t="s">
        <v>3832</v>
      </c>
      <c r="C421" s="6">
        <v>2</v>
      </c>
      <c r="D421" s="5" t="s">
        <v>3833</v>
      </c>
      <c r="E421" s="5" t="s">
        <v>48</v>
      </c>
      <c r="F421" s="6" t="s">
        <v>3834</v>
      </c>
      <c r="G421" s="6" t="s">
        <v>3835</v>
      </c>
      <c r="H421" s="8">
        <v>0</v>
      </c>
      <c r="I421" s="6" t="s">
        <v>3016</v>
      </c>
      <c r="J421" s="6" t="s">
        <v>1048</v>
      </c>
      <c r="K421" s="6" t="s">
        <v>3836</v>
      </c>
      <c r="L421" s="6" t="s">
        <v>217</v>
      </c>
      <c r="M421" s="6" t="s">
        <v>3837</v>
      </c>
      <c r="N421" s="8">
        <v>-0.12</v>
      </c>
      <c r="O421" s="6" t="s">
        <v>3838</v>
      </c>
      <c r="P421" s="6" t="s">
        <v>217</v>
      </c>
      <c r="Q421" s="6" t="s">
        <v>217</v>
      </c>
      <c r="R421" s="6">
        <v>126</v>
      </c>
      <c r="S421" s="6">
        <v>2</v>
      </c>
      <c r="T421" s="6">
        <v>145</v>
      </c>
      <c r="U421" s="6" t="s">
        <v>217</v>
      </c>
      <c r="V421" s="6"/>
      <c r="W421" s="6"/>
      <c r="X421" s="6"/>
      <c r="Y421" s="6"/>
      <c r="Z421" s="6"/>
      <c r="AA421" s="6"/>
      <c r="AB421" s="6"/>
      <c r="AC421" s="6"/>
      <c r="AD421" s="7"/>
    </row>
    <row r="422" spans="1:30" ht="15.6" x14ac:dyDescent="0.3">
      <c r="A422" s="4">
        <v>700</v>
      </c>
      <c r="B422" s="5" t="s">
        <v>3839</v>
      </c>
      <c r="C422" s="6" t="s">
        <v>546</v>
      </c>
      <c r="D422" s="5" t="s">
        <v>3840</v>
      </c>
      <c r="E422" s="5" t="s">
        <v>48</v>
      </c>
      <c r="F422" s="6" t="s">
        <v>3841</v>
      </c>
      <c r="G422" s="6" t="s">
        <v>3842</v>
      </c>
      <c r="H422" s="8">
        <v>0</v>
      </c>
      <c r="I422" s="8">
        <v>-0.98</v>
      </c>
      <c r="J422" s="6" t="s">
        <v>540</v>
      </c>
      <c r="K422" s="6" t="s">
        <v>3843</v>
      </c>
      <c r="L422" s="8">
        <v>-0.15</v>
      </c>
      <c r="M422" s="6" t="s">
        <v>3844</v>
      </c>
      <c r="N422" s="8">
        <v>-0.15</v>
      </c>
      <c r="O422" s="6" t="s">
        <v>3845</v>
      </c>
      <c r="P422" s="6" t="s">
        <v>3846</v>
      </c>
      <c r="Q422" s="6" t="s">
        <v>217</v>
      </c>
      <c r="R422" s="6">
        <v>93</v>
      </c>
      <c r="S422" s="6">
        <v>0</v>
      </c>
      <c r="T422" s="6">
        <v>216</v>
      </c>
      <c r="U422" s="6" t="s">
        <v>217</v>
      </c>
      <c r="V422" s="6"/>
      <c r="W422" s="6"/>
      <c r="X422" s="6"/>
      <c r="Y422" s="6"/>
      <c r="Z422" s="6"/>
      <c r="AA422" s="6"/>
      <c r="AB422" s="6"/>
      <c r="AC422" s="6"/>
      <c r="AD422" s="7"/>
    </row>
    <row r="423" spans="1:30" ht="15.6" x14ac:dyDescent="0.3">
      <c r="A423" s="4">
        <v>702</v>
      </c>
      <c r="B423" s="5" t="s">
        <v>3847</v>
      </c>
      <c r="C423" s="6" t="s">
        <v>85</v>
      </c>
      <c r="D423" s="5" t="s">
        <v>3848</v>
      </c>
      <c r="E423" s="5" t="s">
        <v>48</v>
      </c>
      <c r="F423" s="6" t="s">
        <v>3849</v>
      </c>
      <c r="G423" s="6" t="s">
        <v>3850</v>
      </c>
      <c r="H423" s="8">
        <v>0</v>
      </c>
      <c r="I423" s="8">
        <v>-0.76</v>
      </c>
      <c r="J423" s="6" t="s">
        <v>846</v>
      </c>
      <c r="K423" s="6" t="s">
        <v>3851</v>
      </c>
      <c r="L423" s="6">
        <f>72%</f>
        <v>0.72</v>
      </c>
      <c r="M423" s="6" t="s">
        <v>3852</v>
      </c>
      <c r="N423" s="6">
        <f>72%</f>
        <v>0.72</v>
      </c>
      <c r="O423" s="6" t="s">
        <v>3853</v>
      </c>
      <c r="P423" s="6" t="s">
        <v>3854</v>
      </c>
      <c r="Q423" s="6" t="s">
        <v>217</v>
      </c>
      <c r="R423" s="6">
        <v>326</v>
      </c>
      <c r="S423" s="6">
        <v>5</v>
      </c>
      <c r="T423" s="6">
        <v>240</v>
      </c>
      <c r="U423" s="6" t="s">
        <v>217</v>
      </c>
      <c r="V423" s="6"/>
      <c r="W423" s="6"/>
      <c r="X423" s="6"/>
      <c r="Y423" s="6"/>
      <c r="Z423" s="6"/>
      <c r="AA423" s="6"/>
      <c r="AB423" s="6"/>
      <c r="AC423" s="6"/>
      <c r="AD423" s="7"/>
    </row>
    <row r="424" spans="1:30" ht="15.6" x14ac:dyDescent="0.3">
      <c r="A424" s="4">
        <v>703</v>
      </c>
      <c r="B424" s="5" t="s">
        <v>3855</v>
      </c>
      <c r="C424" s="6" t="s">
        <v>102</v>
      </c>
      <c r="D424" s="5" t="s">
        <v>3856</v>
      </c>
      <c r="E424" s="5" t="s">
        <v>48</v>
      </c>
      <c r="F424" s="6" t="s">
        <v>3857</v>
      </c>
      <c r="G424" s="6" t="s">
        <v>3858</v>
      </c>
      <c r="H424" s="8">
        <v>0</v>
      </c>
      <c r="I424" s="6" t="s">
        <v>3859</v>
      </c>
      <c r="J424" s="6" t="s">
        <v>259</v>
      </c>
      <c r="K424" s="6" t="s">
        <v>3324</v>
      </c>
      <c r="L424" s="6" t="s">
        <v>217</v>
      </c>
      <c r="M424" s="6" t="s">
        <v>3860</v>
      </c>
      <c r="N424" s="6" t="s">
        <v>217</v>
      </c>
      <c r="O424" s="6" t="s">
        <v>3861</v>
      </c>
      <c r="P424" s="6" t="s">
        <v>217</v>
      </c>
      <c r="Q424" s="6" t="s">
        <v>217</v>
      </c>
      <c r="R424" s="6">
        <v>260</v>
      </c>
      <c r="S424" s="6">
        <v>5</v>
      </c>
      <c r="T424" s="6">
        <v>299</v>
      </c>
      <c r="U424" s="6" t="s">
        <v>217</v>
      </c>
      <c r="V424" s="6"/>
      <c r="W424" s="6"/>
      <c r="X424" s="6"/>
      <c r="Y424" s="6"/>
      <c r="Z424" s="6"/>
      <c r="AA424" s="6"/>
      <c r="AB424" s="6"/>
      <c r="AC424" s="6"/>
      <c r="AD424" s="7"/>
    </row>
    <row r="425" spans="1:30" ht="15.6" x14ac:dyDescent="0.3">
      <c r="A425" s="4">
        <v>704</v>
      </c>
      <c r="B425" s="5" t="s">
        <v>3862</v>
      </c>
      <c r="C425" s="6" t="s">
        <v>60</v>
      </c>
      <c r="D425" s="5" t="s">
        <v>3863</v>
      </c>
      <c r="E425" s="5" t="s">
        <v>48</v>
      </c>
      <c r="F425" s="6" t="s">
        <v>3864</v>
      </c>
      <c r="G425" s="6" t="s">
        <v>3865</v>
      </c>
      <c r="H425" s="8">
        <v>0</v>
      </c>
      <c r="I425" s="8">
        <v>-1</v>
      </c>
      <c r="J425" s="6" t="s">
        <v>38</v>
      </c>
      <c r="K425" s="6" t="s">
        <v>3866</v>
      </c>
      <c r="L425" s="8">
        <v>-0.16</v>
      </c>
      <c r="M425" s="6" t="s">
        <v>3867</v>
      </c>
      <c r="N425" s="8">
        <v>-0.16</v>
      </c>
      <c r="O425" s="6" t="s">
        <v>3868</v>
      </c>
      <c r="P425" s="6" t="s">
        <v>3869</v>
      </c>
      <c r="Q425" s="6" t="s">
        <v>217</v>
      </c>
      <c r="R425" s="6">
        <v>130</v>
      </c>
      <c r="S425" s="6">
        <v>0</v>
      </c>
      <c r="T425" s="6">
        <v>267</v>
      </c>
      <c r="U425" s="6">
        <f>100%</f>
        <v>1</v>
      </c>
      <c r="V425" s="6"/>
      <c r="W425" s="6"/>
      <c r="X425" s="6"/>
      <c r="Y425" s="6"/>
      <c r="Z425" s="6"/>
      <c r="AA425" s="6"/>
      <c r="AB425" s="6"/>
      <c r="AC425" s="6"/>
      <c r="AD425" s="7"/>
    </row>
    <row r="426" spans="1:30" ht="15.6" x14ac:dyDescent="0.3">
      <c r="A426" s="4">
        <v>705</v>
      </c>
      <c r="B426" s="5" t="s">
        <v>3870</v>
      </c>
      <c r="C426" s="6" t="s">
        <v>31</v>
      </c>
      <c r="D426" s="5" t="s">
        <v>3871</v>
      </c>
      <c r="E426" s="5" t="s">
        <v>48</v>
      </c>
      <c r="F426" s="6" t="s">
        <v>3872</v>
      </c>
      <c r="G426" s="6" t="s">
        <v>3873</v>
      </c>
      <c r="H426" s="8">
        <v>0</v>
      </c>
      <c r="I426" s="6" t="s">
        <v>3016</v>
      </c>
      <c r="J426" s="6" t="s">
        <v>77</v>
      </c>
      <c r="K426" s="6" t="s">
        <v>3851</v>
      </c>
      <c r="L426" s="6" t="s">
        <v>217</v>
      </c>
      <c r="M426" s="6" t="s">
        <v>3874</v>
      </c>
      <c r="N426" s="6" t="s">
        <v>3875</v>
      </c>
      <c r="O426" s="6" t="s">
        <v>3876</v>
      </c>
      <c r="P426" s="6" t="s">
        <v>3877</v>
      </c>
      <c r="Q426" s="6" t="s">
        <v>217</v>
      </c>
      <c r="R426" s="6">
        <v>348</v>
      </c>
      <c r="S426" s="6">
        <v>17</v>
      </c>
      <c r="T426" s="6">
        <v>436</v>
      </c>
      <c r="U426" s="6">
        <f>960%</f>
        <v>9.6</v>
      </c>
      <c r="V426" s="6"/>
      <c r="W426" s="6"/>
      <c r="X426" s="6"/>
      <c r="Y426" s="6"/>
      <c r="Z426" s="6"/>
      <c r="AA426" s="6"/>
      <c r="AB426" s="6"/>
      <c r="AC426" s="6"/>
      <c r="AD426" s="7"/>
    </row>
    <row r="427" spans="1:30" ht="15.6" x14ac:dyDescent="0.3">
      <c r="A427" s="4">
        <v>707</v>
      </c>
      <c r="B427" s="5" t="s">
        <v>3878</v>
      </c>
      <c r="C427" s="6" t="s">
        <v>304</v>
      </c>
      <c r="D427" s="5" t="s">
        <v>3879</v>
      </c>
      <c r="E427" s="5" t="s">
        <v>48</v>
      </c>
      <c r="F427" s="6" t="s">
        <v>3880</v>
      </c>
      <c r="G427" s="6" t="s">
        <v>3881</v>
      </c>
      <c r="H427" s="8">
        <v>0</v>
      </c>
      <c r="I427" s="6" t="s">
        <v>51</v>
      </c>
      <c r="J427" s="8">
        <v>0</v>
      </c>
      <c r="K427" s="6" t="s">
        <v>3882</v>
      </c>
      <c r="L427" s="8">
        <v>-0.2</v>
      </c>
      <c r="M427" s="6" t="s">
        <v>3883</v>
      </c>
      <c r="N427" s="8">
        <v>-0.2</v>
      </c>
      <c r="O427" s="6" t="s">
        <v>3884</v>
      </c>
      <c r="P427" s="6" t="s">
        <v>3885</v>
      </c>
      <c r="Q427" s="6" t="s">
        <v>217</v>
      </c>
      <c r="R427" s="6">
        <v>84</v>
      </c>
      <c r="S427" s="6">
        <v>0</v>
      </c>
      <c r="T427" s="6">
        <v>176</v>
      </c>
      <c r="U427" s="6">
        <f>42%</f>
        <v>0.42</v>
      </c>
      <c r="V427" s="6"/>
      <c r="W427" s="6"/>
      <c r="X427" s="6"/>
      <c r="Y427" s="6"/>
      <c r="Z427" s="6"/>
      <c r="AA427" s="6"/>
      <c r="AB427" s="6"/>
      <c r="AC427" s="6"/>
      <c r="AD427" s="7"/>
    </row>
    <row r="428" spans="1:30" ht="15.6" x14ac:dyDescent="0.3">
      <c r="A428" s="4">
        <v>708</v>
      </c>
      <c r="B428" s="5" t="s">
        <v>3886</v>
      </c>
      <c r="C428" s="6" t="s">
        <v>31</v>
      </c>
      <c r="D428" s="5" t="s">
        <v>3887</v>
      </c>
      <c r="E428" s="5" t="s">
        <v>48</v>
      </c>
      <c r="F428" s="6" t="s">
        <v>3888</v>
      </c>
      <c r="G428" s="6" t="s">
        <v>3889</v>
      </c>
      <c r="H428" s="8">
        <v>0</v>
      </c>
      <c r="I428" s="6" t="s">
        <v>217</v>
      </c>
      <c r="J428" s="6" t="s">
        <v>984</v>
      </c>
      <c r="K428" s="6" t="s">
        <v>3890</v>
      </c>
      <c r="L428" s="8">
        <v>-0.16</v>
      </c>
      <c r="M428" s="6" t="s">
        <v>3891</v>
      </c>
      <c r="N428" s="8">
        <v>-0.16</v>
      </c>
      <c r="O428" s="6" t="s">
        <v>3892</v>
      </c>
      <c r="P428" s="6" t="s">
        <v>217</v>
      </c>
      <c r="Q428" s="6" t="s">
        <v>217</v>
      </c>
      <c r="R428" s="6" t="s">
        <v>3893</v>
      </c>
      <c r="S428" s="6">
        <v>0</v>
      </c>
      <c r="T428" s="6">
        <v>34</v>
      </c>
      <c r="U428" s="6" t="s">
        <v>217</v>
      </c>
      <c r="V428" s="6"/>
      <c r="W428" s="6"/>
      <c r="X428" s="6"/>
      <c r="Y428" s="6"/>
      <c r="Z428" s="6"/>
      <c r="AA428" s="6"/>
      <c r="AB428" s="6"/>
      <c r="AC428" s="6"/>
      <c r="AD428" s="7"/>
    </row>
    <row r="429" spans="1:30" ht="15.6" x14ac:dyDescent="0.3">
      <c r="A429" s="4">
        <v>709</v>
      </c>
      <c r="B429" s="5" t="s">
        <v>3894</v>
      </c>
      <c r="C429" s="6" t="s">
        <v>102</v>
      </c>
      <c r="D429" s="5" t="s">
        <v>3895</v>
      </c>
      <c r="E429" s="5" t="s">
        <v>48</v>
      </c>
      <c r="F429" s="6" t="s">
        <v>3896</v>
      </c>
      <c r="G429" s="6" t="s">
        <v>3897</v>
      </c>
      <c r="H429" s="8">
        <v>0</v>
      </c>
      <c r="I429" s="8">
        <v>-0.45</v>
      </c>
      <c r="J429" s="6" t="s">
        <v>1412</v>
      </c>
      <c r="K429" s="6" t="s">
        <v>2247</v>
      </c>
      <c r="L429" s="6" t="s">
        <v>217</v>
      </c>
      <c r="M429" s="6" t="s">
        <v>3326</v>
      </c>
      <c r="N429" s="6">
        <f>5.8%</f>
        <v>5.7999999999999996E-2</v>
      </c>
      <c r="O429" s="6" t="s">
        <v>3898</v>
      </c>
      <c r="P429" s="6" t="s">
        <v>3899</v>
      </c>
      <c r="Q429" s="6" t="s">
        <v>217</v>
      </c>
      <c r="R429" s="6">
        <v>377</v>
      </c>
      <c r="S429" s="6">
        <v>5</v>
      </c>
      <c r="T429" s="6">
        <v>298</v>
      </c>
      <c r="U429" s="6">
        <f>100%</f>
        <v>1</v>
      </c>
      <c r="V429" s="6"/>
      <c r="W429" s="6"/>
      <c r="X429" s="6"/>
      <c r="Y429" s="6"/>
      <c r="Z429" s="6"/>
      <c r="AA429" s="6"/>
      <c r="AB429" s="6"/>
      <c r="AC429" s="6"/>
      <c r="AD429" s="7"/>
    </row>
    <row r="430" spans="1:30" ht="15.6" x14ac:dyDescent="0.3">
      <c r="A430" s="4">
        <v>710</v>
      </c>
      <c r="B430" s="5" t="s">
        <v>3900</v>
      </c>
      <c r="C430" s="6" t="s">
        <v>291</v>
      </c>
      <c r="D430" s="5" t="s">
        <v>3901</v>
      </c>
      <c r="E430" s="5" t="s">
        <v>48</v>
      </c>
      <c r="F430" s="6" t="s">
        <v>3902</v>
      </c>
      <c r="G430" s="6" t="s">
        <v>3903</v>
      </c>
      <c r="H430" s="8">
        <v>0</v>
      </c>
      <c r="I430" s="6" t="s">
        <v>1229</v>
      </c>
      <c r="J430" s="6" t="s">
        <v>1130</v>
      </c>
      <c r="K430" s="6" t="s">
        <v>3904</v>
      </c>
      <c r="L430" s="6" t="s">
        <v>217</v>
      </c>
      <c r="M430" s="6" t="s">
        <v>3580</v>
      </c>
      <c r="N430" s="8">
        <v>-0.15</v>
      </c>
      <c r="O430" s="6" t="s">
        <v>3771</v>
      </c>
      <c r="P430" s="6" t="s">
        <v>217</v>
      </c>
      <c r="Q430" s="6" t="s">
        <v>217</v>
      </c>
      <c r="R430" s="6">
        <v>90</v>
      </c>
      <c r="S430" s="6">
        <v>1</v>
      </c>
      <c r="T430" s="6">
        <v>87</v>
      </c>
      <c r="U430" s="6" t="s">
        <v>217</v>
      </c>
      <c r="V430" s="6"/>
      <c r="W430" s="6"/>
      <c r="X430" s="6"/>
      <c r="Y430" s="6"/>
      <c r="Z430" s="6"/>
      <c r="AA430" s="6"/>
      <c r="AB430" s="6"/>
      <c r="AC430" s="6"/>
      <c r="AD430" s="7"/>
    </row>
    <row r="431" spans="1:30" ht="15.6" x14ac:dyDescent="0.3">
      <c r="A431" s="4">
        <v>712</v>
      </c>
      <c r="B431" s="5" t="s">
        <v>3905</v>
      </c>
      <c r="C431" s="6" t="s">
        <v>31</v>
      </c>
      <c r="D431" s="5" t="s">
        <v>3906</v>
      </c>
      <c r="E431" s="5" t="s">
        <v>48</v>
      </c>
      <c r="F431" s="6" t="s">
        <v>3907</v>
      </c>
      <c r="G431" s="6" t="s">
        <v>3908</v>
      </c>
      <c r="H431" s="8">
        <v>0</v>
      </c>
      <c r="I431" s="6" t="s">
        <v>51</v>
      </c>
      <c r="J431" s="6" t="s">
        <v>1184</v>
      </c>
      <c r="K431" s="6" t="s">
        <v>3909</v>
      </c>
      <c r="L431" s="8">
        <v>-0.13</v>
      </c>
      <c r="M431" s="6" t="s">
        <v>3910</v>
      </c>
      <c r="N431" s="8">
        <v>-0.13</v>
      </c>
      <c r="O431" s="6" t="s">
        <v>3372</v>
      </c>
      <c r="P431" s="6" t="s">
        <v>217</v>
      </c>
      <c r="Q431" s="6" t="s">
        <v>217</v>
      </c>
      <c r="R431" s="6">
        <v>131</v>
      </c>
      <c r="S431" s="6">
        <v>2</v>
      </c>
      <c r="T431" s="6">
        <v>575</v>
      </c>
      <c r="U431" s="6" t="s">
        <v>217</v>
      </c>
      <c r="V431" s="6"/>
      <c r="W431" s="6"/>
      <c r="X431" s="6"/>
      <c r="Y431" s="6"/>
      <c r="Z431" s="6"/>
      <c r="AA431" s="6"/>
      <c r="AB431" s="6"/>
      <c r="AC431" s="6"/>
      <c r="AD431" s="7"/>
    </row>
    <row r="432" spans="1:30" ht="15.6" x14ac:dyDescent="0.3">
      <c r="A432" s="4">
        <v>713</v>
      </c>
      <c r="B432" s="5" t="s">
        <v>3911</v>
      </c>
      <c r="C432" s="6" t="s">
        <v>60</v>
      </c>
      <c r="D432" s="5" t="s">
        <v>3912</v>
      </c>
      <c r="E432" s="5" t="s">
        <v>48</v>
      </c>
      <c r="F432" s="6" t="s">
        <v>3913</v>
      </c>
      <c r="G432" s="6" t="s">
        <v>3914</v>
      </c>
      <c r="H432" s="8">
        <v>0</v>
      </c>
      <c r="I432" s="6" t="s">
        <v>3915</v>
      </c>
      <c r="J432" s="6" t="s">
        <v>385</v>
      </c>
      <c r="K432" s="6" t="s">
        <v>3916</v>
      </c>
      <c r="L432" s="6" t="s">
        <v>217</v>
      </c>
      <c r="M432" s="6" t="s">
        <v>2353</v>
      </c>
      <c r="N432" s="8">
        <v>-0.11</v>
      </c>
      <c r="O432" s="6" t="s">
        <v>3917</v>
      </c>
      <c r="P432" s="6" t="s">
        <v>217</v>
      </c>
      <c r="Q432" s="6" t="s">
        <v>217</v>
      </c>
      <c r="R432" s="6">
        <v>182</v>
      </c>
      <c r="S432" s="6">
        <v>1</v>
      </c>
      <c r="T432" s="6">
        <v>182</v>
      </c>
      <c r="U432" s="6" t="s">
        <v>217</v>
      </c>
      <c r="V432" s="6"/>
      <c r="W432" s="6"/>
      <c r="X432" s="6"/>
      <c r="Y432" s="6"/>
      <c r="Z432" s="6"/>
      <c r="AA432" s="6"/>
      <c r="AB432" s="6"/>
      <c r="AC432" s="6"/>
      <c r="AD432" s="7"/>
    </row>
    <row r="433" spans="1:30" ht="15.6" x14ac:dyDescent="0.3">
      <c r="A433" s="4">
        <v>714</v>
      </c>
      <c r="B433" s="5" t="s">
        <v>3918</v>
      </c>
      <c r="C433" s="6" t="s">
        <v>72</v>
      </c>
      <c r="D433" s="5" t="s">
        <v>3919</v>
      </c>
      <c r="E433" s="5" t="s">
        <v>48</v>
      </c>
      <c r="F433" s="6" t="s">
        <v>3920</v>
      </c>
      <c r="G433" s="6" t="s">
        <v>3921</v>
      </c>
      <c r="H433" s="8">
        <v>0</v>
      </c>
      <c r="I433" s="8">
        <v>-1</v>
      </c>
      <c r="J433" s="6" t="s">
        <v>107</v>
      </c>
      <c r="K433" s="6" t="s">
        <v>3922</v>
      </c>
      <c r="L433" s="8">
        <v>-0.93</v>
      </c>
      <c r="M433" s="6" t="s">
        <v>3923</v>
      </c>
      <c r="N433" s="8">
        <v>-0.93</v>
      </c>
      <c r="O433" s="6" t="s">
        <v>3924</v>
      </c>
      <c r="P433" s="6" t="s">
        <v>3925</v>
      </c>
      <c r="Q433" s="6" t="s">
        <v>217</v>
      </c>
      <c r="R433" s="6">
        <v>170</v>
      </c>
      <c r="S433" s="6">
        <v>3</v>
      </c>
      <c r="T433" s="6">
        <v>118</v>
      </c>
      <c r="U433" s="6" t="s">
        <v>9262</v>
      </c>
      <c r="V433" s="6"/>
      <c r="W433" s="6"/>
      <c r="X433" s="6"/>
      <c r="Y433" s="6"/>
      <c r="Z433" s="6"/>
      <c r="AA433" s="6"/>
      <c r="AB433" s="6"/>
      <c r="AC433" s="6"/>
      <c r="AD433" s="7"/>
    </row>
    <row r="434" spans="1:30" ht="15.6" x14ac:dyDescent="0.3">
      <c r="A434" s="4">
        <v>715</v>
      </c>
      <c r="B434" s="5" t="s">
        <v>3926</v>
      </c>
      <c r="C434" s="6" t="s">
        <v>102</v>
      </c>
      <c r="D434" s="5" t="s">
        <v>3927</v>
      </c>
      <c r="E434" s="5" t="s">
        <v>48</v>
      </c>
      <c r="F434" s="6" t="s">
        <v>3928</v>
      </c>
      <c r="G434" s="6" t="s">
        <v>3929</v>
      </c>
      <c r="H434" s="8">
        <v>0</v>
      </c>
      <c r="I434" s="6" t="s">
        <v>9262</v>
      </c>
      <c r="J434" s="6" t="s">
        <v>332</v>
      </c>
      <c r="K434" s="6" t="s">
        <v>3930</v>
      </c>
      <c r="L434" s="6">
        <f>180%</f>
        <v>1.8</v>
      </c>
      <c r="M434" s="6" t="s">
        <v>3931</v>
      </c>
      <c r="N434" s="6">
        <f>180%</f>
        <v>1.8</v>
      </c>
      <c r="O434" s="6" t="s">
        <v>3932</v>
      </c>
      <c r="P434" s="6" t="s">
        <v>3933</v>
      </c>
      <c r="Q434" s="6" t="s">
        <v>217</v>
      </c>
      <c r="R434" s="6">
        <v>276</v>
      </c>
      <c r="S434" s="6">
        <v>1</v>
      </c>
      <c r="T434" s="6" t="s">
        <v>3934</v>
      </c>
      <c r="U434" s="6" t="s">
        <v>9262</v>
      </c>
      <c r="V434" s="6"/>
      <c r="W434" s="6"/>
      <c r="X434" s="6"/>
      <c r="Y434" s="6"/>
      <c r="Z434" s="6"/>
      <c r="AA434" s="6"/>
      <c r="AB434" s="6"/>
      <c r="AC434" s="6"/>
      <c r="AD434" s="7"/>
    </row>
    <row r="435" spans="1:30" ht="15.6" x14ac:dyDescent="0.3">
      <c r="A435" s="4">
        <v>716</v>
      </c>
      <c r="B435" s="5" t="s">
        <v>3935</v>
      </c>
      <c r="C435" s="6" t="s">
        <v>114</v>
      </c>
      <c r="D435" s="5" t="s">
        <v>3936</v>
      </c>
      <c r="E435" s="5" t="s">
        <v>48</v>
      </c>
      <c r="F435" s="6" t="s">
        <v>3937</v>
      </c>
      <c r="G435" s="6" t="s">
        <v>3938</v>
      </c>
      <c r="H435" s="8">
        <v>0</v>
      </c>
      <c r="I435" s="6" t="s">
        <v>201</v>
      </c>
      <c r="J435" s="6" t="s">
        <v>2474</v>
      </c>
      <c r="K435" s="6" t="s">
        <v>2384</v>
      </c>
      <c r="L435" s="8">
        <v>-0.36</v>
      </c>
      <c r="M435" s="6" t="s">
        <v>2385</v>
      </c>
      <c r="N435" s="8">
        <v>-0.36</v>
      </c>
      <c r="O435" s="6" t="s">
        <v>3939</v>
      </c>
      <c r="P435" s="6" t="s">
        <v>217</v>
      </c>
      <c r="Q435" s="6" t="s">
        <v>217</v>
      </c>
      <c r="R435" s="6">
        <v>570</v>
      </c>
      <c r="S435" s="6">
        <v>1</v>
      </c>
      <c r="T435" s="6">
        <v>51</v>
      </c>
      <c r="U435" s="6" t="s">
        <v>217</v>
      </c>
      <c r="V435" s="6"/>
      <c r="W435" s="6"/>
      <c r="X435" s="6"/>
      <c r="Y435" s="6"/>
      <c r="Z435" s="6"/>
      <c r="AA435" s="6"/>
      <c r="AB435" s="6"/>
      <c r="AC435" s="6"/>
      <c r="AD435" s="7"/>
    </row>
    <row r="436" spans="1:30" ht="15.6" x14ac:dyDescent="0.3">
      <c r="A436" s="4">
        <v>717</v>
      </c>
      <c r="B436" s="5" t="s">
        <v>3940</v>
      </c>
      <c r="C436" s="6" t="s">
        <v>546</v>
      </c>
      <c r="D436" s="5" t="s">
        <v>3941</v>
      </c>
      <c r="E436" s="5" t="s">
        <v>48</v>
      </c>
      <c r="F436" s="6" t="s">
        <v>3942</v>
      </c>
      <c r="G436" s="6" t="s">
        <v>3943</v>
      </c>
      <c r="H436" s="8">
        <v>0</v>
      </c>
      <c r="I436" s="8">
        <v>-0.91</v>
      </c>
      <c r="J436" s="6" t="s">
        <v>90</v>
      </c>
      <c r="K436" s="6" t="s">
        <v>3944</v>
      </c>
      <c r="L436" s="6" t="s">
        <v>217</v>
      </c>
      <c r="M436" s="6" t="s">
        <v>3945</v>
      </c>
      <c r="N436" s="6">
        <f>0.53%</f>
        <v>5.3E-3</v>
      </c>
      <c r="O436" s="6" t="s">
        <v>3946</v>
      </c>
      <c r="P436" s="6" t="s">
        <v>3947</v>
      </c>
      <c r="Q436" s="6" t="s">
        <v>217</v>
      </c>
      <c r="R436" s="6">
        <v>355</v>
      </c>
      <c r="S436" s="6">
        <v>1</v>
      </c>
      <c r="T436" s="6">
        <v>199</v>
      </c>
      <c r="U436" s="8">
        <v>-0.56999999999999995</v>
      </c>
      <c r="V436" s="6"/>
      <c r="W436" s="6"/>
      <c r="X436" s="6"/>
      <c r="Y436" s="6"/>
      <c r="Z436" s="6"/>
      <c r="AA436" s="6"/>
      <c r="AB436" s="6"/>
      <c r="AC436" s="6"/>
      <c r="AD436" s="7"/>
    </row>
    <row r="437" spans="1:30" ht="15.6" x14ac:dyDescent="0.3">
      <c r="A437" s="4">
        <v>718</v>
      </c>
      <c r="B437" s="5" t="s">
        <v>3948</v>
      </c>
      <c r="C437" s="6" t="s">
        <v>291</v>
      </c>
      <c r="D437" s="5" t="s">
        <v>3949</v>
      </c>
      <c r="E437" s="5" t="s">
        <v>48</v>
      </c>
      <c r="F437" s="6" t="s">
        <v>3950</v>
      </c>
      <c r="G437" s="6" t="s">
        <v>3951</v>
      </c>
      <c r="H437" s="8">
        <v>0</v>
      </c>
      <c r="I437" s="6" t="s">
        <v>2182</v>
      </c>
      <c r="J437" s="6" t="s">
        <v>1059</v>
      </c>
      <c r="K437" s="6" t="s">
        <v>3952</v>
      </c>
      <c r="L437" s="6" t="s">
        <v>217</v>
      </c>
      <c r="M437" s="6" t="s">
        <v>2716</v>
      </c>
      <c r="N437" s="6" t="s">
        <v>3953</v>
      </c>
      <c r="O437" s="6" t="s">
        <v>3954</v>
      </c>
      <c r="P437" s="6" t="s">
        <v>217</v>
      </c>
      <c r="Q437" s="6" t="s">
        <v>217</v>
      </c>
      <c r="R437" s="6" t="s">
        <v>3955</v>
      </c>
      <c r="S437" s="6">
        <v>149</v>
      </c>
      <c r="T437" s="6">
        <v>602</v>
      </c>
      <c r="U437" s="6" t="s">
        <v>217</v>
      </c>
      <c r="V437" s="6"/>
      <c r="W437" s="6"/>
      <c r="X437" s="6"/>
      <c r="Y437" s="6"/>
      <c r="Z437" s="6"/>
      <c r="AA437" s="6"/>
      <c r="AB437" s="6"/>
      <c r="AC437" s="6"/>
      <c r="AD437" s="7"/>
    </row>
    <row r="438" spans="1:30" ht="15.6" x14ac:dyDescent="0.3">
      <c r="A438" s="4">
        <v>719</v>
      </c>
      <c r="B438" s="5" t="s">
        <v>3956</v>
      </c>
      <c r="C438" s="6" t="s">
        <v>370</v>
      </c>
      <c r="D438" s="5" t="s">
        <v>3957</v>
      </c>
      <c r="E438" s="5" t="s">
        <v>48</v>
      </c>
      <c r="F438" s="6" t="s">
        <v>3958</v>
      </c>
      <c r="G438" s="6" t="s">
        <v>3959</v>
      </c>
      <c r="H438" s="8">
        <v>0</v>
      </c>
      <c r="I438" s="8">
        <v>-0.99</v>
      </c>
      <c r="J438" s="6" t="s">
        <v>284</v>
      </c>
      <c r="K438" s="6" t="s">
        <v>3960</v>
      </c>
      <c r="L438" s="6" t="s">
        <v>217</v>
      </c>
      <c r="M438" s="6" t="s">
        <v>3961</v>
      </c>
      <c r="N438" s="6" t="s">
        <v>3733</v>
      </c>
      <c r="O438" s="6" t="s">
        <v>3898</v>
      </c>
      <c r="P438" s="6" t="s">
        <v>3962</v>
      </c>
      <c r="Q438" s="6" t="s">
        <v>217</v>
      </c>
      <c r="R438" s="6">
        <v>313</v>
      </c>
      <c r="S438" s="6">
        <v>7</v>
      </c>
      <c r="T438" s="6">
        <v>649</v>
      </c>
      <c r="U438" s="6">
        <f>23%</f>
        <v>0.23</v>
      </c>
      <c r="V438" s="6"/>
      <c r="W438" s="6"/>
      <c r="X438" s="6"/>
      <c r="Y438" s="6"/>
      <c r="Z438" s="6"/>
      <c r="AA438" s="6"/>
      <c r="AB438" s="6"/>
      <c r="AC438" s="6"/>
      <c r="AD438" s="7"/>
    </row>
    <row r="439" spans="1:30" ht="15.6" x14ac:dyDescent="0.3">
      <c r="A439" s="4">
        <v>720</v>
      </c>
      <c r="B439" s="5" t="s">
        <v>3963</v>
      </c>
      <c r="C439" s="6" t="s">
        <v>291</v>
      </c>
      <c r="D439" s="5" t="s">
        <v>3964</v>
      </c>
      <c r="E439" s="5" t="s">
        <v>48</v>
      </c>
      <c r="F439" s="6" t="s">
        <v>3965</v>
      </c>
      <c r="G439" s="6" t="s">
        <v>3966</v>
      </c>
      <c r="H439" s="8">
        <v>0</v>
      </c>
      <c r="I439" s="6" t="s">
        <v>1842</v>
      </c>
      <c r="J439" s="6" t="s">
        <v>454</v>
      </c>
      <c r="K439" s="6" t="s">
        <v>3967</v>
      </c>
      <c r="L439" s="8">
        <v>-0.2</v>
      </c>
      <c r="M439" s="6" t="s">
        <v>3968</v>
      </c>
      <c r="N439" s="8">
        <v>-0.2</v>
      </c>
      <c r="O439" s="6" t="s">
        <v>3969</v>
      </c>
      <c r="P439" s="6" t="s">
        <v>3970</v>
      </c>
      <c r="Q439" s="6" t="s">
        <v>217</v>
      </c>
      <c r="R439" s="6">
        <v>40</v>
      </c>
      <c r="S439" s="6">
        <v>3</v>
      </c>
      <c r="T439" s="6">
        <v>84</v>
      </c>
      <c r="U439" s="6" t="e">
        <f>+∞%</f>
        <v>#NAME?</v>
      </c>
      <c r="V439" s="6"/>
      <c r="W439" s="6"/>
      <c r="X439" s="6"/>
      <c r="Y439" s="6"/>
      <c r="Z439" s="6"/>
      <c r="AA439" s="6"/>
      <c r="AB439" s="6"/>
      <c r="AC439" s="6"/>
      <c r="AD439" s="7"/>
    </row>
    <row r="440" spans="1:30" ht="15.6" x14ac:dyDescent="0.3">
      <c r="A440" s="4">
        <v>721</v>
      </c>
      <c r="B440" s="5" t="s">
        <v>3971</v>
      </c>
      <c r="C440" s="6" t="s">
        <v>126</v>
      </c>
      <c r="D440" s="5" t="s">
        <v>3972</v>
      </c>
      <c r="E440" s="5" t="s">
        <v>48</v>
      </c>
      <c r="F440" s="6" t="s">
        <v>3973</v>
      </c>
      <c r="G440" s="6" t="s">
        <v>3974</v>
      </c>
      <c r="H440" s="8">
        <v>0</v>
      </c>
      <c r="I440" s="8">
        <v>-0.71</v>
      </c>
      <c r="J440" s="6" t="s">
        <v>3975</v>
      </c>
      <c r="K440" s="6" t="s">
        <v>3976</v>
      </c>
      <c r="L440" s="6" t="s">
        <v>217</v>
      </c>
      <c r="M440" s="6" t="s">
        <v>3977</v>
      </c>
      <c r="N440" s="8">
        <v>-0.14000000000000001</v>
      </c>
      <c r="O440" s="6" t="s">
        <v>3712</v>
      </c>
      <c r="P440" s="6" t="s">
        <v>3978</v>
      </c>
      <c r="Q440" s="6" t="s">
        <v>217</v>
      </c>
      <c r="R440" s="6">
        <v>45</v>
      </c>
      <c r="S440" s="6">
        <v>2</v>
      </c>
      <c r="T440" s="6">
        <v>102</v>
      </c>
      <c r="U440" s="8">
        <v>-0.4</v>
      </c>
      <c r="V440" s="6"/>
      <c r="W440" s="6"/>
      <c r="X440" s="6"/>
      <c r="Y440" s="6"/>
      <c r="Z440" s="6"/>
      <c r="AA440" s="6"/>
      <c r="AB440" s="6"/>
      <c r="AC440" s="6"/>
      <c r="AD440" s="7"/>
    </row>
    <row r="441" spans="1:30" ht="15.6" x14ac:dyDescent="0.3">
      <c r="A441" s="4">
        <v>722</v>
      </c>
      <c r="B441" s="5" t="s">
        <v>3979</v>
      </c>
      <c r="C441" s="6" t="s">
        <v>85</v>
      </c>
      <c r="D441" s="5" t="s">
        <v>3980</v>
      </c>
      <c r="E441" s="5" t="s">
        <v>48</v>
      </c>
      <c r="F441" s="6" t="s">
        <v>3981</v>
      </c>
      <c r="G441" s="6" t="s">
        <v>3982</v>
      </c>
      <c r="H441" s="8">
        <v>0</v>
      </c>
      <c r="I441" s="8">
        <v>-0.97</v>
      </c>
      <c r="J441" s="6" t="s">
        <v>36</v>
      </c>
      <c r="K441" s="6" t="s">
        <v>3983</v>
      </c>
      <c r="L441" s="8">
        <v>-0.18</v>
      </c>
      <c r="M441" s="6" t="s">
        <v>3984</v>
      </c>
      <c r="N441" s="8">
        <v>-0.18</v>
      </c>
      <c r="O441" s="6" t="s">
        <v>3985</v>
      </c>
      <c r="P441" s="11">
        <v>45893</v>
      </c>
      <c r="Q441" s="6" t="s">
        <v>217</v>
      </c>
      <c r="R441" s="6">
        <v>434</v>
      </c>
      <c r="S441" s="6">
        <v>11</v>
      </c>
      <c r="T441" s="6">
        <v>434</v>
      </c>
      <c r="U441" s="8">
        <v>-0.12</v>
      </c>
      <c r="V441" s="6"/>
      <c r="W441" s="6"/>
      <c r="X441" s="6"/>
      <c r="Y441" s="6"/>
      <c r="Z441" s="6"/>
      <c r="AA441" s="6"/>
      <c r="AB441" s="6"/>
      <c r="AC441" s="6"/>
      <c r="AD441" s="7"/>
    </row>
    <row r="442" spans="1:30" ht="15.6" x14ac:dyDescent="0.3">
      <c r="A442" s="4">
        <v>723</v>
      </c>
      <c r="B442" s="5" t="s">
        <v>3986</v>
      </c>
      <c r="C442" s="6" t="s">
        <v>267</v>
      </c>
      <c r="D442" s="5" t="s">
        <v>3987</v>
      </c>
      <c r="E442" s="5" t="s">
        <v>48</v>
      </c>
      <c r="F442" s="6" t="s">
        <v>3988</v>
      </c>
      <c r="G442" s="6" t="s">
        <v>3989</v>
      </c>
      <c r="H442" s="8">
        <v>0</v>
      </c>
      <c r="I442" s="6" t="s">
        <v>3990</v>
      </c>
      <c r="J442" s="6" t="s">
        <v>1443</v>
      </c>
      <c r="K442" s="6" t="s">
        <v>3991</v>
      </c>
      <c r="L442" s="6" t="s">
        <v>217</v>
      </c>
      <c r="M442" s="6" t="s">
        <v>2433</v>
      </c>
      <c r="N442" s="8">
        <v>-0.1</v>
      </c>
      <c r="O442" s="6" t="s">
        <v>3992</v>
      </c>
      <c r="P442" s="6" t="s">
        <v>217</v>
      </c>
      <c r="Q442" s="6" t="s">
        <v>217</v>
      </c>
      <c r="R442" s="6">
        <v>243</v>
      </c>
      <c r="S442" s="6">
        <v>3</v>
      </c>
      <c r="T442" s="6">
        <v>228</v>
      </c>
      <c r="U442" s="6" t="s">
        <v>217</v>
      </c>
      <c r="V442" s="6"/>
      <c r="W442" s="6"/>
      <c r="X442" s="6"/>
      <c r="Y442" s="6"/>
      <c r="Z442" s="6"/>
      <c r="AA442" s="6"/>
      <c r="AB442" s="6"/>
      <c r="AC442" s="6"/>
      <c r="AD442" s="7"/>
    </row>
    <row r="443" spans="1:30" ht="15.6" x14ac:dyDescent="0.3">
      <c r="A443" s="4">
        <v>724</v>
      </c>
      <c r="B443" s="5" t="s">
        <v>3993</v>
      </c>
      <c r="C443" s="6" t="s">
        <v>102</v>
      </c>
      <c r="D443" s="5" t="s">
        <v>3994</v>
      </c>
      <c r="E443" s="5" t="s">
        <v>48</v>
      </c>
      <c r="F443" s="6" t="s">
        <v>3995</v>
      </c>
      <c r="G443" s="6" t="s">
        <v>3996</v>
      </c>
      <c r="H443" s="8">
        <v>0</v>
      </c>
      <c r="I443" s="6" t="s">
        <v>3997</v>
      </c>
      <c r="J443" s="6" t="s">
        <v>647</v>
      </c>
      <c r="K443" s="6" t="s">
        <v>2210</v>
      </c>
      <c r="L443" s="8">
        <v>-0.15</v>
      </c>
      <c r="M443" s="6" t="s">
        <v>3998</v>
      </c>
      <c r="N443" s="8">
        <v>-0.15</v>
      </c>
      <c r="O443" s="6" t="s">
        <v>3999</v>
      </c>
      <c r="P443" s="6" t="s">
        <v>217</v>
      </c>
      <c r="Q443" s="6" t="s">
        <v>217</v>
      </c>
      <c r="R443" s="6">
        <v>118</v>
      </c>
      <c r="S443" s="6">
        <v>7</v>
      </c>
      <c r="T443" s="6">
        <v>236</v>
      </c>
      <c r="U443" s="6" t="s">
        <v>217</v>
      </c>
      <c r="V443" s="6"/>
      <c r="W443" s="6"/>
      <c r="X443" s="6"/>
      <c r="Y443" s="6"/>
      <c r="Z443" s="6"/>
      <c r="AA443" s="6"/>
      <c r="AB443" s="6"/>
      <c r="AC443" s="6"/>
      <c r="AD443" s="7"/>
    </row>
    <row r="444" spans="1:30" ht="15.6" x14ac:dyDescent="0.3">
      <c r="A444" s="4">
        <v>725</v>
      </c>
      <c r="B444" s="5" t="s">
        <v>4000</v>
      </c>
      <c r="C444" s="6" t="s">
        <v>114</v>
      </c>
      <c r="D444" s="5" t="s">
        <v>4001</v>
      </c>
      <c r="E444" s="5" t="s">
        <v>48</v>
      </c>
      <c r="F444" s="6" t="s">
        <v>4002</v>
      </c>
      <c r="G444" s="6" t="s">
        <v>4003</v>
      </c>
      <c r="H444" s="8">
        <v>0</v>
      </c>
      <c r="I444" s="6" t="s">
        <v>708</v>
      </c>
      <c r="J444" s="6" t="s">
        <v>1048</v>
      </c>
      <c r="K444" s="6" t="s">
        <v>4004</v>
      </c>
      <c r="L444" s="6" t="s">
        <v>217</v>
      </c>
      <c r="M444" s="6" t="s">
        <v>4005</v>
      </c>
      <c r="N444" s="8">
        <v>-0.12</v>
      </c>
      <c r="O444" s="6" t="s">
        <v>3793</v>
      </c>
      <c r="P444" s="6" t="s">
        <v>217</v>
      </c>
      <c r="Q444" s="6" t="s">
        <v>217</v>
      </c>
      <c r="R444" s="6">
        <v>11</v>
      </c>
      <c r="S444" s="6">
        <v>0</v>
      </c>
      <c r="T444" s="6">
        <v>61</v>
      </c>
      <c r="U444" s="6" t="s">
        <v>217</v>
      </c>
      <c r="V444" s="6"/>
      <c r="W444" s="6"/>
      <c r="X444" s="6"/>
      <c r="Y444" s="6"/>
      <c r="Z444" s="6"/>
      <c r="AA444" s="6"/>
      <c r="AB444" s="6"/>
      <c r="AC444" s="6"/>
      <c r="AD444" s="7"/>
    </row>
    <row r="445" spans="1:30" ht="15.6" x14ac:dyDescent="0.3">
      <c r="A445" s="4">
        <v>726</v>
      </c>
      <c r="B445" s="5" t="s">
        <v>4006</v>
      </c>
      <c r="C445" s="6" t="s">
        <v>102</v>
      </c>
      <c r="D445" s="5" t="s">
        <v>4007</v>
      </c>
      <c r="E445" s="5" t="s">
        <v>48</v>
      </c>
      <c r="F445" s="6" t="s">
        <v>4008</v>
      </c>
      <c r="G445" s="6" t="s">
        <v>4009</v>
      </c>
      <c r="H445" s="8">
        <v>0</v>
      </c>
      <c r="I445" s="6" t="s">
        <v>4010</v>
      </c>
      <c r="J445" s="6" t="s">
        <v>647</v>
      </c>
      <c r="K445" s="6" t="s">
        <v>4011</v>
      </c>
      <c r="L445" s="6" t="s">
        <v>3386</v>
      </c>
      <c r="M445" s="6" t="s">
        <v>4012</v>
      </c>
      <c r="N445" s="6" t="s">
        <v>3386</v>
      </c>
      <c r="O445" s="6" t="s">
        <v>4013</v>
      </c>
      <c r="P445" s="6" t="s">
        <v>4014</v>
      </c>
      <c r="Q445" s="6" t="s">
        <v>217</v>
      </c>
      <c r="R445" s="6">
        <v>703</v>
      </c>
      <c r="S445" s="6">
        <v>3</v>
      </c>
      <c r="T445" s="6" t="s">
        <v>2691</v>
      </c>
      <c r="U445" s="6">
        <f>3.6%</f>
        <v>3.6000000000000004E-2</v>
      </c>
      <c r="V445" s="6"/>
      <c r="W445" s="6"/>
      <c r="X445" s="6"/>
      <c r="Y445" s="6"/>
      <c r="Z445" s="6"/>
      <c r="AA445" s="6"/>
      <c r="AB445" s="6"/>
      <c r="AC445" s="6"/>
      <c r="AD445" s="7"/>
    </row>
    <row r="446" spans="1:30" ht="15.6" x14ac:dyDescent="0.3">
      <c r="A446" s="4">
        <v>727</v>
      </c>
      <c r="B446" s="5" t="s">
        <v>4015</v>
      </c>
      <c r="C446" s="6" t="s">
        <v>72</v>
      </c>
      <c r="D446" s="5" t="s">
        <v>4016</v>
      </c>
      <c r="E446" s="5" t="s">
        <v>48</v>
      </c>
      <c r="F446" s="6" t="s">
        <v>4017</v>
      </c>
      <c r="G446" s="6" t="s">
        <v>4018</v>
      </c>
      <c r="H446" s="8">
        <v>0</v>
      </c>
      <c r="I446" s="6" t="s">
        <v>3016</v>
      </c>
      <c r="J446" s="6" t="s">
        <v>846</v>
      </c>
      <c r="K446" s="6" t="s">
        <v>4019</v>
      </c>
      <c r="L446" s="8">
        <v>-0.22</v>
      </c>
      <c r="M446" s="6" t="s">
        <v>4020</v>
      </c>
      <c r="N446" s="8">
        <v>-0.22</v>
      </c>
      <c r="O446" s="6" t="s">
        <v>3749</v>
      </c>
      <c r="P446" s="6" t="s">
        <v>217</v>
      </c>
      <c r="Q446" s="6" t="s">
        <v>217</v>
      </c>
      <c r="R446" s="6">
        <v>103</v>
      </c>
      <c r="S446" s="6">
        <v>0</v>
      </c>
      <c r="T446" s="6">
        <v>284</v>
      </c>
      <c r="U446" s="6" t="s">
        <v>217</v>
      </c>
      <c r="V446" s="6"/>
      <c r="W446" s="6"/>
      <c r="X446" s="6"/>
      <c r="Y446" s="6"/>
      <c r="Z446" s="6"/>
      <c r="AA446" s="6"/>
      <c r="AB446" s="6"/>
      <c r="AC446" s="6"/>
      <c r="AD446" s="7"/>
    </row>
    <row r="447" spans="1:30" ht="15.6" x14ac:dyDescent="0.3">
      <c r="A447" s="4">
        <v>728</v>
      </c>
      <c r="B447" s="5" t="s">
        <v>4021</v>
      </c>
      <c r="C447" s="6" t="s">
        <v>219</v>
      </c>
      <c r="D447" s="5" t="s">
        <v>4022</v>
      </c>
      <c r="E447" s="5" t="s">
        <v>48</v>
      </c>
      <c r="F447" s="6" t="s">
        <v>4023</v>
      </c>
      <c r="G447" s="6" t="s">
        <v>4024</v>
      </c>
      <c r="H447" s="8">
        <v>0</v>
      </c>
      <c r="I447" s="8">
        <v>-0.79</v>
      </c>
      <c r="J447" s="6" t="s">
        <v>177</v>
      </c>
      <c r="K447" s="6" t="s">
        <v>4025</v>
      </c>
      <c r="L447" s="6" t="s">
        <v>1975</v>
      </c>
      <c r="M447" s="6" t="s">
        <v>4026</v>
      </c>
      <c r="N447" s="6" t="s">
        <v>1975</v>
      </c>
      <c r="O447" s="6" t="s">
        <v>4027</v>
      </c>
      <c r="P447" s="6" t="s">
        <v>4028</v>
      </c>
      <c r="Q447" s="6" t="s">
        <v>217</v>
      </c>
      <c r="R447" s="6" t="s">
        <v>4029</v>
      </c>
      <c r="S447" s="6">
        <v>11</v>
      </c>
      <c r="T447" s="6" t="s">
        <v>4030</v>
      </c>
      <c r="U447" s="8">
        <v>-0.22</v>
      </c>
      <c r="V447" s="6"/>
      <c r="W447" s="6"/>
      <c r="X447" s="6"/>
      <c r="Y447" s="6"/>
      <c r="Z447" s="6"/>
      <c r="AA447" s="6"/>
      <c r="AB447" s="6"/>
      <c r="AC447" s="6"/>
      <c r="AD447" s="7"/>
    </row>
    <row r="448" spans="1:30" ht="15.6" x14ac:dyDescent="0.3">
      <c r="A448" s="4">
        <v>730</v>
      </c>
      <c r="B448" s="5" t="s">
        <v>4031</v>
      </c>
      <c r="C448" s="6" t="s">
        <v>72</v>
      </c>
      <c r="D448" s="5" t="s">
        <v>4032</v>
      </c>
      <c r="E448" s="5" t="s">
        <v>48</v>
      </c>
      <c r="F448" s="6" t="s">
        <v>4033</v>
      </c>
      <c r="G448" s="6" t="s">
        <v>4034</v>
      </c>
      <c r="H448" s="8">
        <v>0</v>
      </c>
      <c r="I448" s="6" t="s">
        <v>505</v>
      </c>
      <c r="J448" s="6" t="s">
        <v>397</v>
      </c>
      <c r="K448" s="6" t="s">
        <v>4035</v>
      </c>
      <c r="L448" s="8">
        <v>-0.21</v>
      </c>
      <c r="M448" s="6" t="s">
        <v>2140</v>
      </c>
      <c r="N448" s="8">
        <v>-0.21</v>
      </c>
      <c r="O448" s="6" t="s">
        <v>4036</v>
      </c>
      <c r="P448" s="6" t="s">
        <v>217</v>
      </c>
      <c r="Q448" s="6" t="s">
        <v>217</v>
      </c>
      <c r="R448" s="6">
        <v>396</v>
      </c>
      <c r="S448" s="6">
        <v>9</v>
      </c>
      <c r="T448" s="6">
        <v>359</v>
      </c>
      <c r="U448" s="6" t="s">
        <v>217</v>
      </c>
      <c r="V448" s="6"/>
      <c r="W448" s="6"/>
      <c r="X448" s="6"/>
      <c r="Y448" s="6"/>
      <c r="Z448" s="6"/>
      <c r="AA448" s="6"/>
      <c r="AB448" s="6"/>
      <c r="AC448" s="6"/>
      <c r="AD448" s="7"/>
    </row>
    <row r="449" spans="1:30" ht="15.6" x14ac:dyDescent="0.3">
      <c r="A449" s="4">
        <v>731</v>
      </c>
      <c r="B449" s="5" t="s">
        <v>4037</v>
      </c>
      <c r="C449" s="6" t="s">
        <v>46</v>
      </c>
      <c r="D449" s="5" t="s">
        <v>4038</v>
      </c>
      <c r="E449" s="5" t="s">
        <v>48</v>
      </c>
      <c r="F449" s="6" t="s">
        <v>4039</v>
      </c>
      <c r="G449" s="6" t="s">
        <v>4040</v>
      </c>
      <c r="H449" s="8">
        <v>0</v>
      </c>
      <c r="I449" s="6" t="s">
        <v>4041</v>
      </c>
      <c r="J449" s="6" t="s">
        <v>141</v>
      </c>
      <c r="K449" s="6" t="s">
        <v>4042</v>
      </c>
      <c r="L449" s="6" t="s">
        <v>217</v>
      </c>
      <c r="M449" s="6" t="s">
        <v>4043</v>
      </c>
      <c r="N449" s="8">
        <v>-0.16</v>
      </c>
      <c r="O449" s="6" t="s">
        <v>3771</v>
      </c>
      <c r="P449" s="6" t="s">
        <v>4044</v>
      </c>
      <c r="Q449" s="6" t="s">
        <v>217</v>
      </c>
      <c r="R449" s="6">
        <v>9</v>
      </c>
      <c r="S449" s="6">
        <v>0</v>
      </c>
      <c r="T449" s="6">
        <v>19</v>
      </c>
      <c r="U449" s="6" t="e">
        <f>+∞%</f>
        <v>#NAME?</v>
      </c>
      <c r="V449" s="6"/>
      <c r="W449" s="6"/>
      <c r="X449" s="6"/>
      <c r="Y449" s="6"/>
      <c r="Z449" s="6"/>
      <c r="AA449" s="6"/>
      <c r="AB449" s="6"/>
      <c r="AC449" s="6"/>
      <c r="AD449" s="7"/>
    </row>
    <row r="450" spans="1:30" ht="15.6" x14ac:dyDescent="0.3">
      <c r="A450" s="4">
        <v>732</v>
      </c>
      <c r="B450" s="5" t="s">
        <v>4045</v>
      </c>
      <c r="C450" s="6" t="s">
        <v>126</v>
      </c>
      <c r="D450" s="5" t="s">
        <v>4046</v>
      </c>
      <c r="E450" s="5" t="s">
        <v>48</v>
      </c>
      <c r="F450" s="6" t="s">
        <v>4047</v>
      </c>
      <c r="G450" s="6" t="s">
        <v>4048</v>
      </c>
      <c r="H450" s="8">
        <v>0</v>
      </c>
      <c r="I450" s="8">
        <v>-1</v>
      </c>
      <c r="J450" s="6" t="s">
        <v>846</v>
      </c>
      <c r="K450" s="6" t="s">
        <v>4049</v>
      </c>
      <c r="L450" s="6" t="s">
        <v>217</v>
      </c>
      <c r="M450" s="6" t="s">
        <v>3605</v>
      </c>
      <c r="N450" s="8">
        <v>-0.12</v>
      </c>
      <c r="O450" s="6" t="s">
        <v>4050</v>
      </c>
      <c r="P450" s="6" t="s">
        <v>4051</v>
      </c>
      <c r="Q450" s="6" t="s">
        <v>217</v>
      </c>
      <c r="R450" s="6">
        <v>23</v>
      </c>
      <c r="S450" s="6">
        <v>0</v>
      </c>
      <c r="T450" s="6">
        <v>41</v>
      </c>
      <c r="U450" s="6">
        <f>2.5%</f>
        <v>2.5000000000000001E-2</v>
      </c>
      <c r="V450" s="6"/>
      <c r="W450" s="6"/>
      <c r="X450" s="6"/>
      <c r="Y450" s="6"/>
      <c r="Z450" s="6"/>
      <c r="AA450" s="6"/>
      <c r="AB450" s="6"/>
      <c r="AC450" s="6"/>
      <c r="AD450" s="7"/>
    </row>
    <row r="451" spans="1:30" ht="15.6" x14ac:dyDescent="0.3">
      <c r="A451" s="4">
        <v>733</v>
      </c>
      <c r="B451" s="5" t="s">
        <v>4052</v>
      </c>
      <c r="C451" s="6" t="s">
        <v>60</v>
      </c>
      <c r="D451" s="5" t="s">
        <v>4053</v>
      </c>
      <c r="E451" s="5" t="s">
        <v>48</v>
      </c>
      <c r="F451" s="6" t="s">
        <v>4054</v>
      </c>
      <c r="G451" s="6" t="s">
        <v>4055</v>
      </c>
      <c r="H451" s="8">
        <v>0</v>
      </c>
      <c r="I451" s="8">
        <v>-0.98</v>
      </c>
      <c r="J451" s="6" t="s">
        <v>118</v>
      </c>
      <c r="K451" s="6" t="s">
        <v>4056</v>
      </c>
      <c r="L451" s="8">
        <v>-0.19</v>
      </c>
      <c r="M451" s="6" t="s">
        <v>4057</v>
      </c>
      <c r="N451" s="8">
        <v>-0.19</v>
      </c>
      <c r="O451" s="6" t="s">
        <v>3998</v>
      </c>
      <c r="P451" s="6" t="s">
        <v>4058</v>
      </c>
      <c r="Q451" s="6" t="s">
        <v>217</v>
      </c>
      <c r="R451" s="6" t="s">
        <v>4059</v>
      </c>
      <c r="S451" s="6">
        <v>7</v>
      </c>
      <c r="T451" s="6">
        <v>336</v>
      </c>
      <c r="U451" s="8">
        <v>-0.45</v>
      </c>
      <c r="V451" s="6"/>
      <c r="W451" s="6"/>
      <c r="X451" s="6"/>
      <c r="Y451" s="6"/>
      <c r="Z451" s="6"/>
      <c r="AA451" s="6"/>
      <c r="AB451" s="6"/>
      <c r="AC451" s="6"/>
      <c r="AD451" s="7"/>
    </row>
    <row r="452" spans="1:30" ht="15.6" x14ac:dyDescent="0.3">
      <c r="A452" s="4">
        <v>735</v>
      </c>
      <c r="B452" s="5" t="s">
        <v>4060</v>
      </c>
      <c r="C452" s="6" t="s">
        <v>72</v>
      </c>
      <c r="D452" s="5" t="s">
        <v>4061</v>
      </c>
      <c r="E452" s="5" t="s">
        <v>48</v>
      </c>
      <c r="F452" s="6" t="s">
        <v>4062</v>
      </c>
      <c r="G452" s="6" t="s">
        <v>4063</v>
      </c>
      <c r="H452" s="8">
        <v>0</v>
      </c>
      <c r="I452" s="6"/>
      <c r="J452" s="6" t="s">
        <v>272</v>
      </c>
      <c r="K452" s="6" t="s">
        <v>4064</v>
      </c>
      <c r="L452" s="6">
        <f>42%</f>
        <v>0.42</v>
      </c>
      <c r="M452" s="6" t="s">
        <v>4065</v>
      </c>
      <c r="N452" s="6">
        <f>42%</f>
        <v>0.42</v>
      </c>
      <c r="O452" s="6" t="s">
        <v>3844</v>
      </c>
      <c r="P452" s="6" t="s">
        <v>4066</v>
      </c>
      <c r="Q452" s="6" t="s">
        <v>217</v>
      </c>
      <c r="R452" s="6">
        <v>433</v>
      </c>
      <c r="S452" s="6">
        <v>9</v>
      </c>
      <c r="T452" s="6">
        <v>581</v>
      </c>
      <c r="U452" s="6" t="e">
        <f>+∞%</f>
        <v>#NAME?</v>
      </c>
      <c r="V452" s="6"/>
      <c r="W452" s="6"/>
      <c r="X452" s="6"/>
      <c r="Y452" s="6"/>
      <c r="Z452" s="6"/>
      <c r="AA452" s="6"/>
      <c r="AB452" s="6"/>
      <c r="AC452" s="6"/>
      <c r="AD452" s="7"/>
    </row>
    <row r="453" spans="1:30" ht="15.6" x14ac:dyDescent="0.3">
      <c r="A453" s="4">
        <v>736</v>
      </c>
      <c r="B453" s="5" t="s">
        <v>4067</v>
      </c>
      <c r="C453" s="6" t="s">
        <v>72</v>
      </c>
      <c r="D453" s="5" t="s">
        <v>4068</v>
      </c>
      <c r="E453" s="5" t="s">
        <v>48</v>
      </c>
      <c r="F453" s="6" t="s">
        <v>4069</v>
      </c>
      <c r="G453" s="6" t="s">
        <v>4070</v>
      </c>
      <c r="H453" s="8">
        <v>0</v>
      </c>
      <c r="I453" s="8">
        <v>-0.99</v>
      </c>
      <c r="J453" s="6" t="s">
        <v>758</v>
      </c>
      <c r="K453" s="6" t="s">
        <v>4071</v>
      </c>
      <c r="L453" s="8">
        <v>-0.43</v>
      </c>
      <c r="M453" s="6" t="s">
        <v>4072</v>
      </c>
      <c r="N453" s="8">
        <v>-0.43</v>
      </c>
      <c r="O453" s="6" t="s">
        <v>4073</v>
      </c>
      <c r="P453" s="6" t="s">
        <v>4074</v>
      </c>
      <c r="Q453" s="6" t="s">
        <v>217</v>
      </c>
      <c r="R453" s="6">
        <v>208</v>
      </c>
      <c r="S453" s="6">
        <v>4</v>
      </c>
      <c r="T453" s="6">
        <v>458</v>
      </c>
      <c r="U453" s="6" t="s">
        <v>9262</v>
      </c>
      <c r="V453" s="6"/>
      <c r="W453" s="6"/>
      <c r="X453" s="6"/>
      <c r="Y453" s="6"/>
      <c r="Z453" s="6"/>
      <c r="AA453" s="6"/>
      <c r="AB453" s="6"/>
      <c r="AC453" s="6"/>
      <c r="AD453" s="7"/>
    </row>
    <row r="454" spans="1:30" ht="15.6" x14ac:dyDescent="0.3">
      <c r="A454" s="4">
        <v>737</v>
      </c>
      <c r="B454" s="5" t="s">
        <v>4075</v>
      </c>
      <c r="C454" s="6" t="s">
        <v>4076</v>
      </c>
      <c r="D454" s="5" t="s">
        <v>4077</v>
      </c>
      <c r="E454" s="5" t="s">
        <v>48</v>
      </c>
      <c r="F454" s="6" t="s">
        <v>4078</v>
      </c>
      <c r="G454" s="6" t="s">
        <v>4079</v>
      </c>
      <c r="H454" s="8">
        <v>0</v>
      </c>
      <c r="I454" s="8">
        <v>-0.49</v>
      </c>
      <c r="J454" s="6" t="s">
        <v>189</v>
      </c>
      <c r="K454" s="6" t="s">
        <v>4080</v>
      </c>
      <c r="L454" s="6">
        <f>68%</f>
        <v>0.68</v>
      </c>
      <c r="M454" s="6" t="s">
        <v>4081</v>
      </c>
      <c r="N454" s="6">
        <f>68%</f>
        <v>0.68</v>
      </c>
      <c r="O454" s="6" t="s">
        <v>4082</v>
      </c>
      <c r="P454" s="6" t="s">
        <v>4083</v>
      </c>
      <c r="Q454" s="6" t="s">
        <v>217</v>
      </c>
      <c r="R454" s="6">
        <v>72</v>
      </c>
      <c r="S454" s="6">
        <v>7</v>
      </c>
      <c r="T454" s="6">
        <v>386</v>
      </c>
      <c r="U454" s="6">
        <f>2.1%</f>
        <v>2.1000000000000001E-2</v>
      </c>
      <c r="V454" s="6"/>
      <c r="W454" s="6"/>
      <c r="X454" s="6"/>
      <c r="Y454" s="6"/>
      <c r="Z454" s="6"/>
      <c r="AA454" s="6"/>
      <c r="AB454" s="6"/>
      <c r="AC454" s="6"/>
      <c r="AD454" s="7"/>
    </row>
    <row r="455" spans="1:30" ht="15.6" x14ac:dyDescent="0.3">
      <c r="A455" s="4">
        <v>738</v>
      </c>
      <c r="B455" s="5" t="s">
        <v>4084</v>
      </c>
      <c r="C455" s="6" t="s">
        <v>126</v>
      </c>
      <c r="D455" s="5" t="s">
        <v>4085</v>
      </c>
      <c r="E455" s="5" t="s">
        <v>48</v>
      </c>
      <c r="F455" s="6" t="s">
        <v>4086</v>
      </c>
      <c r="G455" s="6" t="s">
        <v>4087</v>
      </c>
      <c r="H455" s="8">
        <v>0</v>
      </c>
      <c r="I455" s="6" t="s">
        <v>2391</v>
      </c>
      <c r="J455" s="6" t="s">
        <v>1059</v>
      </c>
      <c r="K455" s="6" t="s">
        <v>4088</v>
      </c>
      <c r="L455" s="6" t="s">
        <v>217</v>
      </c>
      <c r="M455" s="6" t="s">
        <v>4089</v>
      </c>
      <c r="N455" s="8">
        <v>-0.1</v>
      </c>
      <c r="O455" s="6" t="s">
        <v>4090</v>
      </c>
      <c r="P455" s="6" t="s">
        <v>217</v>
      </c>
      <c r="Q455" s="6" t="s">
        <v>217</v>
      </c>
      <c r="R455" s="6">
        <v>41</v>
      </c>
      <c r="S455" s="6">
        <v>1</v>
      </c>
      <c r="T455" s="6">
        <v>116</v>
      </c>
      <c r="U455" s="6" t="s">
        <v>217</v>
      </c>
      <c r="V455" s="6"/>
      <c r="W455" s="6"/>
      <c r="X455" s="6"/>
      <c r="Y455" s="6"/>
      <c r="Z455" s="6"/>
      <c r="AA455" s="6"/>
      <c r="AB455" s="6"/>
      <c r="AC455" s="6"/>
      <c r="AD455" s="7"/>
    </row>
    <row r="456" spans="1:30" ht="15.6" x14ac:dyDescent="0.3">
      <c r="A456" s="4">
        <v>740</v>
      </c>
      <c r="B456" s="5" t="s">
        <v>4091</v>
      </c>
      <c r="C456" s="6" t="s">
        <v>85</v>
      </c>
      <c r="D456" s="5" t="s">
        <v>4092</v>
      </c>
      <c r="E456" s="5" t="s">
        <v>48</v>
      </c>
      <c r="F456" s="6" t="s">
        <v>4093</v>
      </c>
      <c r="G456" s="6" t="s">
        <v>4094</v>
      </c>
      <c r="H456" s="8">
        <v>0</v>
      </c>
      <c r="I456" s="6" t="s">
        <v>505</v>
      </c>
      <c r="J456" s="6" t="s">
        <v>118</v>
      </c>
      <c r="K456" s="6" t="s">
        <v>3754</v>
      </c>
      <c r="L456" s="6" t="s">
        <v>3769</v>
      </c>
      <c r="M456" s="6" t="s">
        <v>4095</v>
      </c>
      <c r="N456" s="6" t="s">
        <v>4096</v>
      </c>
      <c r="O456" s="6" t="s">
        <v>4097</v>
      </c>
      <c r="P456" s="6" t="s">
        <v>217</v>
      </c>
      <c r="Q456" s="6" t="s">
        <v>217</v>
      </c>
      <c r="R456" s="6">
        <v>112</v>
      </c>
      <c r="S456" s="6">
        <v>1</v>
      </c>
      <c r="T456" s="6">
        <v>439</v>
      </c>
      <c r="U456" s="6" t="s">
        <v>217</v>
      </c>
      <c r="V456" s="6"/>
      <c r="W456" s="6"/>
      <c r="X456" s="6"/>
      <c r="Y456" s="6"/>
      <c r="Z456" s="6"/>
      <c r="AA456" s="6"/>
      <c r="AB456" s="6"/>
      <c r="AC456" s="6"/>
      <c r="AD456" s="7"/>
    </row>
    <row r="457" spans="1:30" ht="15.6" x14ac:dyDescent="0.3">
      <c r="A457" s="4">
        <v>741</v>
      </c>
      <c r="B457" s="5" t="s">
        <v>4098</v>
      </c>
      <c r="C457" s="6" t="s">
        <v>31</v>
      </c>
      <c r="D457" s="5" t="s">
        <v>4099</v>
      </c>
      <c r="E457" s="5" t="s">
        <v>48</v>
      </c>
      <c r="F457" s="6" t="s">
        <v>4100</v>
      </c>
      <c r="G457" s="6" t="s">
        <v>4101</v>
      </c>
      <c r="H457" s="8">
        <v>0</v>
      </c>
      <c r="I457" s="6" t="s">
        <v>1628</v>
      </c>
      <c r="J457" s="6" t="s">
        <v>385</v>
      </c>
      <c r="K457" s="6" t="s">
        <v>4102</v>
      </c>
      <c r="L457" s="8">
        <v>-0.19</v>
      </c>
      <c r="M457" s="6" t="s">
        <v>4103</v>
      </c>
      <c r="N457" s="8">
        <v>-0.19</v>
      </c>
      <c r="O457" s="6" t="s">
        <v>4104</v>
      </c>
      <c r="P457" s="6" t="s">
        <v>217</v>
      </c>
      <c r="Q457" s="6" t="s">
        <v>217</v>
      </c>
      <c r="R457" s="6">
        <v>118</v>
      </c>
      <c r="S457" s="6">
        <v>2</v>
      </c>
      <c r="T457" s="6">
        <v>280</v>
      </c>
      <c r="U457" s="6" t="s">
        <v>217</v>
      </c>
      <c r="V457" s="6"/>
      <c r="W457" s="6"/>
      <c r="X457" s="6"/>
      <c r="Y457" s="6"/>
      <c r="Z457" s="6"/>
      <c r="AA457" s="6"/>
      <c r="AB457" s="6"/>
      <c r="AC457" s="6"/>
      <c r="AD457" s="7"/>
    </row>
    <row r="458" spans="1:30" ht="15.6" x14ac:dyDescent="0.3">
      <c r="A458" s="4">
        <v>742</v>
      </c>
      <c r="B458" s="5" t="s">
        <v>4105</v>
      </c>
      <c r="C458" s="6" t="s">
        <v>219</v>
      </c>
      <c r="D458" s="5" t="s">
        <v>4106</v>
      </c>
      <c r="E458" s="5" t="s">
        <v>48</v>
      </c>
      <c r="F458" s="6" t="s">
        <v>4107</v>
      </c>
      <c r="G458" s="6" t="s">
        <v>4108</v>
      </c>
      <c r="H458" s="8">
        <v>0</v>
      </c>
      <c r="I458" s="6" t="s">
        <v>3875</v>
      </c>
      <c r="J458" s="6" t="s">
        <v>454</v>
      </c>
      <c r="K458" s="6" t="s">
        <v>4109</v>
      </c>
      <c r="L458" s="6" t="s">
        <v>217</v>
      </c>
      <c r="M458" s="6" t="s">
        <v>4110</v>
      </c>
      <c r="N458" s="8">
        <v>-0.06</v>
      </c>
      <c r="O458" s="6" t="s">
        <v>4111</v>
      </c>
      <c r="P458" s="6" t="s">
        <v>217</v>
      </c>
      <c r="Q458" s="6" t="s">
        <v>217</v>
      </c>
      <c r="R458" s="6">
        <v>71</v>
      </c>
      <c r="S458" s="6">
        <v>1</v>
      </c>
      <c r="T458" s="6">
        <v>80</v>
      </c>
      <c r="U458" s="6" t="s">
        <v>217</v>
      </c>
      <c r="V458" s="6"/>
      <c r="W458" s="6"/>
      <c r="X458" s="6"/>
      <c r="Y458" s="6"/>
      <c r="Z458" s="6"/>
      <c r="AA458" s="6"/>
      <c r="AB458" s="6"/>
      <c r="AC458" s="6"/>
      <c r="AD458" s="7"/>
    </row>
    <row r="459" spans="1:30" ht="15.6" x14ac:dyDescent="0.3">
      <c r="A459" s="4">
        <v>743</v>
      </c>
      <c r="B459" s="5" t="s">
        <v>4112</v>
      </c>
      <c r="C459" s="6" t="s">
        <v>85</v>
      </c>
      <c r="D459" s="5" t="s">
        <v>4113</v>
      </c>
      <c r="E459" s="5" t="s">
        <v>48</v>
      </c>
      <c r="F459" s="6" t="s">
        <v>4114</v>
      </c>
      <c r="G459" s="6" t="s">
        <v>4115</v>
      </c>
      <c r="H459" s="8">
        <v>0</v>
      </c>
      <c r="I459" s="6" t="s">
        <v>1818</v>
      </c>
      <c r="J459" s="6" t="s">
        <v>1912</v>
      </c>
      <c r="K459" s="6" t="s">
        <v>3866</v>
      </c>
      <c r="L459" s="6" t="s">
        <v>217</v>
      </c>
      <c r="M459" s="6" t="s">
        <v>4116</v>
      </c>
      <c r="N459" s="6" t="s">
        <v>3875</v>
      </c>
      <c r="O459" s="6" t="s">
        <v>2443</v>
      </c>
      <c r="P459" s="6" t="s">
        <v>4117</v>
      </c>
      <c r="Q459" s="6" t="s">
        <v>217</v>
      </c>
      <c r="R459" s="6">
        <v>48</v>
      </c>
      <c r="S459" s="6">
        <v>0</v>
      </c>
      <c r="T459" s="6">
        <v>393</v>
      </c>
      <c r="U459" s="6">
        <f>390%</f>
        <v>3.9</v>
      </c>
      <c r="V459" s="6"/>
      <c r="W459" s="6"/>
      <c r="X459" s="6"/>
      <c r="Y459" s="6"/>
      <c r="Z459" s="6"/>
      <c r="AA459" s="6"/>
      <c r="AB459" s="6"/>
      <c r="AC459" s="6"/>
      <c r="AD459" s="7"/>
    </row>
    <row r="460" spans="1:30" ht="15.6" x14ac:dyDescent="0.3">
      <c r="A460" s="4">
        <v>744</v>
      </c>
      <c r="B460" s="5" t="s">
        <v>4118</v>
      </c>
      <c r="C460" s="6" t="s">
        <v>60</v>
      </c>
      <c r="D460" s="5" t="s">
        <v>4119</v>
      </c>
      <c r="E460" s="5" t="s">
        <v>48</v>
      </c>
      <c r="F460" s="6" t="s">
        <v>4120</v>
      </c>
      <c r="G460" s="6" t="s">
        <v>4121</v>
      </c>
      <c r="H460" s="8">
        <v>0</v>
      </c>
      <c r="I460" s="8">
        <v>-0.46</v>
      </c>
      <c r="J460" s="6" t="s">
        <v>38</v>
      </c>
      <c r="K460" s="6" t="s">
        <v>4122</v>
      </c>
      <c r="L460" s="8">
        <v>-0.24</v>
      </c>
      <c r="M460" s="6" t="s">
        <v>4123</v>
      </c>
      <c r="N460" s="8">
        <v>-0.24</v>
      </c>
      <c r="O460" s="6" t="s">
        <v>4124</v>
      </c>
      <c r="P460" s="6" t="s">
        <v>4125</v>
      </c>
      <c r="Q460" s="6" t="s">
        <v>217</v>
      </c>
      <c r="R460" s="6">
        <v>19</v>
      </c>
      <c r="S460" s="6">
        <v>1</v>
      </c>
      <c r="T460" s="6">
        <v>343</v>
      </c>
      <c r="U460" s="6">
        <f>0.59%</f>
        <v>5.8999999999999999E-3</v>
      </c>
      <c r="V460" s="6"/>
      <c r="W460" s="6"/>
      <c r="X460" s="6"/>
      <c r="Y460" s="6"/>
      <c r="Z460" s="6"/>
      <c r="AA460" s="6"/>
      <c r="AB460" s="6"/>
      <c r="AC460" s="6"/>
      <c r="AD460" s="7"/>
    </row>
    <row r="461" spans="1:30" ht="15.6" x14ac:dyDescent="0.3">
      <c r="A461" s="4">
        <v>745</v>
      </c>
      <c r="B461" s="5" t="s">
        <v>4126</v>
      </c>
      <c r="C461" s="6" t="s">
        <v>126</v>
      </c>
      <c r="D461" s="5" t="s">
        <v>4127</v>
      </c>
      <c r="E461" s="5" t="s">
        <v>48</v>
      </c>
      <c r="F461" s="6" t="s">
        <v>4128</v>
      </c>
      <c r="G461" s="6" t="s">
        <v>4129</v>
      </c>
      <c r="H461" s="8">
        <v>0</v>
      </c>
      <c r="I461" s="8">
        <v>-0.36</v>
      </c>
      <c r="J461" s="6" t="s">
        <v>812</v>
      </c>
      <c r="K461" s="6" t="s">
        <v>4130</v>
      </c>
      <c r="L461" s="6" t="s">
        <v>217</v>
      </c>
      <c r="M461" s="6" t="s">
        <v>4131</v>
      </c>
      <c r="N461" s="6">
        <f>26%</f>
        <v>0.26</v>
      </c>
      <c r="O461" s="6" t="s">
        <v>4132</v>
      </c>
      <c r="P461" s="6" t="s">
        <v>4133</v>
      </c>
      <c r="Q461" s="6" t="s">
        <v>217</v>
      </c>
      <c r="R461" s="6" t="s">
        <v>4134</v>
      </c>
      <c r="S461" s="6">
        <v>422</v>
      </c>
      <c r="T461" s="6">
        <v>506</v>
      </c>
      <c r="U461" s="8">
        <v>-0.97</v>
      </c>
      <c r="V461" s="6"/>
      <c r="W461" s="6"/>
      <c r="X461" s="6"/>
      <c r="Y461" s="6"/>
      <c r="Z461" s="6"/>
      <c r="AA461" s="6"/>
      <c r="AB461" s="6"/>
      <c r="AC461" s="6"/>
      <c r="AD461" s="7"/>
    </row>
    <row r="462" spans="1:30" ht="15.6" x14ac:dyDescent="0.3">
      <c r="A462" s="4">
        <v>747</v>
      </c>
      <c r="B462" s="5" t="s">
        <v>4135</v>
      </c>
      <c r="C462" s="6" t="s">
        <v>1408</v>
      </c>
      <c r="D462" s="5" t="s">
        <v>4136</v>
      </c>
      <c r="E462" s="5" t="s">
        <v>48</v>
      </c>
      <c r="F462" s="6" t="s">
        <v>4137</v>
      </c>
      <c r="G462" s="6" t="s">
        <v>4138</v>
      </c>
      <c r="H462" s="8">
        <v>0</v>
      </c>
      <c r="I462" s="6" t="s">
        <v>51</v>
      </c>
      <c r="J462" s="6" t="s">
        <v>77</v>
      </c>
      <c r="K462" s="6" t="s">
        <v>4139</v>
      </c>
      <c r="L462" s="6" t="s">
        <v>217</v>
      </c>
      <c r="M462" s="6" t="s">
        <v>3580</v>
      </c>
      <c r="N462" s="8">
        <v>-0.15</v>
      </c>
      <c r="O462" s="6" t="s">
        <v>4090</v>
      </c>
      <c r="P462" s="6" t="s">
        <v>217</v>
      </c>
      <c r="Q462" s="6" t="s">
        <v>217</v>
      </c>
      <c r="R462" s="6">
        <v>102</v>
      </c>
      <c r="S462" s="6">
        <v>5</v>
      </c>
      <c r="T462" s="6">
        <v>132</v>
      </c>
      <c r="U462" s="6" t="s">
        <v>217</v>
      </c>
      <c r="V462" s="6"/>
      <c r="W462" s="6"/>
      <c r="X462" s="6"/>
      <c r="Y462" s="6"/>
      <c r="Z462" s="6"/>
      <c r="AA462" s="6"/>
      <c r="AB462" s="6"/>
      <c r="AC462" s="6"/>
      <c r="AD462" s="7"/>
    </row>
    <row r="463" spans="1:30" ht="15.6" x14ac:dyDescent="0.3">
      <c r="A463" s="4">
        <v>748</v>
      </c>
      <c r="B463" s="5" t="s">
        <v>4140</v>
      </c>
      <c r="C463" s="6" t="s">
        <v>291</v>
      </c>
      <c r="D463" s="5" t="s">
        <v>4141</v>
      </c>
      <c r="E463" s="5" t="s">
        <v>48</v>
      </c>
      <c r="F463" s="6" t="s">
        <v>4142</v>
      </c>
      <c r="G463" s="6" t="s">
        <v>4143</v>
      </c>
      <c r="H463" s="8">
        <v>0</v>
      </c>
      <c r="I463" s="8">
        <v>-0.97</v>
      </c>
      <c r="J463" s="6" t="s">
        <v>236</v>
      </c>
      <c r="K463" s="6" t="s">
        <v>2210</v>
      </c>
      <c r="L463" s="8">
        <v>-0.28999999999999998</v>
      </c>
      <c r="M463" s="6" t="s">
        <v>4144</v>
      </c>
      <c r="N463" s="8">
        <v>-0.28999999999999998</v>
      </c>
      <c r="O463" s="6" t="s">
        <v>4145</v>
      </c>
      <c r="P463" s="11">
        <v>45821</v>
      </c>
      <c r="Q463" s="6" t="s">
        <v>217</v>
      </c>
      <c r="R463" s="6">
        <v>168</v>
      </c>
      <c r="S463" s="6">
        <v>2</v>
      </c>
      <c r="T463" s="6">
        <v>231</v>
      </c>
      <c r="U463" s="6" t="s">
        <v>217</v>
      </c>
      <c r="V463" s="6"/>
      <c r="W463" s="6"/>
      <c r="X463" s="6"/>
      <c r="Y463" s="6"/>
      <c r="Z463" s="6"/>
      <c r="AA463" s="6"/>
      <c r="AB463" s="6"/>
      <c r="AC463" s="6"/>
      <c r="AD463" s="7"/>
    </row>
    <row r="464" spans="1:30" ht="15.6" x14ac:dyDescent="0.3">
      <c r="A464" s="4">
        <v>749</v>
      </c>
      <c r="B464" s="5" t="s">
        <v>4146</v>
      </c>
      <c r="C464" s="6" t="s">
        <v>72</v>
      </c>
      <c r="D464" s="5" t="s">
        <v>4147</v>
      </c>
      <c r="E464" s="5" t="s">
        <v>48</v>
      </c>
      <c r="F464" s="6" t="s">
        <v>4148</v>
      </c>
      <c r="G464" s="6" t="s">
        <v>4149</v>
      </c>
      <c r="H464" s="8">
        <v>0</v>
      </c>
      <c r="I464" s="8">
        <v>-0.98</v>
      </c>
      <c r="J464" s="6" t="s">
        <v>1071</v>
      </c>
      <c r="K464" s="6" t="s">
        <v>4150</v>
      </c>
      <c r="L464" s="6" t="s">
        <v>217</v>
      </c>
      <c r="M464" s="6" t="s">
        <v>4151</v>
      </c>
      <c r="N464" s="6" t="s">
        <v>4152</v>
      </c>
      <c r="O464" s="6" t="s">
        <v>3998</v>
      </c>
      <c r="P464" s="6" t="s">
        <v>4153</v>
      </c>
      <c r="Q464" s="6" t="s">
        <v>217</v>
      </c>
      <c r="R464" s="6">
        <v>441</v>
      </c>
      <c r="S464" s="6">
        <v>0</v>
      </c>
      <c r="T464" s="6">
        <v>303</v>
      </c>
      <c r="U464" s="8">
        <v>-0.27</v>
      </c>
      <c r="V464" s="6"/>
      <c r="W464" s="6"/>
      <c r="X464" s="6"/>
      <c r="Y464" s="6"/>
      <c r="Z464" s="6"/>
      <c r="AA464" s="6"/>
      <c r="AB464" s="6"/>
      <c r="AC464" s="6"/>
      <c r="AD464" s="7"/>
    </row>
    <row r="465" spans="1:30" ht="15.6" x14ac:dyDescent="0.3">
      <c r="A465" s="4">
        <v>750</v>
      </c>
      <c r="B465" s="5" t="s">
        <v>4154</v>
      </c>
      <c r="C465" s="6" t="s">
        <v>85</v>
      </c>
      <c r="D465" s="5" t="s">
        <v>4155</v>
      </c>
      <c r="E465" s="5" t="s">
        <v>48</v>
      </c>
      <c r="F465" s="6" t="s">
        <v>4156</v>
      </c>
      <c r="G465" s="6" t="s">
        <v>4157</v>
      </c>
      <c r="H465" s="8">
        <v>0</v>
      </c>
      <c r="I465" s="6" t="s">
        <v>4158</v>
      </c>
      <c r="J465" s="6" t="s">
        <v>2009</v>
      </c>
      <c r="K465" s="6" t="s">
        <v>4159</v>
      </c>
      <c r="L465" s="6" t="s">
        <v>217</v>
      </c>
      <c r="M465" s="6" t="s">
        <v>4160</v>
      </c>
      <c r="N465" s="8">
        <v>-0.2</v>
      </c>
      <c r="O465" s="6" t="s">
        <v>4161</v>
      </c>
      <c r="P465" s="6" t="s">
        <v>217</v>
      </c>
      <c r="Q465" s="6" t="s">
        <v>217</v>
      </c>
      <c r="R465" s="6">
        <v>27</v>
      </c>
      <c r="S465" s="6">
        <v>1</v>
      </c>
      <c r="T465" s="6">
        <v>73</v>
      </c>
      <c r="U465" s="6" t="s">
        <v>217</v>
      </c>
      <c r="V465" s="6"/>
      <c r="W465" s="6"/>
      <c r="X465" s="6"/>
      <c r="Y465" s="6"/>
      <c r="Z465" s="6"/>
      <c r="AA465" s="6"/>
      <c r="AB465" s="6"/>
      <c r="AC465" s="6"/>
      <c r="AD465" s="7"/>
    </row>
    <row r="466" spans="1:30" ht="15.6" x14ac:dyDescent="0.3">
      <c r="A466" s="4">
        <v>751</v>
      </c>
      <c r="B466" s="5" t="s">
        <v>4162</v>
      </c>
      <c r="C466" s="6" t="s">
        <v>148</v>
      </c>
      <c r="D466" s="5" t="s">
        <v>4163</v>
      </c>
      <c r="E466" s="5" t="s">
        <v>48</v>
      </c>
      <c r="F466" s="6" t="s">
        <v>4164</v>
      </c>
      <c r="G466" s="6" t="s">
        <v>4165</v>
      </c>
      <c r="H466" s="8">
        <v>0</v>
      </c>
      <c r="I466" s="6" t="s">
        <v>217</v>
      </c>
      <c r="J466" s="6" t="s">
        <v>950</v>
      </c>
      <c r="K466" s="6" t="s">
        <v>4166</v>
      </c>
      <c r="L466" s="6">
        <f>130%</f>
        <v>1.3</v>
      </c>
      <c r="M466" s="6" t="s">
        <v>4167</v>
      </c>
      <c r="N466" s="6">
        <f>130%</f>
        <v>1.3</v>
      </c>
      <c r="O466" s="6" t="s">
        <v>4168</v>
      </c>
      <c r="P466" s="6" t="s">
        <v>4169</v>
      </c>
      <c r="Q466" s="6" t="s">
        <v>217</v>
      </c>
      <c r="R466" s="6">
        <v>104</v>
      </c>
      <c r="S466" s="6">
        <v>2</v>
      </c>
      <c r="T466" s="6">
        <v>216</v>
      </c>
      <c r="U466" s="6">
        <f>42%</f>
        <v>0.42</v>
      </c>
      <c r="V466" s="6"/>
      <c r="W466" s="6"/>
      <c r="X466" s="6"/>
      <c r="Y466" s="6"/>
      <c r="Z466" s="6"/>
      <c r="AA466" s="6"/>
      <c r="AB466" s="6"/>
      <c r="AC466" s="6"/>
      <c r="AD466" s="7"/>
    </row>
    <row r="467" spans="1:30" ht="15.6" x14ac:dyDescent="0.3">
      <c r="A467" s="4">
        <v>753</v>
      </c>
      <c r="B467" s="5" t="s">
        <v>4170</v>
      </c>
      <c r="C467" s="6" t="s">
        <v>185</v>
      </c>
      <c r="D467" s="5" t="s">
        <v>4171</v>
      </c>
      <c r="E467" s="5" t="s">
        <v>48</v>
      </c>
      <c r="F467" s="6" t="s">
        <v>4172</v>
      </c>
      <c r="G467" s="6" t="s">
        <v>4173</v>
      </c>
      <c r="H467" s="8">
        <v>0</v>
      </c>
      <c r="I467" s="8">
        <v>-0.36</v>
      </c>
      <c r="J467" s="6" t="s">
        <v>731</v>
      </c>
      <c r="K467" s="6" t="s">
        <v>4174</v>
      </c>
      <c r="L467" s="6" t="s">
        <v>217</v>
      </c>
      <c r="M467" s="6" t="s">
        <v>4073</v>
      </c>
      <c r="N467" s="8">
        <v>-0.11</v>
      </c>
      <c r="O467" s="6" t="s">
        <v>4175</v>
      </c>
      <c r="P467" s="6">
        <v>13</v>
      </c>
      <c r="Q467" s="6" t="s">
        <v>217</v>
      </c>
      <c r="R467" s="6">
        <v>585</v>
      </c>
      <c r="S467" s="6">
        <v>2</v>
      </c>
      <c r="T467" s="6">
        <v>501</v>
      </c>
      <c r="U467" s="6" t="s">
        <v>217</v>
      </c>
      <c r="V467" s="6"/>
      <c r="W467" s="6"/>
      <c r="X467" s="6"/>
      <c r="Y467" s="6"/>
      <c r="Z467" s="6"/>
      <c r="AA467" s="6"/>
      <c r="AB467" s="6"/>
      <c r="AC467" s="6"/>
      <c r="AD467" s="7"/>
    </row>
    <row r="468" spans="1:30" ht="15.6" x14ac:dyDescent="0.3">
      <c r="A468" s="4">
        <v>754</v>
      </c>
      <c r="B468" s="5" t="s">
        <v>4176</v>
      </c>
      <c r="C468" s="6" t="s">
        <v>102</v>
      </c>
      <c r="D468" s="5" t="s">
        <v>4177</v>
      </c>
      <c r="E468" s="5" t="s">
        <v>48</v>
      </c>
      <c r="F468" s="6" t="s">
        <v>4178</v>
      </c>
      <c r="G468" s="6" t="s">
        <v>4179</v>
      </c>
      <c r="H468" s="8">
        <v>0</v>
      </c>
      <c r="I468" s="6" t="s">
        <v>4180</v>
      </c>
      <c r="J468" s="6" t="s">
        <v>584</v>
      </c>
      <c r="K468" s="6" t="s">
        <v>4181</v>
      </c>
      <c r="L468" s="6" t="s">
        <v>217</v>
      </c>
      <c r="M468" s="6" t="s">
        <v>3265</v>
      </c>
      <c r="N468" s="8">
        <v>-0.15</v>
      </c>
      <c r="O468" s="6" t="s">
        <v>3566</v>
      </c>
      <c r="P468" s="6" t="s">
        <v>217</v>
      </c>
      <c r="Q468" s="6" t="s">
        <v>217</v>
      </c>
      <c r="R468" s="6">
        <v>21</v>
      </c>
      <c r="S468" s="6">
        <v>0</v>
      </c>
      <c r="T468" s="6">
        <v>66</v>
      </c>
      <c r="U468" s="6" t="s">
        <v>217</v>
      </c>
      <c r="V468" s="6"/>
      <c r="W468" s="6"/>
      <c r="X468" s="6"/>
      <c r="Y468" s="6"/>
      <c r="Z468" s="6"/>
      <c r="AA468" s="6"/>
      <c r="AB468" s="6"/>
      <c r="AC468" s="6"/>
      <c r="AD468" s="7"/>
    </row>
    <row r="469" spans="1:30" ht="15.6" x14ac:dyDescent="0.3">
      <c r="A469" s="4">
        <v>755</v>
      </c>
      <c r="B469" s="5" t="s">
        <v>4182</v>
      </c>
      <c r="C469" s="6" t="s">
        <v>406</v>
      </c>
      <c r="D469" s="5" t="s">
        <v>4183</v>
      </c>
      <c r="E469" s="5" t="s">
        <v>48</v>
      </c>
      <c r="F469" s="6" t="s">
        <v>4184</v>
      </c>
      <c r="G469" s="6" t="s">
        <v>4185</v>
      </c>
      <c r="H469" s="8">
        <v>0</v>
      </c>
      <c r="I469" s="6" t="s">
        <v>1628</v>
      </c>
      <c r="J469" s="6" t="s">
        <v>3975</v>
      </c>
      <c r="K469" s="6" t="s">
        <v>4186</v>
      </c>
      <c r="L469" s="6" t="s">
        <v>217</v>
      </c>
      <c r="M469" s="6" t="s">
        <v>4187</v>
      </c>
      <c r="N469" s="8">
        <v>-0.11</v>
      </c>
      <c r="O469" s="6" t="s">
        <v>4188</v>
      </c>
      <c r="P469" s="6" t="s">
        <v>217</v>
      </c>
      <c r="Q469" s="6" t="s">
        <v>217</v>
      </c>
      <c r="R469" s="6">
        <v>18</v>
      </c>
      <c r="S469" s="6">
        <v>0</v>
      </c>
      <c r="T469" s="6">
        <v>40</v>
      </c>
      <c r="U469" s="6" t="s">
        <v>217</v>
      </c>
      <c r="V469" s="6"/>
      <c r="W469" s="6"/>
      <c r="X469" s="6"/>
      <c r="Y469" s="6"/>
      <c r="Z469" s="6"/>
      <c r="AA469" s="6"/>
      <c r="AB469" s="6"/>
      <c r="AC469" s="6"/>
      <c r="AD469" s="7"/>
    </row>
    <row r="470" spans="1:30" ht="15.6" x14ac:dyDescent="0.3">
      <c r="A470" s="4">
        <v>756</v>
      </c>
      <c r="B470" s="5" t="s">
        <v>4189</v>
      </c>
      <c r="C470" s="6" t="s">
        <v>370</v>
      </c>
      <c r="D470" s="5" t="s">
        <v>4190</v>
      </c>
      <c r="E470" s="5" t="s">
        <v>48</v>
      </c>
      <c r="F470" s="6" t="s">
        <v>4191</v>
      </c>
      <c r="G470" s="6" t="s">
        <v>4192</v>
      </c>
      <c r="H470" s="8">
        <v>0</v>
      </c>
      <c r="I470" s="6" t="s">
        <v>920</v>
      </c>
      <c r="J470" s="6" t="s">
        <v>411</v>
      </c>
      <c r="K470" s="6" t="s">
        <v>4193</v>
      </c>
      <c r="L470" s="6" t="s">
        <v>217</v>
      </c>
      <c r="M470" s="6" t="s">
        <v>2313</v>
      </c>
      <c r="N470" s="6" t="s">
        <v>4096</v>
      </c>
      <c r="O470" s="6" t="s">
        <v>4194</v>
      </c>
      <c r="P470" s="6" t="s">
        <v>217</v>
      </c>
      <c r="Q470" s="6" t="s">
        <v>217</v>
      </c>
      <c r="R470" s="6">
        <v>64</v>
      </c>
      <c r="S470" s="6">
        <v>2</v>
      </c>
      <c r="T470" s="6">
        <v>123</v>
      </c>
      <c r="U470" s="6" t="s">
        <v>217</v>
      </c>
      <c r="V470" s="6"/>
      <c r="W470" s="6"/>
      <c r="X470" s="6"/>
      <c r="Y470" s="6"/>
      <c r="Z470" s="6"/>
      <c r="AA470" s="6"/>
      <c r="AB470" s="6"/>
      <c r="AC470" s="6"/>
      <c r="AD470" s="7"/>
    </row>
    <row r="471" spans="1:30" ht="15.6" x14ac:dyDescent="0.3">
      <c r="A471" s="4">
        <v>757</v>
      </c>
      <c r="B471" s="5" t="s">
        <v>4195</v>
      </c>
      <c r="C471" s="6" t="s">
        <v>370</v>
      </c>
      <c r="D471" s="5" t="s">
        <v>4196</v>
      </c>
      <c r="E471" s="5" t="s">
        <v>48</v>
      </c>
      <c r="F471" s="6" t="s">
        <v>4197</v>
      </c>
      <c r="G471" s="6" t="s">
        <v>4198</v>
      </c>
      <c r="H471" s="8">
        <v>0</v>
      </c>
      <c r="I471" s="8">
        <v>-0.95</v>
      </c>
      <c r="J471" s="6" t="s">
        <v>1432</v>
      </c>
      <c r="K471" s="6" t="s">
        <v>4199</v>
      </c>
      <c r="L471" s="8">
        <v>-0.22</v>
      </c>
      <c r="M471" s="6" t="s">
        <v>3196</v>
      </c>
      <c r="N471" s="8">
        <v>-0.22</v>
      </c>
      <c r="O471" s="6" t="s">
        <v>4200</v>
      </c>
      <c r="P471" s="6" t="s">
        <v>4201</v>
      </c>
      <c r="Q471" s="6" t="s">
        <v>217</v>
      </c>
      <c r="R471" s="6">
        <v>368</v>
      </c>
      <c r="S471" s="6">
        <v>1</v>
      </c>
      <c r="T471" s="6">
        <v>156</v>
      </c>
      <c r="U471" s="6">
        <f>3.3%</f>
        <v>3.3000000000000002E-2</v>
      </c>
      <c r="V471" s="6"/>
      <c r="W471" s="6"/>
      <c r="X471" s="6"/>
      <c r="Y471" s="6"/>
      <c r="Z471" s="6"/>
      <c r="AA471" s="6"/>
      <c r="AB471" s="6"/>
      <c r="AC471" s="6"/>
      <c r="AD471" s="7"/>
    </row>
    <row r="472" spans="1:30" ht="15.6" x14ac:dyDescent="0.3">
      <c r="A472" s="4">
        <v>758</v>
      </c>
      <c r="B472" s="5" t="s">
        <v>4202</v>
      </c>
      <c r="C472" s="6" t="s">
        <v>72</v>
      </c>
      <c r="D472" s="5" t="s">
        <v>4203</v>
      </c>
      <c r="E472" s="5" t="s">
        <v>48</v>
      </c>
      <c r="F472" s="6" t="s">
        <v>4204</v>
      </c>
      <c r="G472" s="6" t="s">
        <v>4205</v>
      </c>
      <c r="H472" s="8">
        <v>0</v>
      </c>
      <c r="I472" s="6" t="s">
        <v>4180</v>
      </c>
      <c r="J472" s="6" t="s">
        <v>199</v>
      </c>
      <c r="K472" s="6" t="s">
        <v>4206</v>
      </c>
      <c r="L472" s="8">
        <v>-0.17</v>
      </c>
      <c r="M472" s="6" t="s">
        <v>4207</v>
      </c>
      <c r="N472" s="8">
        <v>-0.17</v>
      </c>
      <c r="O472" s="6" t="s">
        <v>4175</v>
      </c>
      <c r="P472" s="6" t="s">
        <v>217</v>
      </c>
      <c r="Q472" s="6" t="s">
        <v>217</v>
      </c>
      <c r="R472" s="6">
        <v>72</v>
      </c>
      <c r="S472" s="6">
        <v>3</v>
      </c>
      <c r="T472" s="6">
        <v>112</v>
      </c>
      <c r="U472" s="6" t="s">
        <v>217</v>
      </c>
      <c r="V472" s="6"/>
      <c r="W472" s="6"/>
      <c r="X472" s="6"/>
      <c r="Y472" s="6"/>
      <c r="Z472" s="6"/>
      <c r="AA472" s="6"/>
      <c r="AB472" s="6"/>
      <c r="AC472" s="6"/>
      <c r="AD472" s="7"/>
    </row>
    <row r="473" spans="1:30" ht="15.6" x14ac:dyDescent="0.3">
      <c r="A473" s="4">
        <v>759</v>
      </c>
      <c r="B473" s="5" t="s">
        <v>4208</v>
      </c>
      <c r="C473" s="6" t="s">
        <v>185</v>
      </c>
      <c r="D473" s="5" t="s">
        <v>4209</v>
      </c>
      <c r="E473" s="5" t="s">
        <v>48</v>
      </c>
      <c r="F473" s="6" t="s">
        <v>4210</v>
      </c>
      <c r="G473" s="6" t="s">
        <v>4211</v>
      </c>
      <c r="H473" s="8">
        <v>0</v>
      </c>
      <c r="I473" s="6" t="s">
        <v>920</v>
      </c>
      <c r="J473" s="6" t="s">
        <v>506</v>
      </c>
      <c r="K473" s="6" t="s">
        <v>4212</v>
      </c>
      <c r="L473" s="8">
        <v>-0.13</v>
      </c>
      <c r="M473" s="6" t="s">
        <v>4213</v>
      </c>
      <c r="N473" s="8">
        <v>-0.13</v>
      </c>
      <c r="O473" s="6" t="s">
        <v>4214</v>
      </c>
      <c r="P473" s="6" t="s">
        <v>4215</v>
      </c>
      <c r="Q473" s="6" t="s">
        <v>217</v>
      </c>
      <c r="R473" s="6">
        <v>24</v>
      </c>
      <c r="S473" s="6">
        <v>0</v>
      </c>
      <c r="T473" s="6">
        <v>121</v>
      </c>
      <c r="U473" s="6" t="e">
        <f>+∞%</f>
        <v>#NAME?</v>
      </c>
      <c r="V473" s="6"/>
      <c r="W473" s="6"/>
      <c r="X473" s="6"/>
      <c r="Y473" s="6"/>
      <c r="Z473" s="6"/>
      <c r="AA473" s="6"/>
      <c r="AB473" s="6"/>
      <c r="AC473" s="6"/>
      <c r="AD473" s="7"/>
    </row>
    <row r="474" spans="1:30" ht="15.6" x14ac:dyDescent="0.3">
      <c r="A474" s="4">
        <v>760</v>
      </c>
      <c r="B474" s="5" t="s">
        <v>4216</v>
      </c>
      <c r="C474" s="6" t="s">
        <v>1645</v>
      </c>
      <c r="D474" s="5" t="s">
        <v>4217</v>
      </c>
      <c r="E474" s="5" t="s">
        <v>48</v>
      </c>
      <c r="F474" s="6" t="s">
        <v>4218</v>
      </c>
      <c r="G474" s="6" t="s">
        <v>4219</v>
      </c>
      <c r="H474" s="8">
        <v>0</v>
      </c>
      <c r="I474" s="6" t="s">
        <v>591</v>
      </c>
      <c r="J474" s="6" t="s">
        <v>550</v>
      </c>
      <c r="K474" s="6" t="s">
        <v>4220</v>
      </c>
      <c r="L474" s="8">
        <v>-0.18</v>
      </c>
      <c r="M474" s="6" t="s">
        <v>4221</v>
      </c>
      <c r="N474" s="8">
        <v>-0.18</v>
      </c>
      <c r="O474" s="6" t="s">
        <v>4222</v>
      </c>
      <c r="P474" s="6" t="s">
        <v>217</v>
      </c>
      <c r="Q474" s="6" t="s">
        <v>217</v>
      </c>
      <c r="R474" s="6">
        <v>15</v>
      </c>
      <c r="S474" s="6">
        <v>0</v>
      </c>
      <c r="T474" s="6">
        <v>72</v>
      </c>
      <c r="U474" s="6" t="s">
        <v>217</v>
      </c>
      <c r="V474" s="6"/>
      <c r="W474" s="6"/>
      <c r="X474" s="6"/>
      <c r="Y474" s="6"/>
      <c r="Z474" s="6"/>
      <c r="AA474" s="6"/>
      <c r="AB474" s="6"/>
      <c r="AC474" s="6"/>
      <c r="AD474" s="7"/>
    </row>
    <row r="475" spans="1:30" ht="15.6" x14ac:dyDescent="0.3">
      <c r="A475" s="4">
        <v>761</v>
      </c>
      <c r="B475" s="5" t="s">
        <v>4223</v>
      </c>
      <c r="C475" s="6" t="s">
        <v>114</v>
      </c>
      <c r="D475" s="5" t="s">
        <v>4224</v>
      </c>
      <c r="E475" s="5" t="s">
        <v>48</v>
      </c>
      <c r="F475" s="6" t="s">
        <v>4225</v>
      </c>
      <c r="G475" s="6" t="s">
        <v>4226</v>
      </c>
      <c r="H475" s="8">
        <v>0</v>
      </c>
      <c r="I475" s="6" t="s">
        <v>2045</v>
      </c>
      <c r="J475" s="6" t="s">
        <v>1432</v>
      </c>
      <c r="K475" s="6" t="s">
        <v>4227</v>
      </c>
      <c r="L475" s="8">
        <v>-0.31</v>
      </c>
      <c r="M475" s="6" t="s">
        <v>4228</v>
      </c>
      <c r="N475" s="8">
        <v>-0.31</v>
      </c>
      <c r="O475" s="6" t="s">
        <v>4229</v>
      </c>
      <c r="P475" s="6" t="s">
        <v>4230</v>
      </c>
      <c r="Q475" s="6" t="s">
        <v>217</v>
      </c>
      <c r="R475" s="6">
        <v>853</v>
      </c>
      <c r="S475" s="6">
        <v>2</v>
      </c>
      <c r="T475" s="6">
        <v>105</v>
      </c>
      <c r="U475" s="6" t="e">
        <f>+∞%</f>
        <v>#NAME?</v>
      </c>
      <c r="V475" s="6"/>
      <c r="W475" s="6"/>
      <c r="X475" s="6"/>
      <c r="Y475" s="6"/>
      <c r="Z475" s="6"/>
      <c r="AA475" s="6"/>
      <c r="AB475" s="6"/>
      <c r="AC475" s="6"/>
      <c r="AD475" s="7"/>
    </row>
    <row r="476" spans="1:30" ht="15.6" x14ac:dyDescent="0.3">
      <c r="A476" s="4">
        <v>762</v>
      </c>
      <c r="B476" s="5" t="s">
        <v>4231</v>
      </c>
      <c r="C476" s="6" t="s">
        <v>102</v>
      </c>
      <c r="D476" s="5" t="s">
        <v>4232</v>
      </c>
      <c r="E476" s="5" t="s">
        <v>48</v>
      </c>
      <c r="F476" s="6" t="s">
        <v>4233</v>
      </c>
      <c r="G476" s="6" t="s">
        <v>4234</v>
      </c>
      <c r="H476" s="8">
        <v>0</v>
      </c>
      <c r="I476" s="6" t="s">
        <v>3016</v>
      </c>
      <c r="J476" s="6" t="s">
        <v>824</v>
      </c>
      <c r="K476" s="6" t="s">
        <v>4235</v>
      </c>
      <c r="L476" s="6" t="s">
        <v>217</v>
      </c>
      <c r="M476" s="6" t="s">
        <v>3666</v>
      </c>
      <c r="N476" s="8">
        <v>-0.13</v>
      </c>
      <c r="O476" s="6" t="s">
        <v>4020</v>
      </c>
      <c r="P476" s="6" t="s">
        <v>217</v>
      </c>
      <c r="Q476" s="6" t="s">
        <v>217</v>
      </c>
      <c r="R476" s="6">
        <v>48</v>
      </c>
      <c r="S476" s="6">
        <v>0</v>
      </c>
      <c r="T476" s="6">
        <v>216</v>
      </c>
      <c r="U476" s="6" t="s">
        <v>217</v>
      </c>
      <c r="V476" s="6"/>
      <c r="W476" s="6"/>
      <c r="X476" s="6"/>
      <c r="Y476" s="6"/>
      <c r="Z476" s="6"/>
      <c r="AA476" s="6"/>
      <c r="AB476" s="6"/>
      <c r="AC476" s="6"/>
      <c r="AD476" s="7"/>
    </row>
    <row r="477" spans="1:30" ht="15.6" x14ac:dyDescent="0.3">
      <c r="A477" s="4">
        <v>763</v>
      </c>
      <c r="B477" s="5" t="s">
        <v>4236</v>
      </c>
      <c r="C477" s="6">
        <v>0</v>
      </c>
      <c r="D477" s="5" t="s">
        <v>4237</v>
      </c>
      <c r="E477" s="5" t="s">
        <v>48</v>
      </c>
      <c r="F477" s="6">
        <v>7</v>
      </c>
      <c r="G477" s="6" t="s">
        <v>4238</v>
      </c>
      <c r="H477" s="8">
        <v>0</v>
      </c>
      <c r="I477" s="8">
        <v>-0.01</v>
      </c>
      <c r="J477" s="6" t="s">
        <v>1354</v>
      </c>
      <c r="K477" s="6" t="s">
        <v>4239</v>
      </c>
      <c r="L477" s="6" t="s">
        <v>217</v>
      </c>
      <c r="M477" s="6" t="s">
        <v>4240</v>
      </c>
      <c r="N477" s="8">
        <v>-0.13</v>
      </c>
      <c r="O477" s="6" t="s">
        <v>4241</v>
      </c>
      <c r="P477" s="6" t="s">
        <v>4242</v>
      </c>
      <c r="Q477" s="6" t="s">
        <v>217</v>
      </c>
      <c r="R477" s="6">
        <v>8</v>
      </c>
      <c r="S477" s="6">
        <v>0</v>
      </c>
      <c r="T477" s="6">
        <v>95</v>
      </c>
      <c r="U477" s="6" t="e">
        <f>+∞%</f>
        <v>#NAME?</v>
      </c>
      <c r="V477" s="6"/>
      <c r="W477" s="6"/>
      <c r="X477" s="6"/>
      <c r="Y477" s="6"/>
      <c r="Z477" s="6"/>
      <c r="AA477" s="6"/>
      <c r="AB477" s="6"/>
      <c r="AC477" s="6"/>
      <c r="AD477" s="7"/>
    </row>
    <row r="478" spans="1:30" ht="15.6" x14ac:dyDescent="0.3">
      <c r="A478" s="4">
        <v>764</v>
      </c>
      <c r="B478" s="5" t="s">
        <v>4243</v>
      </c>
      <c r="C478" s="6" t="s">
        <v>114</v>
      </c>
      <c r="D478" s="5" t="s">
        <v>4244</v>
      </c>
      <c r="E478" s="5" t="s">
        <v>48</v>
      </c>
      <c r="F478" s="6" t="s">
        <v>4245</v>
      </c>
      <c r="G478" s="6" t="s">
        <v>4246</v>
      </c>
      <c r="H478" s="8">
        <v>0</v>
      </c>
      <c r="I478" s="6" t="s">
        <v>4247</v>
      </c>
      <c r="J478" s="6" t="s">
        <v>259</v>
      </c>
      <c r="K478" s="6" t="s">
        <v>4248</v>
      </c>
      <c r="L478" s="6" t="s">
        <v>217</v>
      </c>
      <c r="M478" s="6" t="s">
        <v>4104</v>
      </c>
      <c r="N478" s="8">
        <v>-0.15</v>
      </c>
      <c r="O478" s="6" t="s">
        <v>4005</v>
      </c>
      <c r="P478" s="6" t="s">
        <v>4249</v>
      </c>
      <c r="Q478" s="6" t="s">
        <v>217</v>
      </c>
      <c r="R478" s="6">
        <v>70</v>
      </c>
      <c r="S478" s="6">
        <v>3</v>
      </c>
      <c r="T478" s="6">
        <v>266</v>
      </c>
      <c r="U478" s="6" t="e">
        <f>+∞%</f>
        <v>#NAME?</v>
      </c>
      <c r="V478" s="6"/>
      <c r="W478" s="6"/>
      <c r="X478" s="6"/>
      <c r="Y478" s="6"/>
      <c r="Z478" s="6"/>
      <c r="AA478" s="6"/>
      <c r="AB478" s="6"/>
      <c r="AC478" s="6"/>
      <c r="AD478" s="7"/>
    </row>
    <row r="479" spans="1:30" ht="15.6" x14ac:dyDescent="0.3">
      <c r="A479" s="4">
        <v>765</v>
      </c>
      <c r="B479" s="5" t="s">
        <v>4250</v>
      </c>
      <c r="C479" s="6" t="s">
        <v>114</v>
      </c>
      <c r="D479" s="5" t="s">
        <v>4251</v>
      </c>
      <c r="E479" s="5" t="s">
        <v>48</v>
      </c>
      <c r="F479" s="6" t="s">
        <v>4252</v>
      </c>
      <c r="G479" s="6" t="s">
        <v>4253</v>
      </c>
      <c r="H479" s="8">
        <v>0</v>
      </c>
      <c r="I479" s="6" t="s">
        <v>400</v>
      </c>
      <c r="J479" s="6" t="s">
        <v>321</v>
      </c>
      <c r="K479" s="6" t="s">
        <v>3564</v>
      </c>
      <c r="L479" s="6" t="s">
        <v>217</v>
      </c>
      <c r="M479" s="6" t="s">
        <v>3565</v>
      </c>
      <c r="N479" s="6" t="s">
        <v>1290</v>
      </c>
      <c r="O479" s="6" t="s">
        <v>4254</v>
      </c>
      <c r="P479" s="6" t="s">
        <v>217</v>
      </c>
      <c r="Q479" s="6" t="s">
        <v>217</v>
      </c>
      <c r="R479" s="6">
        <v>61</v>
      </c>
      <c r="S479" s="6">
        <v>8</v>
      </c>
      <c r="T479" s="6">
        <v>177</v>
      </c>
      <c r="U479" s="6" t="s">
        <v>217</v>
      </c>
      <c r="V479" s="6"/>
      <c r="W479" s="6"/>
      <c r="X479" s="6"/>
      <c r="Y479" s="6"/>
      <c r="Z479" s="6"/>
      <c r="AA479" s="6"/>
      <c r="AB479" s="6"/>
      <c r="AC479" s="6"/>
      <c r="AD479" s="7"/>
    </row>
    <row r="480" spans="1:30" ht="15.6" x14ac:dyDescent="0.3">
      <c r="A480" s="4">
        <v>766</v>
      </c>
      <c r="B480" s="5" t="s">
        <v>4255</v>
      </c>
      <c r="C480" s="6" t="s">
        <v>1013</v>
      </c>
      <c r="D480" s="5" t="s">
        <v>4256</v>
      </c>
      <c r="E480" s="5" t="s">
        <v>48</v>
      </c>
      <c r="F480" s="6" t="s">
        <v>4257</v>
      </c>
      <c r="G480" s="6" t="s">
        <v>4258</v>
      </c>
      <c r="H480" s="8">
        <v>0</v>
      </c>
      <c r="I480" s="8">
        <v>-0.92</v>
      </c>
      <c r="J480" s="6" t="s">
        <v>1412</v>
      </c>
      <c r="K480" s="6" t="s">
        <v>4259</v>
      </c>
      <c r="L480" s="8">
        <v>-0.36</v>
      </c>
      <c r="M480" s="6" t="s">
        <v>1923</v>
      </c>
      <c r="N480" s="8">
        <v>-0.36</v>
      </c>
      <c r="O480" s="6" t="s">
        <v>4260</v>
      </c>
      <c r="P480" s="6" t="s">
        <v>4261</v>
      </c>
      <c r="Q480" s="6" t="s">
        <v>217</v>
      </c>
      <c r="R480" s="6">
        <v>150</v>
      </c>
      <c r="S480" s="6">
        <v>2</v>
      </c>
      <c r="T480" s="6">
        <v>283</v>
      </c>
      <c r="U480" s="6" t="s">
        <v>217</v>
      </c>
      <c r="V480" s="6"/>
      <c r="W480" s="6"/>
      <c r="X480" s="6"/>
      <c r="Y480" s="6"/>
      <c r="Z480" s="6"/>
      <c r="AA480" s="6"/>
      <c r="AB480" s="6"/>
      <c r="AC480" s="6"/>
      <c r="AD480" s="7"/>
    </row>
    <row r="481" spans="1:30" ht="15.6" x14ac:dyDescent="0.3">
      <c r="A481" s="4">
        <v>767</v>
      </c>
      <c r="B481" s="5" t="s">
        <v>4262</v>
      </c>
      <c r="C481" s="6" t="s">
        <v>72</v>
      </c>
      <c r="D481" s="5" t="s">
        <v>4263</v>
      </c>
      <c r="E481" s="5" t="s">
        <v>48</v>
      </c>
      <c r="F481" s="6" t="s">
        <v>4264</v>
      </c>
      <c r="G481" s="6" t="s">
        <v>4265</v>
      </c>
      <c r="H481" s="8">
        <v>0</v>
      </c>
      <c r="I481" s="6" t="s">
        <v>3777</v>
      </c>
      <c r="J481" s="6" t="s">
        <v>454</v>
      </c>
      <c r="K481" s="6" t="s">
        <v>4266</v>
      </c>
      <c r="L481" s="6" t="s">
        <v>217</v>
      </c>
      <c r="M481" s="6" t="s">
        <v>4267</v>
      </c>
      <c r="N481" s="6" t="s">
        <v>2103</v>
      </c>
      <c r="O481" s="6" t="s">
        <v>4268</v>
      </c>
      <c r="P481" s="6" t="s">
        <v>217</v>
      </c>
      <c r="Q481" s="6" t="s">
        <v>217</v>
      </c>
      <c r="R481" s="6">
        <v>102</v>
      </c>
      <c r="S481" s="6">
        <v>1</v>
      </c>
      <c r="T481" s="6">
        <v>270</v>
      </c>
      <c r="U481" s="6" t="s">
        <v>217</v>
      </c>
      <c r="V481" s="6"/>
      <c r="W481" s="6"/>
      <c r="X481" s="6"/>
      <c r="Y481" s="6"/>
      <c r="Z481" s="6"/>
      <c r="AA481" s="6"/>
      <c r="AB481" s="6"/>
      <c r="AC481" s="6"/>
      <c r="AD481" s="7"/>
    </row>
    <row r="482" spans="1:30" ht="15.6" x14ac:dyDescent="0.3">
      <c r="A482" s="4">
        <v>769</v>
      </c>
      <c r="B482" s="5" t="s">
        <v>4269</v>
      </c>
      <c r="C482" s="6" t="s">
        <v>31</v>
      </c>
      <c r="D482" s="5" t="s">
        <v>4270</v>
      </c>
      <c r="E482" s="5" t="s">
        <v>48</v>
      </c>
      <c r="F482" s="6" t="s">
        <v>4271</v>
      </c>
      <c r="G482" s="6" t="s">
        <v>4272</v>
      </c>
      <c r="H482" s="8">
        <v>0</v>
      </c>
      <c r="I482" s="8">
        <v>-0.97</v>
      </c>
      <c r="J482" s="6" t="s">
        <v>731</v>
      </c>
      <c r="K482" s="6" t="s">
        <v>4273</v>
      </c>
      <c r="L482" s="6" t="s">
        <v>217</v>
      </c>
      <c r="M482" s="6" t="s">
        <v>4274</v>
      </c>
      <c r="N482" s="6">
        <f>0.031%</f>
        <v>3.1E-4</v>
      </c>
      <c r="O482" s="6" t="s">
        <v>4275</v>
      </c>
      <c r="P482" s="6" t="s">
        <v>4276</v>
      </c>
      <c r="Q482" s="6" t="s">
        <v>217</v>
      </c>
      <c r="R482" s="6">
        <v>323</v>
      </c>
      <c r="S482" s="6">
        <v>3</v>
      </c>
      <c r="T482" s="6">
        <v>643</v>
      </c>
      <c r="U482" s="8">
        <v>-0.81</v>
      </c>
      <c r="V482" s="6"/>
      <c r="W482" s="6"/>
      <c r="X482" s="6"/>
      <c r="Y482" s="6"/>
      <c r="Z482" s="6"/>
      <c r="AA482" s="6"/>
      <c r="AB482" s="6"/>
      <c r="AC482" s="6"/>
      <c r="AD482" s="7"/>
    </row>
    <row r="483" spans="1:30" ht="15.6" x14ac:dyDescent="0.3">
      <c r="A483" s="4">
        <v>770</v>
      </c>
      <c r="B483" s="5" t="s">
        <v>4277</v>
      </c>
      <c r="C483" s="6" t="s">
        <v>148</v>
      </c>
      <c r="D483" s="5" t="s">
        <v>4278</v>
      </c>
      <c r="E483" s="5" t="s">
        <v>48</v>
      </c>
      <c r="F483" s="6" t="s">
        <v>4279</v>
      </c>
      <c r="G483" s="6" t="s">
        <v>4280</v>
      </c>
      <c r="H483" s="8">
        <v>0</v>
      </c>
      <c r="I483" s="6" t="s">
        <v>2484</v>
      </c>
      <c r="J483" s="6" t="s">
        <v>719</v>
      </c>
      <c r="K483" s="6" t="s">
        <v>4281</v>
      </c>
      <c r="L483" s="6">
        <f>660%</f>
        <v>6.6</v>
      </c>
      <c r="M483" s="6" t="s">
        <v>4282</v>
      </c>
      <c r="N483" s="6">
        <f>660%</f>
        <v>6.6</v>
      </c>
      <c r="O483" s="6" t="s">
        <v>4283</v>
      </c>
      <c r="P483" s="6" t="s">
        <v>4284</v>
      </c>
      <c r="Q483" s="6" t="s">
        <v>217</v>
      </c>
      <c r="R483" s="6" t="s">
        <v>4285</v>
      </c>
      <c r="S483" s="6">
        <v>29</v>
      </c>
      <c r="T483" s="6">
        <v>142</v>
      </c>
      <c r="U483" s="6" t="s">
        <v>9262</v>
      </c>
      <c r="V483" s="6"/>
      <c r="W483" s="6"/>
      <c r="X483" s="6"/>
      <c r="Y483" s="6"/>
      <c r="Z483" s="6"/>
      <c r="AA483" s="6"/>
      <c r="AB483" s="6"/>
      <c r="AC483" s="6"/>
      <c r="AD483" s="7"/>
    </row>
    <row r="484" spans="1:30" ht="15.6" x14ac:dyDescent="0.3">
      <c r="A484" s="4">
        <v>771</v>
      </c>
      <c r="B484" s="5" t="s">
        <v>4286</v>
      </c>
      <c r="C484" s="6" t="s">
        <v>1408</v>
      </c>
      <c r="D484" s="5" t="s">
        <v>4287</v>
      </c>
      <c r="E484" s="5" t="s">
        <v>48</v>
      </c>
      <c r="F484" s="6" t="s">
        <v>4288</v>
      </c>
      <c r="G484" s="6" t="s">
        <v>4289</v>
      </c>
      <c r="H484" s="8">
        <v>0</v>
      </c>
      <c r="I484" s="8">
        <v>-0.9</v>
      </c>
      <c r="J484" s="6" t="s">
        <v>984</v>
      </c>
      <c r="K484" s="6" t="s">
        <v>4290</v>
      </c>
      <c r="L484" s="8">
        <v>-0.2</v>
      </c>
      <c r="M484" s="6" t="s">
        <v>4291</v>
      </c>
      <c r="N484" s="8">
        <v>-0.2</v>
      </c>
      <c r="O484" s="6" t="s">
        <v>4292</v>
      </c>
      <c r="P484" s="6" t="s">
        <v>4293</v>
      </c>
      <c r="Q484" s="6" t="s">
        <v>217</v>
      </c>
      <c r="R484" s="6">
        <v>163</v>
      </c>
      <c r="S484" s="6">
        <v>5</v>
      </c>
      <c r="T484" s="6">
        <v>369</v>
      </c>
      <c r="U484" s="6" t="s">
        <v>217</v>
      </c>
      <c r="V484" s="6"/>
      <c r="W484" s="6"/>
      <c r="X484" s="6"/>
      <c r="Y484" s="6"/>
      <c r="Z484" s="6"/>
      <c r="AA484" s="6"/>
      <c r="AB484" s="6"/>
      <c r="AC484" s="6"/>
      <c r="AD484" s="7"/>
    </row>
    <row r="485" spans="1:30" ht="15.6" x14ac:dyDescent="0.3">
      <c r="A485" s="4">
        <v>772</v>
      </c>
      <c r="B485" s="5" t="s">
        <v>4294</v>
      </c>
      <c r="C485" s="6" t="s">
        <v>1408</v>
      </c>
      <c r="D485" s="5" t="s">
        <v>4295</v>
      </c>
      <c r="E485" s="5" t="s">
        <v>48</v>
      </c>
      <c r="F485" s="6" t="s">
        <v>4296</v>
      </c>
      <c r="G485" s="6" t="s">
        <v>4297</v>
      </c>
      <c r="H485" s="8">
        <v>0</v>
      </c>
      <c r="I485" s="8">
        <v>-0.56000000000000005</v>
      </c>
      <c r="J485" s="6" t="s">
        <v>2713</v>
      </c>
      <c r="K485" s="6" t="s">
        <v>4298</v>
      </c>
      <c r="L485" s="6" t="s">
        <v>217</v>
      </c>
      <c r="M485" s="6" t="s">
        <v>4299</v>
      </c>
      <c r="N485" s="6">
        <f>11%</f>
        <v>0.11</v>
      </c>
      <c r="O485" s="6" t="s">
        <v>4300</v>
      </c>
      <c r="P485" s="6" t="s">
        <v>4301</v>
      </c>
      <c r="Q485" s="6" t="s">
        <v>217</v>
      </c>
      <c r="R485" s="6">
        <v>272</v>
      </c>
      <c r="S485" s="6">
        <v>3</v>
      </c>
      <c r="T485" s="6">
        <v>323</v>
      </c>
      <c r="U485" s="6">
        <f>19%</f>
        <v>0.19</v>
      </c>
      <c r="V485" s="6"/>
      <c r="W485" s="6"/>
      <c r="X485" s="6"/>
      <c r="Y485" s="6"/>
      <c r="Z485" s="6"/>
      <c r="AA485" s="6"/>
      <c r="AB485" s="6"/>
      <c r="AC485" s="6"/>
      <c r="AD485" s="7"/>
    </row>
    <row r="486" spans="1:30" ht="15.6" x14ac:dyDescent="0.3">
      <c r="A486" s="4">
        <v>773</v>
      </c>
      <c r="B486" s="5" t="s">
        <v>4302</v>
      </c>
      <c r="C486" s="6" t="s">
        <v>85</v>
      </c>
      <c r="D486" s="5" t="s">
        <v>4303</v>
      </c>
      <c r="E486" s="5" t="s">
        <v>48</v>
      </c>
      <c r="F486" s="6" t="s">
        <v>4304</v>
      </c>
      <c r="G486" s="6" t="s">
        <v>4305</v>
      </c>
      <c r="H486" s="8">
        <v>0</v>
      </c>
      <c r="I486" s="6" t="s">
        <v>4306</v>
      </c>
      <c r="J486" s="6" t="s">
        <v>1443</v>
      </c>
      <c r="K486" s="6" t="s">
        <v>4307</v>
      </c>
      <c r="L486" s="8">
        <v>-0.24</v>
      </c>
      <c r="M486" s="6" t="s">
        <v>3143</v>
      </c>
      <c r="N486" s="8">
        <v>-0.24</v>
      </c>
      <c r="O486" s="6" t="s">
        <v>4308</v>
      </c>
      <c r="P486" s="6" t="s">
        <v>217</v>
      </c>
      <c r="Q486" s="6" t="s">
        <v>217</v>
      </c>
      <c r="R486" s="6">
        <v>283</v>
      </c>
      <c r="S486" s="6">
        <v>12</v>
      </c>
      <c r="T486" s="6">
        <v>697</v>
      </c>
      <c r="U486" s="6" t="s">
        <v>217</v>
      </c>
      <c r="V486" s="6"/>
      <c r="W486" s="6"/>
      <c r="X486" s="6"/>
      <c r="Y486" s="6"/>
      <c r="Z486" s="6"/>
      <c r="AA486" s="6"/>
      <c r="AB486" s="6"/>
      <c r="AC486" s="6"/>
      <c r="AD486" s="7"/>
    </row>
    <row r="487" spans="1:30" ht="15.6" x14ac:dyDescent="0.3">
      <c r="A487" s="4">
        <v>774</v>
      </c>
      <c r="B487" s="5" t="s">
        <v>4309</v>
      </c>
      <c r="C487" s="6" t="s">
        <v>114</v>
      </c>
      <c r="D487" s="5" t="s">
        <v>4310</v>
      </c>
      <c r="E487" s="5" t="s">
        <v>48</v>
      </c>
      <c r="F487" s="6" t="s">
        <v>4311</v>
      </c>
      <c r="G487" s="6" t="s">
        <v>4312</v>
      </c>
      <c r="H487" s="8">
        <v>0</v>
      </c>
      <c r="I487" s="6" t="s">
        <v>3997</v>
      </c>
      <c r="J487" s="6" t="s">
        <v>1443</v>
      </c>
      <c r="K487" s="6" t="s">
        <v>4313</v>
      </c>
      <c r="L487" s="6" t="s">
        <v>217</v>
      </c>
      <c r="M487" s="6" t="s">
        <v>4314</v>
      </c>
      <c r="N487" s="6" t="s">
        <v>165</v>
      </c>
      <c r="O487" s="6" t="s">
        <v>4200</v>
      </c>
      <c r="P487" s="6" t="s">
        <v>217</v>
      </c>
      <c r="Q487" s="6" t="s">
        <v>217</v>
      </c>
      <c r="R487" s="6">
        <v>46</v>
      </c>
      <c r="S487" s="6">
        <v>0</v>
      </c>
      <c r="T487" s="6">
        <v>235</v>
      </c>
      <c r="U487" s="6" t="s">
        <v>217</v>
      </c>
      <c r="V487" s="6"/>
      <c r="W487" s="6"/>
      <c r="X487" s="6"/>
      <c r="Y487" s="6"/>
      <c r="Z487" s="6"/>
      <c r="AA487" s="6"/>
      <c r="AB487" s="6"/>
      <c r="AC487" s="6"/>
      <c r="AD487" s="7"/>
    </row>
    <row r="488" spans="1:30" ht="15.6" x14ac:dyDescent="0.3">
      <c r="A488" s="4">
        <v>775</v>
      </c>
      <c r="B488" s="5" t="s">
        <v>4315</v>
      </c>
      <c r="C488" s="6" t="s">
        <v>267</v>
      </c>
      <c r="D488" s="5" t="s">
        <v>4316</v>
      </c>
      <c r="E488" s="5" t="s">
        <v>48</v>
      </c>
      <c r="F488" s="6" t="s">
        <v>4317</v>
      </c>
      <c r="G488" s="6" t="s">
        <v>4318</v>
      </c>
      <c r="H488" s="8">
        <v>0</v>
      </c>
      <c r="I488" s="6" t="s">
        <v>9262</v>
      </c>
      <c r="J488" s="6" t="s">
        <v>1432</v>
      </c>
      <c r="K488" s="6" t="s">
        <v>4199</v>
      </c>
      <c r="L488" s="6" t="s">
        <v>217</v>
      </c>
      <c r="M488" s="6" t="s">
        <v>3196</v>
      </c>
      <c r="N488" s="6" t="s">
        <v>9262</v>
      </c>
      <c r="O488" s="6" t="s">
        <v>4319</v>
      </c>
      <c r="P488" s="6" t="s">
        <v>4320</v>
      </c>
      <c r="Q488" s="6" t="s">
        <v>217</v>
      </c>
      <c r="R488" s="6">
        <v>400</v>
      </c>
      <c r="S488" s="6">
        <v>10</v>
      </c>
      <c r="T488" s="6">
        <v>11</v>
      </c>
      <c r="U488" s="6" t="e">
        <f>+∞%</f>
        <v>#NAME?</v>
      </c>
      <c r="V488" s="6"/>
      <c r="W488" s="6"/>
      <c r="X488" s="6"/>
      <c r="Y488" s="6"/>
      <c r="Z488" s="6"/>
      <c r="AA488" s="6"/>
      <c r="AB488" s="6"/>
      <c r="AC488" s="6"/>
      <c r="AD488" s="7"/>
    </row>
    <row r="489" spans="1:30" ht="15.6" x14ac:dyDescent="0.3">
      <c r="A489" s="4">
        <v>776</v>
      </c>
      <c r="B489" s="5" t="s">
        <v>4321</v>
      </c>
      <c r="C489" s="6" t="s">
        <v>173</v>
      </c>
      <c r="D489" s="5" t="s">
        <v>4322</v>
      </c>
      <c r="E489" s="5" t="s">
        <v>48</v>
      </c>
      <c r="F489" s="6" t="s">
        <v>4323</v>
      </c>
      <c r="G489" s="6" t="s">
        <v>4324</v>
      </c>
      <c r="H489" s="8">
        <v>0</v>
      </c>
      <c r="I489" s="8">
        <v>-1</v>
      </c>
      <c r="J489" s="6" t="s">
        <v>4325</v>
      </c>
      <c r="K489" s="6" t="s">
        <v>4326</v>
      </c>
      <c r="L489" s="8">
        <v>-0.31</v>
      </c>
      <c r="M489" s="6" t="s">
        <v>3334</v>
      </c>
      <c r="N489" s="8">
        <v>-0.31</v>
      </c>
      <c r="O489" s="6" t="s">
        <v>4327</v>
      </c>
      <c r="P489" s="6" t="s">
        <v>4328</v>
      </c>
      <c r="Q489" s="6" t="s">
        <v>217</v>
      </c>
      <c r="R489" s="6">
        <v>43</v>
      </c>
      <c r="S489" s="6">
        <v>0</v>
      </c>
      <c r="T489" s="6">
        <v>300</v>
      </c>
      <c r="U489" s="6" t="s">
        <v>217</v>
      </c>
      <c r="V489" s="6"/>
      <c r="W489" s="6"/>
      <c r="X489" s="6"/>
      <c r="Y489" s="6"/>
      <c r="Z489" s="6"/>
      <c r="AA489" s="6"/>
      <c r="AB489" s="6"/>
      <c r="AC489" s="6"/>
      <c r="AD489" s="7"/>
    </row>
    <row r="490" spans="1:30" ht="15.6" x14ac:dyDescent="0.3">
      <c r="A490" s="4">
        <v>777</v>
      </c>
      <c r="B490" s="5" t="s">
        <v>4329</v>
      </c>
      <c r="C490" s="6" t="s">
        <v>126</v>
      </c>
      <c r="D490" s="5" t="s">
        <v>4330</v>
      </c>
      <c r="E490" s="5" t="s">
        <v>48</v>
      </c>
      <c r="F490" s="6" t="s">
        <v>4331</v>
      </c>
      <c r="G490" s="6" t="s">
        <v>4332</v>
      </c>
      <c r="H490" s="8">
        <v>0</v>
      </c>
      <c r="I490" s="6" t="s">
        <v>920</v>
      </c>
      <c r="J490" s="6" t="s">
        <v>199</v>
      </c>
      <c r="K490" s="6" t="s">
        <v>2304</v>
      </c>
      <c r="L490" s="8">
        <v>-0.19</v>
      </c>
      <c r="M490" s="6" t="s">
        <v>4333</v>
      </c>
      <c r="N490" s="8">
        <v>-0.19</v>
      </c>
      <c r="O490" s="6" t="s">
        <v>4334</v>
      </c>
      <c r="P490" s="6" t="s">
        <v>217</v>
      </c>
      <c r="Q490" s="6" t="s">
        <v>217</v>
      </c>
      <c r="R490" s="6">
        <v>76</v>
      </c>
      <c r="S490" s="6">
        <v>1</v>
      </c>
      <c r="T490" s="6">
        <v>369</v>
      </c>
      <c r="U490" s="6" t="s">
        <v>217</v>
      </c>
      <c r="V490" s="6"/>
      <c r="W490" s="6"/>
      <c r="X490" s="6"/>
      <c r="Y490" s="6"/>
      <c r="Z490" s="6"/>
      <c r="AA490" s="6"/>
      <c r="AB490" s="6"/>
      <c r="AC490" s="6"/>
      <c r="AD490" s="7"/>
    </row>
    <row r="491" spans="1:30" ht="15.6" x14ac:dyDescent="0.3">
      <c r="A491" s="4">
        <v>778</v>
      </c>
      <c r="B491" s="5" t="s">
        <v>4335</v>
      </c>
      <c r="C491" s="6" t="s">
        <v>291</v>
      </c>
      <c r="D491" s="5" t="s">
        <v>4336</v>
      </c>
      <c r="E491" s="5" t="s">
        <v>48</v>
      </c>
      <c r="F491" s="6" t="s">
        <v>4337</v>
      </c>
      <c r="G491" s="6" t="s">
        <v>4338</v>
      </c>
      <c r="H491" s="8">
        <v>0</v>
      </c>
      <c r="I491" s="6" t="s">
        <v>730</v>
      </c>
      <c r="J491" s="6" t="s">
        <v>296</v>
      </c>
      <c r="K491" s="6" t="s">
        <v>4339</v>
      </c>
      <c r="L491" s="6" t="s">
        <v>217</v>
      </c>
      <c r="M491" s="6" t="s">
        <v>4340</v>
      </c>
      <c r="N491" s="8">
        <v>-0.18</v>
      </c>
      <c r="O491" s="6" t="s">
        <v>4341</v>
      </c>
      <c r="P491" s="6" t="s">
        <v>217</v>
      </c>
      <c r="Q491" s="6" t="s">
        <v>217</v>
      </c>
      <c r="R491" s="6">
        <v>29</v>
      </c>
      <c r="S491" s="6">
        <v>1</v>
      </c>
      <c r="T491" s="6">
        <v>77</v>
      </c>
      <c r="U491" s="6" t="s">
        <v>217</v>
      </c>
      <c r="V491" s="6"/>
      <c r="W491" s="6"/>
      <c r="X491" s="6"/>
      <c r="Y491" s="6"/>
      <c r="Z491" s="6"/>
      <c r="AA491" s="6"/>
      <c r="AB491" s="6"/>
      <c r="AC491" s="6"/>
      <c r="AD491" s="7"/>
    </row>
    <row r="492" spans="1:30" ht="15.6" x14ac:dyDescent="0.3">
      <c r="A492" s="4">
        <v>779</v>
      </c>
      <c r="B492" s="5" t="s">
        <v>4342</v>
      </c>
      <c r="C492" s="6" t="s">
        <v>126</v>
      </c>
      <c r="D492" s="5" t="s">
        <v>4343</v>
      </c>
      <c r="E492" s="5" t="s">
        <v>48</v>
      </c>
      <c r="F492" s="6" t="s">
        <v>4344</v>
      </c>
      <c r="G492" s="6" t="s">
        <v>4345</v>
      </c>
      <c r="H492" s="8">
        <v>0</v>
      </c>
      <c r="I492" s="6" t="s">
        <v>1788</v>
      </c>
      <c r="J492" s="6" t="s">
        <v>3618</v>
      </c>
      <c r="K492" s="6" t="s">
        <v>4346</v>
      </c>
      <c r="L492" s="6" t="s">
        <v>217</v>
      </c>
      <c r="M492" s="6" t="s">
        <v>4347</v>
      </c>
      <c r="N492" s="8">
        <v>-0.14000000000000001</v>
      </c>
      <c r="O492" s="6" t="s">
        <v>4348</v>
      </c>
      <c r="P492" s="6" t="s">
        <v>217</v>
      </c>
      <c r="Q492" s="6" t="s">
        <v>217</v>
      </c>
      <c r="R492" s="6">
        <v>129</v>
      </c>
      <c r="S492" s="6">
        <v>0</v>
      </c>
      <c r="T492" s="6">
        <v>115</v>
      </c>
      <c r="U492" s="6" t="s">
        <v>217</v>
      </c>
      <c r="V492" s="6"/>
      <c r="W492" s="6"/>
      <c r="X492" s="6"/>
      <c r="Y492" s="6"/>
      <c r="Z492" s="6"/>
      <c r="AA492" s="6"/>
      <c r="AB492" s="6"/>
      <c r="AC492" s="6"/>
      <c r="AD492" s="7"/>
    </row>
    <row r="493" spans="1:30" ht="15.6" x14ac:dyDescent="0.3">
      <c r="A493" s="4">
        <v>780</v>
      </c>
      <c r="B493" s="5" t="s">
        <v>4349</v>
      </c>
      <c r="C493" s="6" t="s">
        <v>46</v>
      </c>
      <c r="D493" s="5" t="s">
        <v>4350</v>
      </c>
      <c r="E493" s="5" t="s">
        <v>48</v>
      </c>
      <c r="F493" s="6" t="s">
        <v>4351</v>
      </c>
      <c r="G493" s="6" t="s">
        <v>4352</v>
      </c>
      <c r="H493" s="8">
        <v>0</v>
      </c>
      <c r="I493" s="8">
        <v>-0.03</v>
      </c>
      <c r="J493" s="6" t="s">
        <v>888</v>
      </c>
      <c r="K493" s="6" t="s">
        <v>4353</v>
      </c>
      <c r="L493" s="6" t="s">
        <v>217</v>
      </c>
      <c r="M493" s="6" t="s">
        <v>4354</v>
      </c>
      <c r="N493" s="8">
        <v>-0.13</v>
      </c>
      <c r="O493" s="6" t="s">
        <v>3430</v>
      </c>
      <c r="P493" s="6" t="s">
        <v>4355</v>
      </c>
      <c r="Q493" s="6" t="s">
        <v>217</v>
      </c>
      <c r="R493" s="6">
        <v>14</v>
      </c>
      <c r="S493" s="6">
        <v>0</v>
      </c>
      <c r="T493" s="6">
        <v>65</v>
      </c>
      <c r="U493" s="6" t="e">
        <f>+∞%</f>
        <v>#NAME?</v>
      </c>
      <c r="V493" s="6"/>
      <c r="W493" s="6"/>
      <c r="X493" s="6"/>
      <c r="Y493" s="6"/>
      <c r="Z493" s="6"/>
      <c r="AA493" s="6"/>
      <c r="AB493" s="6"/>
      <c r="AC493" s="6"/>
      <c r="AD493" s="7"/>
    </row>
    <row r="494" spans="1:30" ht="15.6" x14ac:dyDescent="0.3">
      <c r="A494" s="4">
        <v>781</v>
      </c>
      <c r="B494" s="5" t="s">
        <v>4356</v>
      </c>
      <c r="C494" s="6" t="s">
        <v>60</v>
      </c>
      <c r="D494" s="5" t="s">
        <v>4357</v>
      </c>
      <c r="E494" s="5" t="s">
        <v>48</v>
      </c>
      <c r="F494" s="6" t="s">
        <v>4358</v>
      </c>
      <c r="G494" s="6" t="s">
        <v>4359</v>
      </c>
      <c r="H494" s="8">
        <v>0</v>
      </c>
      <c r="I494" s="8">
        <v>-0.97</v>
      </c>
      <c r="J494" s="6" t="s">
        <v>107</v>
      </c>
      <c r="K494" s="6" t="s">
        <v>4360</v>
      </c>
      <c r="L494" s="8">
        <v>-0.26</v>
      </c>
      <c r="M494" s="6" t="s">
        <v>4361</v>
      </c>
      <c r="N494" s="8">
        <v>-0.26</v>
      </c>
      <c r="O494" s="6" t="s">
        <v>4362</v>
      </c>
      <c r="P494" s="6" t="s">
        <v>4363</v>
      </c>
      <c r="Q494" s="6" t="s">
        <v>217</v>
      </c>
      <c r="R494" s="6">
        <v>453</v>
      </c>
      <c r="S494" s="6">
        <v>10</v>
      </c>
      <c r="T494" s="6">
        <v>458</v>
      </c>
      <c r="U494" s="6" t="s">
        <v>217</v>
      </c>
      <c r="V494" s="6"/>
      <c r="W494" s="6"/>
      <c r="X494" s="6"/>
      <c r="Y494" s="6"/>
      <c r="Z494" s="6"/>
      <c r="AA494" s="6"/>
      <c r="AB494" s="6"/>
      <c r="AC494" s="6"/>
      <c r="AD494" s="7"/>
    </row>
    <row r="495" spans="1:30" ht="15.6" x14ac:dyDescent="0.3">
      <c r="A495" s="4">
        <v>782</v>
      </c>
      <c r="B495" s="5" t="s">
        <v>4364</v>
      </c>
      <c r="C495" s="6" t="s">
        <v>546</v>
      </c>
      <c r="D495" s="5" t="s">
        <v>4365</v>
      </c>
      <c r="E495" s="5" t="s">
        <v>48</v>
      </c>
      <c r="F495" s="6" t="s">
        <v>4366</v>
      </c>
      <c r="G495" s="6" t="s">
        <v>4367</v>
      </c>
      <c r="H495" s="8">
        <v>0</v>
      </c>
      <c r="I495" s="6" t="s">
        <v>217</v>
      </c>
      <c r="J495" s="6" t="s">
        <v>309</v>
      </c>
      <c r="K495" s="6" t="s">
        <v>3904</v>
      </c>
      <c r="L495" s="6" t="s">
        <v>217</v>
      </c>
      <c r="M495" s="6" t="s">
        <v>3580</v>
      </c>
      <c r="N495" s="6" t="s">
        <v>9262</v>
      </c>
      <c r="O495" s="6" t="s">
        <v>4368</v>
      </c>
      <c r="P495" s="6" t="s">
        <v>217</v>
      </c>
      <c r="Q495" s="6" t="s">
        <v>217</v>
      </c>
      <c r="R495" s="6">
        <v>22</v>
      </c>
      <c r="S495" s="6">
        <v>2</v>
      </c>
      <c r="T495" s="6">
        <v>52</v>
      </c>
      <c r="U495" s="6" t="s">
        <v>217</v>
      </c>
      <c r="V495" s="6"/>
      <c r="W495" s="6"/>
      <c r="X495" s="6"/>
      <c r="Y495" s="6"/>
      <c r="Z495" s="6"/>
      <c r="AA495" s="6"/>
      <c r="AB495" s="6"/>
      <c r="AC495" s="6"/>
      <c r="AD495" s="7"/>
    </row>
    <row r="496" spans="1:30" ht="15.6" x14ac:dyDescent="0.3">
      <c r="A496" s="4">
        <v>783</v>
      </c>
      <c r="B496" s="5" t="s">
        <v>4369</v>
      </c>
      <c r="C496" s="6" t="s">
        <v>148</v>
      </c>
      <c r="D496" s="5" t="s">
        <v>4370</v>
      </c>
      <c r="E496" s="5" t="s">
        <v>48</v>
      </c>
      <c r="F496" s="6" t="s">
        <v>4371</v>
      </c>
      <c r="G496" s="6" t="s">
        <v>4372</v>
      </c>
      <c r="H496" s="8">
        <v>0</v>
      </c>
      <c r="I496" s="6" t="s">
        <v>3016</v>
      </c>
      <c r="J496" s="6" t="s">
        <v>421</v>
      </c>
      <c r="K496" s="6" t="s">
        <v>4373</v>
      </c>
      <c r="L496" s="6" t="s">
        <v>217</v>
      </c>
      <c r="M496" s="6" t="s">
        <v>3838</v>
      </c>
      <c r="N496" s="6" t="s">
        <v>3828</v>
      </c>
      <c r="O496" s="6" t="s">
        <v>3667</v>
      </c>
      <c r="P496" s="6" t="s">
        <v>217</v>
      </c>
      <c r="Q496" s="6" t="s">
        <v>217</v>
      </c>
      <c r="R496" s="6" t="s">
        <v>4374</v>
      </c>
      <c r="S496" s="6">
        <v>3</v>
      </c>
      <c r="T496" s="6">
        <v>73</v>
      </c>
      <c r="U496" s="6" t="s">
        <v>217</v>
      </c>
      <c r="V496" s="6"/>
      <c r="W496" s="6"/>
      <c r="X496" s="6"/>
      <c r="Y496" s="6"/>
      <c r="Z496" s="6"/>
      <c r="AA496" s="6"/>
      <c r="AB496" s="6"/>
      <c r="AC496" s="6"/>
      <c r="AD496" s="7"/>
    </row>
    <row r="497" spans="1:30" ht="15.6" x14ac:dyDescent="0.3">
      <c r="A497" s="4">
        <v>784</v>
      </c>
      <c r="B497" s="5" t="s">
        <v>4375</v>
      </c>
      <c r="C497" s="6" t="s">
        <v>1408</v>
      </c>
      <c r="D497" s="5" t="s">
        <v>4376</v>
      </c>
      <c r="E497" s="5" t="s">
        <v>48</v>
      </c>
      <c r="F497" s="6" t="s">
        <v>4377</v>
      </c>
      <c r="G497" s="6" t="s">
        <v>4378</v>
      </c>
      <c r="H497" s="8">
        <v>0</v>
      </c>
      <c r="I497" s="6" t="s">
        <v>4379</v>
      </c>
      <c r="J497" s="6" t="s">
        <v>1479</v>
      </c>
      <c r="K497" s="6" t="s">
        <v>4380</v>
      </c>
      <c r="L497" s="8">
        <v>-0.2</v>
      </c>
      <c r="M497" s="6" t="s">
        <v>4381</v>
      </c>
      <c r="N497" s="8">
        <v>-0.2</v>
      </c>
      <c r="O497" s="6" t="s">
        <v>4382</v>
      </c>
      <c r="P497" s="6" t="s">
        <v>217</v>
      </c>
      <c r="Q497" s="6" t="s">
        <v>217</v>
      </c>
      <c r="R497" s="6">
        <v>175</v>
      </c>
      <c r="S497" s="6">
        <v>3</v>
      </c>
      <c r="T497" s="6">
        <v>469</v>
      </c>
      <c r="U497" s="6" t="s">
        <v>217</v>
      </c>
      <c r="V497" s="6"/>
      <c r="W497" s="6"/>
      <c r="X497" s="6"/>
      <c r="Y497" s="6"/>
      <c r="Z497" s="6"/>
      <c r="AA497" s="6"/>
      <c r="AB497" s="6"/>
      <c r="AC497" s="6"/>
      <c r="AD497" s="7"/>
    </row>
    <row r="498" spans="1:30" ht="15.6" x14ac:dyDescent="0.3">
      <c r="A498" s="4">
        <v>785</v>
      </c>
      <c r="B498" s="5" t="s">
        <v>4383</v>
      </c>
      <c r="C498" s="6" t="s">
        <v>102</v>
      </c>
      <c r="D498" s="5" t="s">
        <v>4384</v>
      </c>
      <c r="E498" s="5" t="s">
        <v>48</v>
      </c>
      <c r="F498" s="6" t="s">
        <v>4385</v>
      </c>
      <c r="G498" s="6" t="s">
        <v>4386</v>
      </c>
      <c r="H498" s="8">
        <v>0</v>
      </c>
      <c r="I498" s="6" t="s">
        <v>2484</v>
      </c>
      <c r="J498" s="6" t="s">
        <v>731</v>
      </c>
      <c r="K498" s="6" t="s">
        <v>2475</v>
      </c>
      <c r="L498" s="6">
        <f>300%</f>
        <v>3</v>
      </c>
      <c r="M498" s="6" t="s">
        <v>4387</v>
      </c>
      <c r="N498" s="6">
        <f>300%</f>
        <v>3</v>
      </c>
      <c r="O498" s="6" t="s">
        <v>4388</v>
      </c>
      <c r="P498" s="6" t="s">
        <v>4389</v>
      </c>
      <c r="Q498" s="6" t="s">
        <v>217</v>
      </c>
      <c r="R498" s="6">
        <v>74</v>
      </c>
      <c r="S498" s="6">
        <v>0</v>
      </c>
      <c r="T498" s="6">
        <v>140</v>
      </c>
      <c r="U498" s="6">
        <f>700%</f>
        <v>7</v>
      </c>
      <c r="V498" s="6"/>
      <c r="W498" s="6"/>
      <c r="X498" s="6"/>
      <c r="Y498" s="6"/>
      <c r="Z498" s="6"/>
      <c r="AA498" s="6"/>
      <c r="AB498" s="6"/>
      <c r="AC498" s="6"/>
      <c r="AD498" s="7"/>
    </row>
    <row r="499" spans="1:30" ht="15.6" x14ac:dyDescent="0.3">
      <c r="A499" s="4">
        <v>788</v>
      </c>
      <c r="B499" s="5" t="s">
        <v>4390</v>
      </c>
      <c r="C499" s="6" t="s">
        <v>546</v>
      </c>
      <c r="D499" s="5" t="s">
        <v>4391</v>
      </c>
      <c r="E499" s="5" t="s">
        <v>48</v>
      </c>
      <c r="F499" s="6" t="s">
        <v>4392</v>
      </c>
      <c r="G499" s="6" t="s">
        <v>4393</v>
      </c>
      <c r="H499" s="8">
        <v>0</v>
      </c>
      <c r="I499" s="6" t="s">
        <v>106</v>
      </c>
      <c r="J499" s="6" t="s">
        <v>1110</v>
      </c>
      <c r="K499" s="6" t="s">
        <v>4394</v>
      </c>
      <c r="L499" s="6" t="s">
        <v>3602</v>
      </c>
      <c r="M499" s="6" t="s">
        <v>4395</v>
      </c>
      <c r="N499" s="6" t="s">
        <v>3602</v>
      </c>
      <c r="O499" s="6" t="s">
        <v>4396</v>
      </c>
      <c r="P499" s="6" t="s">
        <v>217</v>
      </c>
      <c r="Q499" s="6" t="s">
        <v>217</v>
      </c>
      <c r="R499" s="6">
        <v>124</v>
      </c>
      <c r="S499" s="6">
        <v>9</v>
      </c>
      <c r="T499" s="6">
        <v>250</v>
      </c>
      <c r="U499" s="6" t="s">
        <v>217</v>
      </c>
      <c r="V499" s="6"/>
      <c r="W499" s="6"/>
      <c r="X499" s="6"/>
      <c r="Y499" s="6"/>
      <c r="Z499" s="6"/>
      <c r="AA499" s="6"/>
      <c r="AB499" s="6"/>
      <c r="AC499" s="6"/>
      <c r="AD499" s="7"/>
    </row>
    <row r="500" spans="1:30" ht="15.6" x14ac:dyDescent="0.3">
      <c r="A500" s="4">
        <v>789</v>
      </c>
      <c r="B500" s="5" t="s">
        <v>4397</v>
      </c>
      <c r="C500" s="6" t="s">
        <v>1013</v>
      </c>
      <c r="D500" s="5" t="s">
        <v>4398</v>
      </c>
      <c r="E500" s="5" t="s">
        <v>48</v>
      </c>
      <c r="F500" s="6" t="s">
        <v>4399</v>
      </c>
      <c r="G500" s="6" t="s">
        <v>4400</v>
      </c>
      <c r="H500" s="8">
        <v>0</v>
      </c>
      <c r="I500" s="6" t="s">
        <v>920</v>
      </c>
      <c r="J500" s="6" t="s">
        <v>431</v>
      </c>
      <c r="K500" s="6" t="s">
        <v>4004</v>
      </c>
      <c r="L500" s="6" t="s">
        <v>217</v>
      </c>
      <c r="M500" s="6" t="s">
        <v>4005</v>
      </c>
      <c r="N500" s="8">
        <v>-0.12</v>
      </c>
      <c r="O500" s="6" t="s">
        <v>4188</v>
      </c>
      <c r="P500" s="6" t="s">
        <v>217</v>
      </c>
      <c r="Q500" s="6" t="s">
        <v>217</v>
      </c>
      <c r="R500" s="6">
        <v>89</v>
      </c>
      <c r="S500" s="6">
        <v>0</v>
      </c>
      <c r="T500" s="6">
        <v>60</v>
      </c>
      <c r="U500" s="6" t="s">
        <v>217</v>
      </c>
      <c r="V500" s="6"/>
      <c r="W500" s="6"/>
      <c r="X500" s="6"/>
      <c r="Y500" s="6"/>
      <c r="Z500" s="6"/>
      <c r="AA500" s="6"/>
      <c r="AB500" s="6"/>
      <c r="AC500" s="6"/>
      <c r="AD500" s="7"/>
    </row>
    <row r="501" spans="1:30" ht="15.6" x14ac:dyDescent="0.3">
      <c r="A501" s="4">
        <v>790</v>
      </c>
      <c r="B501" s="5" t="s">
        <v>4401</v>
      </c>
      <c r="C501" s="6" t="s">
        <v>46</v>
      </c>
      <c r="D501" s="5" t="s">
        <v>4402</v>
      </c>
      <c r="E501" s="5" t="s">
        <v>48</v>
      </c>
      <c r="F501" s="6" t="s">
        <v>4403</v>
      </c>
      <c r="G501" s="6" t="s">
        <v>4404</v>
      </c>
      <c r="H501" s="8">
        <v>0</v>
      </c>
      <c r="I501" s="6" t="s">
        <v>1269</v>
      </c>
      <c r="J501" s="6" t="s">
        <v>1110</v>
      </c>
      <c r="K501" s="6" t="s">
        <v>4405</v>
      </c>
      <c r="L501" s="6" t="s">
        <v>217</v>
      </c>
      <c r="M501" s="6" t="s">
        <v>3430</v>
      </c>
      <c r="N501" s="6" t="s">
        <v>9262</v>
      </c>
      <c r="O501" s="6" t="s">
        <v>3175</v>
      </c>
      <c r="P501" s="6" t="s">
        <v>217</v>
      </c>
      <c r="Q501" s="6" t="s">
        <v>217</v>
      </c>
      <c r="R501" s="6">
        <v>4</v>
      </c>
      <c r="S501" s="6">
        <v>0</v>
      </c>
      <c r="T501" s="6">
        <v>70</v>
      </c>
      <c r="U501" s="6" t="s">
        <v>217</v>
      </c>
      <c r="V501" s="6"/>
      <c r="W501" s="6"/>
      <c r="X501" s="6"/>
      <c r="Y501" s="6"/>
      <c r="Z501" s="6"/>
      <c r="AA501" s="6"/>
      <c r="AB501" s="6"/>
      <c r="AC501" s="6"/>
      <c r="AD501" s="7"/>
    </row>
    <row r="502" spans="1:30" ht="15.6" x14ac:dyDescent="0.3">
      <c r="A502" s="4">
        <v>791</v>
      </c>
      <c r="B502" s="5" t="s">
        <v>4406</v>
      </c>
      <c r="C502" s="6" t="s">
        <v>291</v>
      </c>
      <c r="D502" s="5" t="s">
        <v>4407</v>
      </c>
      <c r="E502" s="5" t="s">
        <v>48</v>
      </c>
      <c r="F502" s="6" t="s">
        <v>4408</v>
      </c>
      <c r="G502" s="6" t="s">
        <v>4409</v>
      </c>
      <c r="H502" s="8">
        <v>0</v>
      </c>
      <c r="I502" s="8">
        <v>-0.99</v>
      </c>
      <c r="J502" s="6" t="s">
        <v>3618</v>
      </c>
      <c r="K502" s="6" t="s">
        <v>4410</v>
      </c>
      <c r="L502" s="8">
        <v>-0.75</v>
      </c>
      <c r="M502" s="6" t="s">
        <v>357</v>
      </c>
      <c r="N502" s="8">
        <v>-0.75</v>
      </c>
      <c r="O502" s="6" t="s">
        <v>2769</v>
      </c>
      <c r="P502" s="6" t="s">
        <v>4411</v>
      </c>
      <c r="Q502" s="6" t="s">
        <v>217</v>
      </c>
      <c r="R502" s="6">
        <v>215</v>
      </c>
      <c r="S502" s="6">
        <v>1</v>
      </c>
      <c r="T502" s="6">
        <v>209</v>
      </c>
      <c r="U502" s="6" t="s">
        <v>217</v>
      </c>
      <c r="V502" s="6"/>
      <c r="W502" s="6"/>
      <c r="X502" s="6"/>
      <c r="Y502" s="6"/>
      <c r="Z502" s="6"/>
      <c r="AA502" s="6"/>
      <c r="AB502" s="6"/>
      <c r="AC502" s="6"/>
      <c r="AD502" s="7"/>
    </row>
    <row r="503" spans="1:30" ht="15.6" x14ac:dyDescent="0.3">
      <c r="A503" s="4">
        <v>792</v>
      </c>
      <c r="B503" s="5" t="s">
        <v>4412</v>
      </c>
      <c r="C503" s="6" t="s">
        <v>114</v>
      </c>
      <c r="D503" s="5" t="s">
        <v>4413</v>
      </c>
      <c r="E503" s="5" t="s">
        <v>48</v>
      </c>
      <c r="F503" s="6" t="s">
        <v>4414</v>
      </c>
      <c r="G503" s="6" t="s">
        <v>4415</v>
      </c>
      <c r="H503" s="8">
        <v>0</v>
      </c>
      <c r="I503" s="6" t="s">
        <v>1818</v>
      </c>
      <c r="J503" s="6" t="s">
        <v>272</v>
      </c>
      <c r="K503" s="6" t="s">
        <v>4416</v>
      </c>
      <c r="L503" s="6" t="s">
        <v>217</v>
      </c>
      <c r="M503" s="6" t="s">
        <v>4207</v>
      </c>
      <c r="N503" s="6" t="s">
        <v>4417</v>
      </c>
      <c r="O503" s="6" t="s">
        <v>2385</v>
      </c>
      <c r="P503" s="6" t="s">
        <v>217</v>
      </c>
      <c r="Q503" s="6" t="s">
        <v>217</v>
      </c>
      <c r="R503" s="6">
        <v>21</v>
      </c>
      <c r="S503" s="6">
        <v>1</v>
      </c>
      <c r="T503" s="6">
        <v>131</v>
      </c>
      <c r="U503" s="6" t="s">
        <v>217</v>
      </c>
      <c r="V503" s="6"/>
      <c r="W503" s="6"/>
      <c r="X503" s="6"/>
      <c r="Y503" s="6"/>
      <c r="Z503" s="6"/>
      <c r="AA503" s="6"/>
      <c r="AB503" s="6"/>
      <c r="AC503" s="6"/>
      <c r="AD503" s="7"/>
    </row>
    <row r="504" spans="1:30" ht="15.6" x14ac:dyDescent="0.3">
      <c r="A504" s="4">
        <v>793</v>
      </c>
      <c r="B504" s="5" t="s">
        <v>4418</v>
      </c>
      <c r="C504" s="6" t="s">
        <v>31</v>
      </c>
      <c r="D504" s="5" t="s">
        <v>4419</v>
      </c>
      <c r="E504" s="5" t="s">
        <v>48</v>
      </c>
      <c r="F504" s="6" t="s">
        <v>4420</v>
      </c>
      <c r="G504" s="6" t="s">
        <v>4421</v>
      </c>
      <c r="H504" s="8">
        <v>0</v>
      </c>
      <c r="I504" s="6" t="s">
        <v>217</v>
      </c>
      <c r="J504" s="6" t="s">
        <v>131</v>
      </c>
      <c r="K504" s="6" t="s">
        <v>4004</v>
      </c>
      <c r="L504" s="6" t="s">
        <v>217</v>
      </c>
      <c r="M504" s="6" t="s">
        <v>4422</v>
      </c>
      <c r="N504" s="8">
        <v>-0.12</v>
      </c>
      <c r="O504" s="6" t="s">
        <v>4188</v>
      </c>
      <c r="P504" s="6" t="s">
        <v>4423</v>
      </c>
      <c r="Q504" s="6" t="s">
        <v>217</v>
      </c>
      <c r="R504" s="6">
        <v>31</v>
      </c>
      <c r="S504" s="6">
        <v>2</v>
      </c>
      <c r="T504" s="6">
        <v>60</v>
      </c>
      <c r="U504" s="6" t="e">
        <f>+∞%</f>
        <v>#NAME?</v>
      </c>
      <c r="V504" s="6"/>
      <c r="W504" s="6"/>
      <c r="X504" s="6"/>
      <c r="Y504" s="6"/>
      <c r="Z504" s="6"/>
      <c r="AA504" s="6"/>
      <c r="AB504" s="6"/>
      <c r="AC504" s="6"/>
      <c r="AD504" s="7"/>
    </row>
    <row r="505" spans="1:30" ht="15.6" x14ac:dyDescent="0.3">
      <c r="A505" s="4">
        <v>794</v>
      </c>
      <c r="B505" s="5" t="s">
        <v>4424</v>
      </c>
      <c r="C505" s="6" t="s">
        <v>173</v>
      </c>
      <c r="D505" s="5" t="s">
        <v>4425</v>
      </c>
      <c r="E505" s="5" t="s">
        <v>48</v>
      </c>
      <c r="F505" s="6" t="s">
        <v>4426</v>
      </c>
      <c r="G505" s="6" t="s">
        <v>4427</v>
      </c>
      <c r="H505" s="8">
        <v>0</v>
      </c>
      <c r="I505" s="6" t="s">
        <v>4428</v>
      </c>
      <c r="J505" s="6" t="s">
        <v>2509</v>
      </c>
      <c r="K505" s="6" t="s">
        <v>4429</v>
      </c>
      <c r="L505" s="6" t="s">
        <v>217</v>
      </c>
      <c r="M505" s="6" t="s">
        <v>4430</v>
      </c>
      <c r="N505" s="6" t="s">
        <v>217</v>
      </c>
      <c r="O505" s="6" t="s">
        <v>3182</v>
      </c>
      <c r="P505" s="6" t="s">
        <v>217</v>
      </c>
      <c r="Q505" s="6" t="s">
        <v>217</v>
      </c>
      <c r="R505" s="6">
        <v>39</v>
      </c>
      <c r="S505" s="6">
        <v>4</v>
      </c>
      <c r="T505" s="6">
        <v>162</v>
      </c>
      <c r="U505" s="6" t="s">
        <v>217</v>
      </c>
      <c r="V505" s="6"/>
      <c r="W505" s="6"/>
      <c r="X505" s="6"/>
      <c r="Y505" s="6"/>
      <c r="Z505" s="6"/>
      <c r="AA505" s="6"/>
      <c r="AB505" s="6"/>
      <c r="AC505" s="6"/>
      <c r="AD505" s="7"/>
    </row>
    <row r="506" spans="1:30" ht="15.6" x14ac:dyDescent="0.3">
      <c r="A506" s="4">
        <v>795</v>
      </c>
      <c r="B506" s="5" t="s">
        <v>4431</v>
      </c>
      <c r="C506" s="6" t="s">
        <v>31</v>
      </c>
      <c r="D506" s="5" t="s">
        <v>4432</v>
      </c>
      <c r="E506" s="5" t="s">
        <v>48</v>
      </c>
      <c r="F506" s="6" t="s">
        <v>4433</v>
      </c>
      <c r="G506" s="6" t="s">
        <v>4434</v>
      </c>
      <c r="H506" s="8">
        <v>0</v>
      </c>
      <c r="I506" s="6" t="s">
        <v>4010</v>
      </c>
      <c r="J506" s="6" t="s">
        <v>824</v>
      </c>
      <c r="K506" s="6" t="s">
        <v>4435</v>
      </c>
      <c r="L506" s="6" t="s">
        <v>217</v>
      </c>
      <c r="M506" s="6" t="s">
        <v>4436</v>
      </c>
      <c r="N506" s="6" t="s">
        <v>9262</v>
      </c>
      <c r="O506" s="6" t="s">
        <v>4437</v>
      </c>
      <c r="P506" s="6" t="s">
        <v>217</v>
      </c>
      <c r="Q506" s="6" t="s">
        <v>217</v>
      </c>
      <c r="R506" s="6">
        <v>11</v>
      </c>
      <c r="S506" s="6">
        <v>1</v>
      </c>
      <c r="T506" s="6">
        <v>87</v>
      </c>
      <c r="U506" s="6" t="s">
        <v>217</v>
      </c>
      <c r="V506" s="6"/>
      <c r="W506" s="6"/>
      <c r="X506" s="6"/>
      <c r="Y506" s="6"/>
      <c r="Z506" s="6"/>
      <c r="AA506" s="6"/>
      <c r="AB506" s="6"/>
      <c r="AC506" s="6"/>
      <c r="AD506" s="7"/>
    </row>
    <row r="507" spans="1:30" ht="15.6" x14ac:dyDescent="0.3">
      <c r="A507" s="4">
        <v>796</v>
      </c>
      <c r="B507" s="5" t="s">
        <v>4438</v>
      </c>
      <c r="C507" s="6" t="s">
        <v>126</v>
      </c>
      <c r="D507" s="5" t="s">
        <v>4439</v>
      </c>
      <c r="E507" s="5" t="s">
        <v>48</v>
      </c>
      <c r="F507" s="6" t="s">
        <v>4440</v>
      </c>
      <c r="G507" s="6" t="s">
        <v>4441</v>
      </c>
      <c r="H507" s="8">
        <v>0</v>
      </c>
      <c r="I507" s="6" t="s">
        <v>1818</v>
      </c>
      <c r="J507" s="6" t="s">
        <v>211</v>
      </c>
      <c r="K507" s="6" t="s">
        <v>4442</v>
      </c>
      <c r="L507" s="6" t="s">
        <v>4443</v>
      </c>
      <c r="M507" s="6" t="s">
        <v>4444</v>
      </c>
      <c r="N507" s="6" t="s">
        <v>4443</v>
      </c>
      <c r="O507" s="6" t="s">
        <v>4445</v>
      </c>
      <c r="P507" s="6" t="s">
        <v>217</v>
      </c>
      <c r="Q507" s="6" t="s">
        <v>217</v>
      </c>
      <c r="R507" s="6">
        <v>197</v>
      </c>
      <c r="S507" s="6">
        <v>0</v>
      </c>
      <c r="T507" s="6">
        <v>457</v>
      </c>
      <c r="U507" s="6" t="s">
        <v>217</v>
      </c>
      <c r="V507" s="6"/>
      <c r="W507" s="6"/>
      <c r="X507" s="6"/>
      <c r="Y507" s="6"/>
      <c r="Z507" s="6"/>
      <c r="AA507" s="6"/>
      <c r="AB507" s="6"/>
      <c r="AC507" s="6"/>
      <c r="AD507" s="7"/>
    </row>
    <row r="508" spans="1:30" ht="15.6" x14ac:dyDescent="0.3">
      <c r="A508" s="4">
        <v>797</v>
      </c>
      <c r="B508" s="5" t="s">
        <v>4446</v>
      </c>
      <c r="C508" s="6" t="s">
        <v>185</v>
      </c>
      <c r="D508" s="5" t="s">
        <v>4447</v>
      </c>
      <c r="E508" s="5" t="s">
        <v>48</v>
      </c>
      <c r="F508" s="6" t="s">
        <v>4448</v>
      </c>
      <c r="G508" s="6" t="s">
        <v>4449</v>
      </c>
      <c r="H508" s="8">
        <v>0</v>
      </c>
      <c r="I508" s="6" t="s">
        <v>3602</v>
      </c>
      <c r="J508" s="6" t="s">
        <v>1453</v>
      </c>
      <c r="K508" s="6" t="s">
        <v>4248</v>
      </c>
      <c r="L508" s="6" t="s">
        <v>217</v>
      </c>
      <c r="M508" s="6" t="s">
        <v>4450</v>
      </c>
      <c r="N508" s="8">
        <v>-0.15</v>
      </c>
      <c r="O508" s="6" t="s">
        <v>4451</v>
      </c>
      <c r="P508" s="6" t="s">
        <v>4452</v>
      </c>
      <c r="Q508" s="6" t="s">
        <v>217</v>
      </c>
      <c r="R508" s="6">
        <v>27</v>
      </c>
      <c r="S508" s="6">
        <v>1</v>
      </c>
      <c r="T508" s="6">
        <v>52</v>
      </c>
      <c r="U508" s="6" t="s">
        <v>9262</v>
      </c>
      <c r="V508" s="6"/>
      <c r="W508" s="6"/>
      <c r="X508" s="6"/>
      <c r="Y508" s="6"/>
      <c r="Z508" s="6"/>
      <c r="AA508" s="6"/>
      <c r="AB508" s="6"/>
      <c r="AC508" s="6"/>
      <c r="AD508" s="7"/>
    </row>
    <row r="509" spans="1:30" ht="15.6" x14ac:dyDescent="0.3">
      <c r="A509" s="4">
        <v>798</v>
      </c>
      <c r="B509" s="5" t="s">
        <v>4453</v>
      </c>
      <c r="C509" s="6" t="s">
        <v>291</v>
      </c>
      <c r="D509" s="5" t="s">
        <v>4454</v>
      </c>
      <c r="E509" s="5" t="s">
        <v>48</v>
      </c>
      <c r="F509" s="6" t="s">
        <v>4455</v>
      </c>
      <c r="G509" s="6" t="s">
        <v>4456</v>
      </c>
      <c r="H509" s="8">
        <v>0</v>
      </c>
      <c r="I509" s="6" t="s">
        <v>1030</v>
      </c>
      <c r="J509" s="6" t="s">
        <v>1600</v>
      </c>
      <c r="K509" s="6" t="s">
        <v>4313</v>
      </c>
      <c r="L509" s="8">
        <v>-0.33</v>
      </c>
      <c r="M509" s="6" t="s">
        <v>4314</v>
      </c>
      <c r="N509" s="8">
        <v>-0.33</v>
      </c>
      <c r="O509" s="6" t="s">
        <v>4347</v>
      </c>
      <c r="P509" s="6" t="s">
        <v>217</v>
      </c>
      <c r="Q509" s="6" t="s">
        <v>217</v>
      </c>
      <c r="R509" s="6">
        <v>77</v>
      </c>
      <c r="S509" s="6">
        <v>2</v>
      </c>
      <c r="T509" s="6">
        <v>140</v>
      </c>
      <c r="U509" s="6" t="s">
        <v>217</v>
      </c>
      <c r="V509" s="6"/>
      <c r="W509" s="6"/>
      <c r="X509" s="6"/>
      <c r="Y509" s="6"/>
      <c r="Z509" s="6"/>
      <c r="AA509" s="6"/>
      <c r="AB509" s="6"/>
      <c r="AC509" s="6"/>
      <c r="AD509" s="7"/>
    </row>
    <row r="510" spans="1:30" ht="15.6" x14ac:dyDescent="0.3">
      <c r="A510" s="4">
        <v>799</v>
      </c>
      <c r="B510" s="5" t="s">
        <v>4457</v>
      </c>
      <c r="C510" s="6" t="s">
        <v>126</v>
      </c>
      <c r="D510" s="5" t="s">
        <v>4458</v>
      </c>
      <c r="E510" s="5" t="s">
        <v>48</v>
      </c>
      <c r="F510" s="6" t="s">
        <v>4459</v>
      </c>
      <c r="G510" s="6" t="s">
        <v>4460</v>
      </c>
      <c r="H510" s="8">
        <v>0</v>
      </c>
      <c r="I510" s="6" t="s">
        <v>3016</v>
      </c>
      <c r="J510" s="6" t="s">
        <v>332</v>
      </c>
      <c r="K510" s="6" t="s">
        <v>4461</v>
      </c>
      <c r="L510" s="8">
        <v>-0.22</v>
      </c>
      <c r="M510" s="6" t="s">
        <v>3845</v>
      </c>
      <c r="N510" s="8">
        <v>-0.22</v>
      </c>
      <c r="O510" s="6" t="s">
        <v>4462</v>
      </c>
      <c r="P510" s="6" t="s">
        <v>217</v>
      </c>
      <c r="Q510" s="6" t="s">
        <v>217</v>
      </c>
      <c r="R510" s="6" t="s">
        <v>4463</v>
      </c>
      <c r="S510" s="6">
        <v>0</v>
      </c>
      <c r="T510" s="6">
        <v>488</v>
      </c>
      <c r="U510" s="6" t="s">
        <v>217</v>
      </c>
      <c r="V510" s="6"/>
      <c r="W510" s="6"/>
      <c r="X510" s="6"/>
      <c r="Y510" s="6"/>
      <c r="Z510" s="6"/>
      <c r="AA510" s="6"/>
      <c r="AB510" s="6"/>
      <c r="AC510" s="6"/>
      <c r="AD510" s="7"/>
    </row>
    <row r="511" spans="1:30" ht="15.6" x14ac:dyDescent="0.3">
      <c r="A511" s="4">
        <v>800</v>
      </c>
      <c r="B511" s="5" t="s">
        <v>4464</v>
      </c>
      <c r="C511" s="6" t="s">
        <v>304</v>
      </c>
      <c r="D511" s="5" t="s">
        <v>4465</v>
      </c>
      <c r="E511" s="5" t="s">
        <v>48</v>
      </c>
      <c r="F511" s="6" t="s">
        <v>4466</v>
      </c>
      <c r="G511" s="6" t="s">
        <v>4467</v>
      </c>
      <c r="H511" s="8">
        <v>0</v>
      </c>
      <c r="I511" s="6" t="s">
        <v>217</v>
      </c>
      <c r="J511" s="6" t="s">
        <v>517</v>
      </c>
      <c r="K511" s="6" t="s">
        <v>4468</v>
      </c>
      <c r="L511" s="6" t="s">
        <v>217</v>
      </c>
      <c r="M511" s="6" t="s">
        <v>4469</v>
      </c>
      <c r="N511" s="6" t="s">
        <v>1818</v>
      </c>
      <c r="O511" s="6" t="s">
        <v>4470</v>
      </c>
      <c r="P511" s="6" t="s">
        <v>4471</v>
      </c>
      <c r="Q511" s="6" t="s">
        <v>217</v>
      </c>
      <c r="R511" s="6">
        <v>112</v>
      </c>
      <c r="S511" s="6">
        <v>4</v>
      </c>
      <c r="T511" s="6">
        <v>169</v>
      </c>
      <c r="U511" s="6" t="e">
        <f>+∞%</f>
        <v>#NAME?</v>
      </c>
      <c r="V511" s="6"/>
      <c r="W511" s="6"/>
      <c r="X511" s="6"/>
      <c r="Y511" s="6"/>
      <c r="Z511" s="6"/>
      <c r="AA511" s="6"/>
      <c r="AB511" s="6"/>
      <c r="AC511" s="6"/>
      <c r="AD511" s="7"/>
    </row>
    <row r="512" spans="1:30" ht="15.6" x14ac:dyDescent="0.3">
      <c r="A512" s="4">
        <v>801</v>
      </c>
      <c r="B512" s="5" t="s">
        <v>4472</v>
      </c>
      <c r="C512" s="6" t="s">
        <v>31</v>
      </c>
      <c r="D512" s="5" t="s">
        <v>4473</v>
      </c>
      <c r="E512" s="5" t="s">
        <v>48</v>
      </c>
      <c r="F512" s="6" t="s">
        <v>4474</v>
      </c>
      <c r="G512" s="6" t="s">
        <v>4475</v>
      </c>
      <c r="H512" s="8">
        <v>0</v>
      </c>
      <c r="I512" s="6" t="s">
        <v>2350</v>
      </c>
      <c r="J512" s="6" t="s">
        <v>2517</v>
      </c>
      <c r="K512" s="6" t="s">
        <v>4476</v>
      </c>
      <c r="L512" s="6" t="s">
        <v>217</v>
      </c>
      <c r="M512" s="6" t="s">
        <v>4477</v>
      </c>
      <c r="N512" s="8">
        <v>-0.14000000000000001</v>
      </c>
      <c r="O512" s="6" t="s">
        <v>4478</v>
      </c>
      <c r="P512" s="6" t="s">
        <v>217</v>
      </c>
      <c r="Q512" s="6" t="s">
        <v>217</v>
      </c>
      <c r="R512" s="6">
        <v>32</v>
      </c>
      <c r="S512" s="6">
        <v>0</v>
      </c>
      <c r="T512" s="6">
        <v>162</v>
      </c>
      <c r="U512" s="6" t="s">
        <v>217</v>
      </c>
      <c r="V512" s="6"/>
      <c r="W512" s="6"/>
      <c r="X512" s="6"/>
      <c r="Y512" s="6"/>
      <c r="Z512" s="6"/>
      <c r="AA512" s="6"/>
      <c r="AB512" s="6"/>
      <c r="AC512" s="6"/>
      <c r="AD512" s="7"/>
    </row>
    <row r="513" spans="1:30" ht="15.6" x14ac:dyDescent="0.3">
      <c r="A513" s="4">
        <v>802</v>
      </c>
      <c r="B513" s="5" t="s">
        <v>4479</v>
      </c>
      <c r="C513" s="6" t="s">
        <v>406</v>
      </c>
      <c r="D513" s="5" t="s">
        <v>4480</v>
      </c>
      <c r="E513" s="5" t="s">
        <v>48</v>
      </c>
      <c r="F513" s="6" t="s">
        <v>4481</v>
      </c>
      <c r="G513" s="6" t="s">
        <v>4482</v>
      </c>
      <c r="H513" s="8">
        <v>0</v>
      </c>
      <c r="I513" s="6" t="s">
        <v>710</v>
      </c>
      <c r="J513" s="6" t="s">
        <v>506</v>
      </c>
      <c r="K513" s="6" t="s">
        <v>4483</v>
      </c>
      <c r="L513" s="6" t="s">
        <v>217</v>
      </c>
      <c r="M513" s="6" t="s">
        <v>4484</v>
      </c>
      <c r="N513" s="6" t="s">
        <v>9262</v>
      </c>
      <c r="O513" s="6" t="s">
        <v>3520</v>
      </c>
      <c r="P513" s="6" t="s">
        <v>217</v>
      </c>
      <c r="Q513" s="6" t="s">
        <v>217</v>
      </c>
      <c r="R513" s="6">
        <v>21</v>
      </c>
      <c r="S513" s="6">
        <v>0</v>
      </c>
      <c r="T513" s="6">
        <v>37</v>
      </c>
      <c r="U513" s="6" t="s">
        <v>217</v>
      </c>
      <c r="V513" s="6"/>
      <c r="W513" s="6"/>
      <c r="X513" s="6"/>
      <c r="Y513" s="6"/>
      <c r="Z513" s="6"/>
      <c r="AA513" s="6"/>
      <c r="AB513" s="6"/>
      <c r="AC513" s="6"/>
      <c r="AD513" s="7"/>
    </row>
    <row r="514" spans="1:30" ht="15.6" x14ac:dyDescent="0.3">
      <c r="A514" s="4">
        <v>805</v>
      </c>
      <c r="B514" s="5" t="s">
        <v>4485</v>
      </c>
      <c r="C514" s="6" t="s">
        <v>1408</v>
      </c>
      <c r="D514" s="5" t="s">
        <v>4486</v>
      </c>
      <c r="E514" s="5" t="s">
        <v>48</v>
      </c>
      <c r="F514" s="6" t="s">
        <v>4487</v>
      </c>
      <c r="G514" s="6" t="s">
        <v>4488</v>
      </c>
      <c r="H514" s="8">
        <v>0</v>
      </c>
      <c r="I514" s="6" t="s">
        <v>2442</v>
      </c>
      <c r="J514" s="6" t="s">
        <v>374</v>
      </c>
      <c r="K514" s="6" t="s">
        <v>4489</v>
      </c>
      <c r="L514" s="6" t="s">
        <v>217</v>
      </c>
      <c r="M514" s="6" t="s">
        <v>3667</v>
      </c>
      <c r="N514" s="8">
        <v>-7.0000000000000007E-2</v>
      </c>
      <c r="O514" s="6" t="s">
        <v>4348</v>
      </c>
      <c r="P514" s="6" t="s">
        <v>217</v>
      </c>
      <c r="Q514" s="6" t="s">
        <v>217</v>
      </c>
      <c r="R514" s="6">
        <v>21</v>
      </c>
      <c r="S514" s="6">
        <v>0</v>
      </c>
      <c r="T514" s="6">
        <v>77</v>
      </c>
      <c r="U514" s="6" t="s">
        <v>217</v>
      </c>
      <c r="V514" s="6"/>
      <c r="W514" s="6"/>
      <c r="X514" s="6"/>
      <c r="Y514" s="6"/>
      <c r="Z514" s="6"/>
      <c r="AA514" s="6"/>
      <c r="AB514" s="6"/>
      <c r="AC514" s="6"/>
      <c r="AD514" s="7"/>
    </row>
    <row r="515" spans="1:30" ht="15.6" x14ac:dyDescent="0.3">
      <c r="A515" s="4">
        <v>807</v>
      </c>
      <c r="B515" s="5" t="s">
        <v>4490</v>
      </c>
      <c r="C515" s="6" t="s">
        <v>126</v>
      </c>
      <c r="D515" s="5" t="s">
        <v>4491</v>
      </c>
      <c r="E515" s="5" t="s">
        <v>48</v>
      </c>
      <c r="F515" s="6" t="s">
        <v>4492</v>
      </c>
      <c r="G515" s="6" t="s">
        <v>4493</v>
      </c>
      <c r="H515" s="8">
        <v>0</v>
      </c>
      <c r="I515" s="6" t="s">
        <v>3405</v>
      </c>
      <c r="J515" s="6" t="s">
        <v>1432</v>
      </c>
      <c r="K515" s="6" t="s">
        <v>4494</v>
      </c>
      <c r="L515" s="8">
        <v>-0.16</v>
      </c>
      <c r="M515" s="6" t="s">
        <v>4495</v>
      </c>
      <c r="N515" s="8">
        <v>-0.16</v>
      </c>
      <c r="O515" s="6" t="s">
        <v>1222</v>
      </c>
      <c r="P515" s="6" t="s">
        <v>4496</v>
      </c>
      <c r="Q515" s="6" t="s">
        <v>217</v>
      </c>
      <c r="R515" s="6">
        <v>265</v>
      </c>
      <c r="S515" s="6">
        <v>2</v>
      </c>
      <c r="T515" s="6">
        <v>111</v>
      </c>
      <c r="U515" s="6" t="e">
        <f>+∞%</f>
        <v>#NAME?</v>
      </c>
      <c r="V515" s="6"/>
      <c r="W515" s="6"/>
      <c r="X515" s="6"/>
      <c r="Y515" s="6"/>
      <c r="Z515" s="6"/>
      <c r="AA515" s="6"/>
      <c r="AB515" s="6"/>
      <c r="AC515" s="6"/>
      <c r="AD515" s="7"/>
    </row>
    <row r="516" spans="1:30" ht="15.6" x14ac:dyDescent="0.3">
      <c r="A516" s="4">
        <v>808</v>
      </c>
      <c r="B516" s="5" t="s">
        <v>4497</v>
      </c>
      <c r="C516" s="6" t="s">
        <v>546</v>
      </c>
      <c r="D516" s="5" t="s">
        <v>4498</v>
      </c>
      <c r="E516" s="5" t="s">
        <v>48</v>
      </c>
      <c r="F516" s="6" t="s">
        <v>4499</v>
      </c>
      <c r="G516" s="6" t="s">
        <v>4500</v>
      </c>
      <c r="H516" s="8">
        <v>0</v>
      </c>
      <c r="I516" s="8">
        <v>-0.01</v>
      </c>
      <c r="J516" s="6" t="s">
        <v>107</v>
      </c>
      <c r="K516" s="6" t="s">
        <v>3436</v>
      </c>
      <c r="L516" s="6">
        <f>6.9%</f>
        <v>6.9000000000000006E-2</v>
      </c>
      <c r="M516" s="6" t="s">
        <v>4501</v>
      </c>
      <c r="N516" s="6">
        <f>6.9%</f>
        <v>6.9000000000000006E-2</v>
      </c>
      <c r="O516" s="6" t="s">
        <v>2511</v>
      </c>
      <c r="P516" s="6" t="s">
        <v>112</v>
      </c>
      <c r="Q516" s="6" t="s">
        <v>217</v>
      </c>
      <c r="R516" s="6">
        <v>146</v>
      </c>
      <c r="S516" s="6">
        <v>3</v>
      </c>
      <c r="T516" s="6">
        <v>298</v>
      </c>
      <c r="U516" s="6">
        <f>620%</f>
        <v>6.2</v>
      </c>
      <c r="V516" s="6"/>
      <c r="W516" s="6"/>
      <c r="X516" s="6"/>
      <c r="Y516" s="6"/>
      <c r="Z516" s="6"/>
      <c r="AA516" s="6"/>
      <c r="AB516" s="6"/>
      <c r="AC516" s="6"/>
      <c r="AD516" s="7"/>
    </row>
    <row r="517" spans="1:30" ht="15.6" x14ac:dyDescent="0.3">
      <c r="A517" s="4">
        <v>809</v>
      </c>
      <c r="B517" s="5" t="s">
        <v>4502</v>
      </c>
      <c r="C517" s="6" t="s">
        <v>72</v>
      </c>
      <c r="D517" s="5" t="s">
        <v>4503</v>
      </c>
      <c r="E517" s="5" t="s">
        <v>48</v>
      </c>
      <c r="F517" s="6" t="s">
        <v>4504</v>
      </c>
      <c r="G517" s="6" t="s">
        <v>4505</v>
      </c>
      <c r="H517" s="8">
        <v>0</v>
      </c>
      <c r="I517" s="6" t="s">
        <v>217</v>
      </c>
      <c r="J517" s="6" t="s">
        <v>259</v>
      </c>
      <c r="K517" s="6" t="s">
        <v>4506</v>
      </c>
      <c r="L517" s="6" t="s">
        <v>217</v>
      </c>
      <c r="M517" s="6" t="s">
        <v>4507</v>
      </c>
      <c r="N517" s="6" t="s">
        <v>9262</v>
      </c>
      <c r="O517" s="6" t="s">
        <v>3175</v>
      </c>
      <c r="P517" s="6" t="s">
        <v>217</v>
      </c>
      <c r="Q517" s="6" t="s">
        <v>217</v>
      </c>
      <c r="R517" s="6">
        <v>101</v>
      </c>
      <c r="S517" s="6">
        <v>1</v>
      </c>
      <c r="T517" s="6">
        <v>31</v>
      </c>
      <c r="U517" s="6" t="s">
        <v>217</v>
      </c>
      <c r="V517" s="6"/>
      <c r="W517" s="6"/>
      <c r="X517" s="6"/>
      <c r="Y517" s="6"/>
      <c r="Z517" s="6"/>
      <c r="AA517" s="6"/>
      <c r="AB517" s="6"/>
      <c r="AC517" s="6"/>
      <c r="AD517" s="7"/>
    </row>
    <row r="518" spans="1:30" ht="15.6" x14ac:dyDescent="0.3">
      <c r="A518" s="4">
        <v>810</v>
      </c>
      <c r="B518" s="5" t="s">
        <v>4508</v>
      </c>
      <c r="C518" s="6" t="s">
        <v>173</v>
      </c>
      <c r="D518" s="5" t="s">
        <v>4509</v>
      </c>
      <c r="E518" s="5" t="s">
        <v>48</v>
      </c>
      <c r="F518" s="6" t="s">
        <v>4510</v>
      </c>
      <c r="G518" s="6" t="s">
        <v>4511</v>
      </c>
      <c r="H518" s="8">
        <v>0</v>
      </c>
      <c r="I518" s="6"/>
      <c r="J518" s="6" t="s">
        <v>494</v>
      </c>
      <c r="K518" s="6" t="s">
        <v>4353</v>
      </c>
      <c r="L518" s="6" t="s">
        <v>217</v>
      </c>
      <c r="M518" s="6" t="s">
        <v>4354</v>
      </c>
      <c r="N518" s="8">
        <v>-0.12</v>
      </c>
      <c r="O518" s="6" t="s">
        <v>3166</v>
      </c>
      <c r="P518" s="6" t="s">
        <v>217</v>
      </c>
      <c r="Q518" s="6" t="s">
        <v>217</v>
      </c>
      <c r="R518" s="6">
        <v>8</v>
      </c>
      <c r="S518" s="6">
        <v>0</v>
      </c>
      <c r="T518" s="6">
        <v>35</v>
      </c>
      <c r="U518" s="6" t="s">
        <v>217</v>
      </c>
      <c r="V518" s="6"/>
      <c r="W518" s="6"/>
      <c r="X518" s="6"/>
      <c r="Y518" s="6"/>
      <c r="Z518" s="6"/>
      <c r="AA518" s="6"/>
      <c r="AB518" s="6"/>
      <c r="AC518" s="6"/>
      <c r="AD518" s="7"/>
    </row>
    <row r="519" spans="1:30" ht="15.6" x14ac:dyDescent="0.3">
      <c r="A519" s="4">
        <v>811</v>
      </c>
      <c r="B519" s="5" t="s">
        <v>4512</v>
      </c>
      <c r="C519" s="6" t="s">
        <v>173</v>
      </c>
      <c r="D519" s="5" t="s">
        <v>4513</v>
      </c>
      <c r="E519" s="5" t="s">
        <v>48</v>
      </c>
      <c r="F519" s="6" t="s">
        <v>4514</v>
      </c>
      <c r="G519" s="6" t="s">
        <v>4515</v>
      </c>
      <c r="H519" s="8">
        <v>0</v>
      </c>
      <c r="I519" s="6" t="s">
        <v>4379</v>
      </c>
      <c r="J519" s="6" t="s">
        <v>199</v>
      </c>
      <c r="K519" s="6" t="s">
        <v>4516</v>
      </c>
      <c r="L519" s="8">
        <v>-0.14000000000000001</v>
      </c>
      <c r="M519" s="6" t="s">
        <v>4517</v>
      </c>
      <c r="N519" s="8">
        <v>-0.14000000000000001</v>
      </c>
      <c r="O519" s="6" t="s">
        <v>4518</v>
      </c>
      <c r="P519" s="6" t="s">
        <v>4519</v>
      </c>
      <c r="Q519" s="6" t="s">
        <v>217</v>
      </c>
      <c r="R519" s="6">
        <v>800</v>
      </c>
      <c r="S519" s="6">
        <v>43</v>
      </c>
      <c r="T519" s="6" t="s">
        <v>4520</v>
      </c>
      <c r="U519" s="6">
        <f>670%</f>
        <v>6.7</v>
      </c>
      <c r="V519" s="6"/>
      <c r="W519" s="6"/>
      <c r="X519" s="6"/>
      <c r="Y519" s="6"/>
      <c r="Z519" s="6"/>
      <c r="AA519" s="6"/>
      <c r="AB519" s="6"/>
      <c r="AC519" s="6"/>
      <c r="AD519" s="7"/>
    </row>
    <row r="520" spans="1:30" ht="15.6" x14ac:dyDescent="0.3">
      <c r="A520" s="4">
        <v>814</v>
      </c>
      <c r="B520" s="5" t="s">
        <v>4521</v>
      </c>
      <c r="C520" s="6" t="s">
        <v>85</v>
      </c>
      <c r="D520" s="5" t="s">
        <v>4522</v>
      </c>
      <c r="E520" s="5" t="s">
        <v>48</v>
      </c>
      <c r="F520" s="6" t="s">
        <v>4523</v>
      </c>
      <c r="G520" s="6" t="s">
        <v>4524</v>
      </c>
      <c r="H520" s="8">
        <v>0</v>
      </c>
      <c r="I520" s="6" t="s">
        <v>4525</v>
      </c>
      <c r="J520" s="6" t="s">
        <v>272</v>
      </c>
      <c r="K520" s="6" t="s">
        <v>4526</v>
      </c>
      <c r="L520" s="6" t="s">
        <v>201</v>
      </c>
      <c r="M520" s="6" t="s">
        <v>4527</v>
      </c>
      <c r="N520" s="6" t="s">
        <v>201</v>
      </c>
      <c r="O520" s="6" t="s">
        <v>4528</v>
      </c>
      <c r="P520" s="6" t="s">
        <v>4529</v>
      </c>
      <c r="Q520" s="6">
        <f>110%</f>
        <v>1.1000000000000001</v>
      </c>
      <c r="R520" s="6">
        <v>636</v>
      </c>
      <c r="S520" s="6">
        <v>34</v>
      </c>
      <c r="T520" s="6" t="s">
        <v>2584</v>
      </c>
      <c r="U520" s="8">
        <v>-0.85</v>
      </c>
      <c r="V520" s="6"/>
      <c r="W520" s="6"/>
      <c r="X520" s="6"/>
      <c r="Y520" s="6"/>
      <c r="Z520" s="6"/>
      <c r="AA520" s="6"/>
      <c r="AB520" s="6"/>
      <c r="AC520" s="6"/>
      <c r="AD520" s="7"/>
    </row>
    <row r="521" spans="1:30" ht="15.6" x14ac:dyDescent="0.3">
      <c r="A521" s="4">
        <v>815</v>
      </c>
      <c r="B521" s="5" t="s">
        <v>4530</v>
      </c>
      <c r="C521" s="6" t="s">
        <v>31</v>
      </c>
      <c r="D521" s="5" t="s">
        <v>4531</v>
      </c>
      <c r="E521" s="5" t="s">
        <v>48</v>
      </c>
      <c r="F521" s="6" t="s">
        <v>4532</v>
      </c>
      <c r="G521" s="6" t="s">
        <v>4533</v>
      </c>
      <c r="H521" s="8">
        <v>0</v>
      </c>
      <c r="I521" s="8">
        <v>-1</v>
      </c>
      <c r="J521" s="6" t="s">
        <v>1130</v>
      </c>
      <c r="K521" s="6" t="s">
        <v>3116</v>
      </c>
      <c r="L521" s="8">
        <v>-0.16</v>
      </c>
      <c r="M521" s="6" t="s">
        <v>4534</v>
      </c>
      <c r="N521" s="8">
        <v>-0.16</v>
      </c>
      <c r="O521" s="6" t="s">
        <v>4535</v>
      </c>
      <c r="P521" s="6" t="s">
        <v>4536</v>
      </c>
      <c r="Q521" s="6" t="s">
        <v>217</v>
      </c>
      <c r="R521" s="6">
        <v>514</v>
      </c>
      <c r="S521" s="6">
        <v>45</v>
      </c>
      <c r="T521" s="6" t="s">
        <v>314</v>
      </c>
      <c r="U521" s="6" t="s">
        <v>217</v>
      </c>
      <c r="V521" s="6"/>
      <c r="W521" s="6"/>
      <c r="X521" s="6"/>
      <c r="Y521" s="6"/>
      <c r="Z521" s="6"/>
      <c r="AA521" s="6"/>
      <c r="AB521" s="6"/>
      <c r="AC521" s="6"/>
      <c r="AD521" s="7"/>
    </row>
    <row r="522" spans="1:30" ht="15.6" x14ac:dyDescent="0.3">
      <c r="A522" s="4">
        <v>816</v>
      </c>
      <c r="B522" s="5" t="s">
        <v>4537</v>
      </c>
      <c r="C522" s="6" t="s">
        <v>304</v>
      </c>
      <c r="D522" s="5" t="s">
        <v>4538</v>
      </c>
      <c r="E522" s="5" t="s">
        <v>48</v>
      </c>
      <c r="F522" s="6" t="s">
        <v>4539</v>
      </c>
      <c r="G522" s="6" t="s">
        <v>4540</v>
      </c>
      <c r="H522" s="8">
        <v>0</v>
      </c>
      <c r="I522" s="6" t="s">
        <v>1628</v>
      </c>
      <c r="J522" s="6" t="s">
        <v>1660</v>
      </c>
      <c r="K522" s="6" t="s">
        <v>4541</v>
      </c>
      <c r="L522" s="8">
        <v>-0.22</v>
      </c>
      <c r="M522" s="6" t="s">
        <v>2856</v>
      </c>
      <c r="N522" s="8">
        <v>-0.22</v>
      </c>
      <c r="O522" s="6" t="s">
        <v>3190</v>
      </c>
      <c r="P522" s="6">
        <v>0</v>
      </c>
      <c r="Q522" s="6" t="s">
        <v>217</v>
      </c>
      <c r="R522" s="6">
        <v>42</v>
      </c>
      <c r="S522" s="6">
        <v>4</v>
      </c>
      <c r="T522" s="6">
        <v>404</v>
      </c>
      <c r="U522" s="6" t="e">
        <f>+∞%</f>
        <v>#NAME?</v>
      </c>
      <c r="V522" s="6"/>
      <c r="W522" s="6"/>
      <c r="X522" s="6"/>
      <c r="Y522" s="6"/>
      <c r="Z522" s="6"/>
      <c r="AA522" s="6"/>
      <c r="AB522" s="6"/>
      <c r="AC522" s="6"/>
      <c r="AD522" s="7"/>
    </row>
    <row r="523" spans="1:30" ht="15.6" x14ac:dyDescent="0.3">
      <c r="A523" s="4">
        <v>817</v>
      </c>
      <c r="B523" s="5" t="s">
        <v>4542</v>
      </c>
      <c r="C523" s="6" t="s">
        <v>304</v>
      </c>
      <c r="D523" s="5" t="s">
        <v>4543</v>
      </c>
      <c r="E523" s="5" t="s">
        <v>48</v>
      </c>
      <c r="F523" s="6" t="s">
        <v>4544</v>
      </c>
      <c r="G523" s="6" t="s">
        <v>4545</v>
      </c>
      <c r="H523" s="8">
        <v>0</v>
      </c>
      <c r="I523" s="6" t="s">
        <v>2712</v>
      </c>
      <c r="J523" s="6" t="s">
        <v>454</v>
      </c>
      <c r="K523" s="6" t="s">
        <v>4546</v>
      </c>
      <c r="L523" s="8">
        <v>-0.18</v>
      </c>
      <c r="M523" s="6" t="s">
        <v>3845</v>
      </c>
      <c r="N523" s="8">
        <v>-0.18</v>
      </c>
      <c r="O523" s="6" t="s">
        <v>3923</v>
      </c>
      <c r="P523" s="6" t="s">
        <v>4547</v>
      </c>
      <c r="Q523" s="6" t="s">
        <v>217</v>
      </c>
      <c r="R523" s="6">
        <v>82</v>
      </c>
      <c r="S523" s="6">
        <v>1</v>
      </c>
      <c r="T523" s="6">
        <v>315</v>
      </c>
      <c r="U523" s="6" t="e">
        <f>+∞%</f>
        <v>#NAME?</v>
      </c>
      <c r="V523" s="6"/>
      <c r="W523" s="6"/>
      <c r="X523" s="6"/>
      <c r="Y523" s="6"/>
      <c r="Z523" s="6"/>
      <c r="AA523" s="6"/>
      <c r="AB523" s="6"/>
      <c r="AC523" s="6"/>
      <c r="AD523" s="7"/>
    </row>
    <row r="524" spans="1:30" ht="15.6" x14ac:dyDescent="0.3">
      <c r="A524" s="4">
        <v>818</v>
      </c>
      <c r="B524" s="5" t="s">
        <v>4548</v>
      </c>
      <c r="C524" s="6" t="s">
        <v>304</v>
      </c>
      <c r="D524" s="5" t="s">
        <v>4549</v>
      </c>
      <c r="E524" s="5" t="s">
        <v>48</v>
      </c>
      <c r="F524" s="6" t="s">
        <v>4550</v>
      </c>
      <c r="G524" s="6" t="s">
        <v>4551</v>
      </c>
      <c r="H524" s="8">
        <v>0</v>
      </c>
      <c r="I524" s="6" t="s">
        <v>3655</v>
      </c>
      <c r="J524" s="6" t="s">
        <v>482</v>
      </c>
      <c r="K524" s="6" t="s">
        <v>4552</v>
      </c>
      <c r="L524" s="8">
        <v>-0.14000000000000001</v>
      </c>
      <c r="M524" s="6" t="s">
        <v>2769</v>
      </c>
      <c r="N524" s="8">
        <v>-0.14000000000000001</v>
      </c>
      <c r="O524" s="6" t="s">
        <v>4553</v>
      </c>
      <c r="P524" s="6" t="s">
        <v>4554</v>
      </c>
      <c r="Q524" s="6" t="s">
        <v>217</v>
      </c>
      <c r="R524" s="6">
        <v>40</v>
      </c>
      <c r="S524" s="6">
        <v>1</v>
      </c>
      <c r="T524" s="6">
        <v>127</v>
      </c>
      <c r="U524" s="6" t="e">
        <f>+∞%</f>
        <v>#NAME?</v>
      </c>
      <c r="V524" s="6"/>
      <c r="W524" s="6"/>
      <c r="X524" s="6"/>
      <c r="Y524" s="6"/>
      <c r="Z524" s="6"/>
      <c r="AA524" s="6"/>
      <c r="AB524" s="6"/>
      <c r="AC524" s="6"/>
      <c r="AD524" s="7"/>
    </row>
    <row r="525" spans="1:30" ht="15.6" x14ac:dyDescent="0.3">
      <c r="A525" s="4">
        <v>820</v>
      </c>
      <c r="B525" s="5" t="s">
        <v>4555</v>
      </c>
      <c r="C525" s="6" t="s">
        <v>1013</v>
      </c>
      <c r="D525" s="5" t="s">
        <v>4556</v>
      </c>
      <c r="E525" s="5" t="s">
        <v>48</v>
      </c>
      <c r="F525" s="6" t="s">
        <v>4557</v>
      </c>
      <c r="G525" s="6" t="s">
        <v>4558</v>
      </c>
      <c r="H525" s="8">
        <v>0</v>
      </c>
      <c r="I525" s="6" t="s">
        <v>217</v>
      </c>
      <c r="J525" s="6" t="s">
        <v>354</v>
      </c>
      <c r="K525" s="6" t="s">
        <v>4559</v>
      </c>
      <c r="L525" s="6" t="s">
        <v>217</v>
      </c>
      <c r="M525" s="6" t="s">
        <v>4437</v>
      </c>
      <c r="N525" s="6" t="s">
        <v>9262</v>
      </c>
      <c r="O525" s="6" t="s">
        <v>4560</v>
      </c>
      <c r="P525" s="11">
        <v>45815</v>
      </c>
      <c r="Q525" s="6" t="s">
        <v>217</v>
      </c>
      <c r="R525" s="6">
        <v>44</v>
      </c>
      <c r="S525" s="6">
        <v>1</v>
      </c>
      <c r="T525" s="6">
        <v>39</v>
      </c>
      <c r="U525" s="6" t="e">
        <f>+∞%</f>
        <v>#NAME?</v>
      </c>
      <c r="V525" s="6"/>
      <c r="W525" s="6"/>
      <c r="X525" s="6"/>
      <c r="Y525" s="6"/>
      <c r="Z525" s="6"/>
      <c r="AA525" s="6"/>
      <c r="AB525" s="6"/>
      <c r="AC525" s="6"/>
      <c r="AD525" s="7"/>
    </row>
    <row r="526" spans="1:30" ht="15.6" x14ac:dyDescent="0.3">
      <c r="A526" s="4">
        <v>821</v>
      </c>
      <c r="B526" s="5" t="s">
        <v>4561</v>
      </c>
      <c r="C526" s="6" t="s">
        <v>126</v>
      </c>
      <c r="D526" s="5" t="s">
        <v>4562</v>
      </c>
      <c r="E526" s="5" t="s">
        <v>48</v>
      </c>
      <c r="F526" s="6" t="s">
        <v>4563</v>
      </c>
      <c r="G526" s="6" t="s">
        <v>4564</v>
      </c>
      <c r="H526" s="8">
        <v>0</v>
      </c>
      <c r="I526" s="6" t="s">
        <v>708</v>
      </c>
      <c r="J526" s="6" t="s">
        <v>2509</v>
      </c>
      <c r="K526" s="6" t="s">
        <v>3518</v>
      </c>
      <c r="L526" s="6" t="s">
        <v>217</v>
      </c>
      <c r="M526" s="6" t="s">
        <v>4553</v>
      </c>
      <c r="N526" s="8">
        <v>-0.18</v>
      </c>
      <c r="O526" s="6" t="s">
        <v>4477</v>
      </c>
      <c r="P526" s="6" t="s">
        <v>217</v>
      </c>
      <c r="Q526" s="6" t="s">
        <v>217</v>
      </c>
      <c r="R526" s="6">
        <v>18</v>
      </c>
      <c r="S526" s="6">
        <v>1</v>
      </c>
      <c r="T526" s="6">
        <v>60</v>
      </c>
      <c r="U526" s="6" t="s">
        <v>217</v>
      </c>
      <c r="V526" s="6"/>
      <c r="W526" s="6"/>
      <c r="X526" s="6"/>
      <c r="Y526" s="6"/>
      <c r="Z526" s="6"/>
      <c r="AA526" s="6"/>
      <c r="AB526" s="6"/>
      <c r="AC526" s="6"/>
      <c r="AD526" s="7"/>
    </row>
    <row r="527" spans="1:30" ht="15.6" x14ac:dyDescent="0.3">
      <c r="A527" s="4">
        <v>822</v>
      </c>
      <c r="B527" s="5" t="s">
        <v>4565</v>
      </c>
      <c r="C527" s="6" t="s">
        <v>304</v>
      </c>
      <c r="D527" s="5" t="s">
        <v>4566</v>
      </c>
      <c r="E527" s="5" t="s">
        <v>48</v>
      </c>
      <c r="F527" s="6" t="s">
        <v>4567</v>
      </c>
      <c r="G527" s="6" t="s">
        <v>4568</v>
      </c>
      <c r="H527" s="8">
        <v>0</v>
      </c>
      <c r="I527" s="6" t="s">
        <v>1269</v>
      </c>
      <c r="J527" s="6" t="s">
        <v>354</v>
      </c>
      <c r="K527" s="6" t="s">
        <v>3226</v>
      </c>
      <c r="L527" s="6" t="s">
        <v>217</v>
      </c>
      <c r="M527" s="6" t="s">
        <v>3481</v>
      </c>
      <c r="N527" s="8">
        <v>-0.12</v>
      </c>
      <c r="O527" s="6" t="s">
        <v>4569</v>
      </c>
      <c r="P527" s="6" t="s">
        <v>217</v>
      </c>
      <c r="Q527" s="6" t="s">
        <v>217</v>
      </c>
      <c r="R527" s="6">
        <v>30</v>
      </c>
      <c r="S527" s="6">
        <v>1</v>
      </c>
      <c r="T527" s="6">
        <v>103</v>
      </c>
      <c r="U527" s="6" t="s">
        <v>217</v>
      </c>
      <c r="V527" s="6"/>
      <c r="W527" s="6"/>
      <c r="X527" s="6"/>
      <c r="Y527" s="6"/>
      <c r="Z527" s="6"/>
      <c r="AA527" s="6"/>
      <c r="AB527" s="6"/>
      <c r="AC527" s="6"/>
      <c r="AD527" s="7"/>
    </row>
    <row r="528" spans="1:30" ht="15.6" x14ac:dyDescent="0.3">
      <c r="A528" s="4">
        <v>823</v>
      </c>
      <c r="B528" s="5" t="s">
        <v>4570</v>
      </c>
      <c r="C528" s="6" t="s">
        <v>148</v>
      </c>
      <c r="D528" s="5" t="s">
        <v>4571</v>
      </c>
      <c r="E528" s="5" t="s">
        <v>48</v>
      </c>
      <c r="F528" s="6" t="s">
        <v>4572</v>
      </c>
      <c r="G528" s="6" t="s">
        <v>4573</v>
      </c>
      <c r="H528" s="8">
        <v>0</v>
      </c>
      <c r="I528" s="6" t="s">
        <v>1006</v>
      </c>
      <c r="J528" s="6" t="s">
        <v>411</v>
      </c>
      <c r="K528" s="6" t="s">
        <v>4574</v>
      </c>
      <c r="L528" s="6" t="s">
        <v>217</v>
      </c>
      <c r="M528" s="6" t="s">
        <v>4575</v>
      </c>
      <c r="N528" s="6" t="s">
        <v>9262</v>
      </c>
      <c r="O528" s="6" t="s">
        <v>4110</v>
      </c>
      <c r="P528" s="6" t="s">
        <v>217</v>
      </c>
      <c r="Q528" s="6" t="s">
        <v>217</v>
      </c>
      <c r="R528" s="6">
        <v>39</v>
      </c>
      <c r="S528" s="6">
        <v>0</v>
      </c>
      <c r="T528" s="6">
        <v>125</v>
      </c>
      <c r="U528" s="6" t="s">
        <v>217</v>
      </c>
      <c r="V528" s="6"/>
      <c r="W528" s="6"/>
      <c r="X528" s="6"/>
      <c r="Y528" s="6"/>
      <c r="Z528" s="6"/>
      <c r="AA528" s="6"/>
      <c r="AB528" s="6"/>
      <c r="AC528" s="6"/>
      <c r="AD528" s="7"/>
    </row>
    <row r="529" spans="1:30" ht="15.6" x14ac:dyDescent="0.3">
      <c r="A529" s="4">
        <v>824</v>
      </c>
      <c r="B529" s="5" t="s">
        <v>4576</v>
      </c>
      <c r="C529" s="6" t="s">
        <v>370</v>
      </c>
      <c r="D529" s="5" t="s">
        <v>4577</v>
      </c>
      <c r="E529" s="5" t="s">
        <v>48</v>
      </c>
      <c r="F529" s="6" t="s">
        <v>4578</v>
      </c>
      <c r="G529" s="6" t="s">
        <v>4579</v>
      </c>
      <c r="H529" s="8">
        <v>0</v>
      </c>
      <c r="I529" s="8">
        <v>-1</v>
      </c>
      <c r="J529" s="6" t="s">
        <v>272</v>
      </c>
      <c r="K529" s="6" t="s">
        <v>4150</v>
      </c>
      <c r="L529" s="6" t="s">
        <v>217</v>
      </c>
      <c r="M529" s="6" t="s">
        <v>4580</v>
      </c>
      <c r="N529" s="6" t="s">
        <v>4581</v>
      </c>
      <c r="O529" s="6" t="s">
        <v>4582</v>
      </c>
      <c r="P529" s="6" t="s">
        <v>4583</v>
      </c>
      <c r="Q529" s="6" t="s">
        <v>217</v>
      </c>
      <c r="R529" s="6">
        <v>173</v>
      </c>
      <c r="S529" s="6">
        <v>7</v>
      </c>
      <c r="T529" s="6" t="s">
        <v>124</v>
      </c>
      <c r="U529" s="8">
        <v>-0.22</v>
      </c>
      <c r="V529" s="6"/>
      <c r="W529" s="6"/>
      <c r="X529" s="6"/>
      <c r="Y529" s="6"/>
      <c r="Z529" s="6"/>
      <c r="AA529" s="6"/>
      <c r="AB529" s="6"/>
      <c r="AC529" s="6"/>
      <c r="AD529" s="7"/>
    </row>
    <row r="530" spans="1:30" ht="15.6" x14ac:dyDescent="0.3">
      <c r="A530" s="4">
        <v>825</v>
      </c>
      <c r="B530" s="5" t="s">
        <v>4584</v>
      </c>
      <c r="C530" s="6" t="s">
        <v>1408</v>
      </c>
      <c r="D530" s="5" t="s">
        <v>4585</v>
      </c>
      <c r="E530" s="5" t="s">
        <v>48</v>
      </c>
      <c r="F530" s="6" t="s">
        <v>4586</v>
      </c>
      <c r="G530" s="6" t="s">
        <v>4587</v>
      </c>
      <c r="H530" s="8">
        <v>0</v>
      </c>
      <c r="I530" s="6" t="s">
        <v>1229</v>
      </c>
      <c r="J530" s="6" t="s">
        <v>118</v>
      </c>
      <c r="K530" s="6" t="s">
        <v>4588</v>
      </c>
      <c r="L530" s="8">
        <v>-0.24</v>
      </c>
      <c r="M530" s="6" t="s">
        <v>4589</v>
      </c>
      <c r="N530" s="8">
        <v>-0.24</v>
      </c>
      <c r="O530" s="6" t="s">
        <v>4450</v>
      </c>
      <c r="P530" s="6" t="s">
        <v>217</v>
      </c>
      <c r="Q530" s="6" t="s">
        <v>217</v>
      </c>
      <c r="R530" s="6">
        <v>40</v>
      </c>
      <c r="S530" s="6">
        <v>2</v>
      </c>
      <c r="T530" s="6">
        <v>148</v>
      </c>
      <c r="U530" s="6" t="s">
        <v>217</v>
      </c>
      <c r="V530" s="6"/>
      <c r="W530" s="6"/>
      <c r="X530" s="6"/>
      <c r="Y530" s="6"/>
      <c r="Z530" s="6"/>
      <c r="AA530" s="6"/>
      <c r="AB530" s="6"/>
      <c r="AC530" s="6"/>
      <c r="AD530" s="7"/>
    </row>
    <row r="531" spans="1:30" ht="15.6" x14ac:dyDescent="0.3">
      <c r="A531" s="4">
        <v>827</v>
      </c>
      <c r="B531" s="5" t="s">
        <v>4590</v>
      </c>
      <c r="C531" s="6" t="s">
        <v>46</v>
      </c>
      <c r="D531" s="5" t="s">
        <v>4591</v>
      </c>
      <c r="E531" s="5" t="s">
        <v>48</v>
      </c>
      <c r="F531" s="6" t="s">
        <v>4592</v>
      </c>
      <c r="G531" s="6" t="s">
        <v>4593</v>
      </c>
      <c r="H531" s="8">
        <v>0</v>
      </c>
      <c r="I531" s="6" t="s">
        <v>217</v>
      </c>
      <c r="J531" s="6" t="s">
        <v>517</v>
      </c>
      <c r="K531" s="6" t="s">
        <v>4594</v>
      </c>
      <c r="L531" s="6" t="s">
        <v>217</v>
      </c>
      <c r="M531" s="6" t="s">
        <v>4595</v>
      </c>
      <c r="N531" s="6" t="s">
        <v>3167</v>
      </c>
      <c r="O531" s="6" t="s">
        <v>4596</v>
      </c>
      <c r="P531" s="6" t="s">
        <v>217</v>
      </c>
      <c r="Q531" s="6" t="s">
        <v>217</v>
      </c>
      <c r="R531" s="6">
        <v>4</v>
      </c>
      <c r="S531" s="6">
        <v>0</v>
      </c>
      <c r="T531" s="6">
        <v>29</v>
      </c>
      <c r="U531" s="6" t="s">
        <v>217</v>
      </c>
      <c r="V531" s="6"/>
      <c r="W531" s="6"/>
      <c r="X531" s="6"/>
      <c r="Y531" s="6"/>
      <c r="Z531" s="6"/>
      <c r="AA531" s="6"/>
      <c r="AB531" s="6"/>
      <c r="AC531" s="6"/>
      <c r="AD531" s="7"/>
    </row>
    <row r="532" spans="1:30" ht="15.6" x14ac:dyDescent="0.3">
      <c r="A532" s="4">
        <v>831</v>
      </c>
      <c r="B532" s="5" t="s">
        <v>4597</v>
      </c>
      <c r="C532" s="6" t="s">
        <v>126</v>
      </c>
      <c r="D532" s="5" t="s">
        <v>4598</v>
      </c>
      <c r="E532" s="5" t="s">
        <v>48</v>
      </c>
      <c r="F532" s="6" t="s">
        <v>4599</v>
      </c>
      <c r="G532" s="6" t="s">
        <v>4600</v>
      </c>
      <c r="H532" s="8">
        <v>0</v>
      </c>
      <c r="I532" s="6" t="s">
        <v>51</v>
      </c>
      <c r="J532" s="6" t="s">
        <v>211</v>
      </c>
      <c r="K532" s="6" t="s">
        <v>4601</v>
      </c>
      <c r="L532" s="6" t="s">
        <v>217</v>
      </c>
      <c r="M532" s="6" t="s">
        <v>4602</v>
      </c>
      <c r="N532" s="8">
        <v>-0.06</v>
      </c>
      <c r="O532" s="6" t="s">
        <v>4603</v>
      </c>
      <c r="P532" s="6" t="s">
        <v>217</v>
      </c>
      <c r="Q532" s="6" t="s">
        <v>217</v>
      </c>
      <c r="R532" s="6">
        <v>135</v>
      </c>
      <c r="S532" s="6">
        <v>3</v>
      </c>
      <c r="T532" s="6">
        <v>222</v>
      </c>
      <c r="U532" s="6" t="s">
        <v>217</v>
      </c>
      <c r="V532" s="6"/>
      <c r="W532" s="6"/>
      <c r="X532" s="6"/>
      <c r="Y532" s="6"/>
      <c r="Z532" s="6"/>
      <c r="AA532" s="6"/>
      <c r="AB532" s="6"/>
      <c r="AC532" s="6"/>
      <c r="AD532" s="7"/>
    </row>
    <row r="533" spans="1:30" ht="15.6" x14ac:dyDescent="0.3">
      <c r="A533" s="4">
        <v>832</v>
      </c>
      <c r="B533" s="5" t="s">
        <v>4604</v>
      </c>
      <c r="C533" s="6" t="s">
        <v>126</v>
      </c>
      <c r="D533" s="5" t="s">
        <v>4605</v>
      </c>
      <c r="E533" s="5" t="s">
        <v>48</v>
      </c>
      <c r="F533" s="6" t="s">
        <v>4606</v>
      </c>
      <c r="G533" s="6" t="s">
        <v>4607</v>
      </c>
      <c r="H533" s="8">
        <v>0</v>
      </c>
      <c r="I533" s="8">
        <v>-0.5</v>
      </c>
      <c r="J533" s="6" t="s">
        <v>38</v>
      </c>
      <c r="K533" s="6" t="s">
        <v>4608</v>
      </c>
      <c r="L533" s="8">
        <v>-0.22</v>
      </c>
      <c r="M533" s="6" t="s">
        <v>4609</v>
      </c>
      <c r="N533" s="8">
        <v>-0.22</v>
      </c>
      <c r="O533" s="6" t="s">
        <v>4610</v>
      </c>
      <c r="P533" s="6" t="s">
        <v>44</v>
      </c>
      <c r="Q533" s="6" t="s">
        <v>217</v>
      </c>
      <c r="R533" s="6" t="s">
        <v>4611</v>
      </c>
      <c r="S533" s="6">
        <v>54</v>
      </c>
      <c r="T533" s="6" t="s">
        <v>3934</v>
      </c>
      <c r="U533" s="6">
        <f>19%</f>
        <v>0.19</v>
      </c>
      <c r="V533" s="6"/>
      <c r="W533" s="6"/>
      <c r="X533" s="6"/>
      <c r="Y533" s="6"/>
      <c r="Z533" s="6"/>
      <c r="AA533" s="6"/>
      <c r="AB533" s="6"/>
      <c r="AC533" s="6"/>
      <c r="AD533" s="7"/>
    </row>
    <row r="534" spans="1:30" ht="15.6" x14ac:dyDescent="0.3">
      <c r="A534" s="4">
        <v>833</v>
      </c>
      <c r="B534" s="5" t="s">
        <v>4612</v>
      </c>
      <c r="C534" s="6" t="s">
        <v>219</v>
      </c>
      <c r="D534" s="5" t="s">
        <v>4613</v>
      </c>
      <c r="E534" s="5" t="s">
        <v>48</v>
      </c>
      <c r="F534" s="6" t="s">
        <v>4614</v>
      </c>
      <c r="G534" s="6" t="s">
        <v>4615</v>
      </c>
      <c r="H534" s="8">
        <v>0</v>
      </c>
      <c r="I534" s="8">
        <v>-0.91</v>
      </c>
      <c r="J534" s="6" t="s">
        <v>1479</v>
      </c>
      <c r="K534" s="6" t="s">
        <v>4616</v>
      </c>
      <c r="L534" s="8">
        <v>-0.5</v>
      </c>
      <c r="M534" s="6" t="s">
        <v>4617</v>
      </c>
      <c r="N534" s="8">
        <v>-0.5</v>
      </c>
      <c r="O534" s="6" t="s">
        <v>4618</v>
      </c>
      <c r="P534" s="6" t="s">
        <v>1233</v>
      </c>
      <c r="Q534" s="6" t="s">
        <v>217</v>
      </c>
      <c r="R534" s="6">
        <v>393</v>
      </c>
      <c r="S534" s="6">
        <v>0</v>
      </c>
      <c r="T534" s="6" t="s">
        <v>314</v>
      </c>
      <c r="U534" s="6" t="s">
        <v>217</v>
      </c>
      <c r="V534" s="6"/>
      <c r="W534" s="6"/>
      <c r="X534" s="6"/>
      <c r="Y534" s="6"/>
      <c r="Z534" s="6"/>
      <c r="AA534" s="6"/>
      <c r="AB534" s="6"/>
      <c r="AC534" s="6"/>
      <c r="AD534" s="7"/>
    </row>
    <row r="535" spans="1:30" ht="15.6" x14ac:dyDescent="0.3">
      <c r="A535" s="4">
        <v>834</v>
      </c>
      <c r="B535" s="5" t="s">
        <v>4619</v>
      </c>
      <c r="C535" s="6" t="s">
        <v>102</v>
      </c>
      <c r="D535" s="5" t="s">
        <v>4620</v>
      </c>
      <c r="E535" s="5" t="s">
        <v>48</v>
      </c>
      <c r="F535" s="6" t="s">
        <v>4621</v>
      </c>
      <c r="G535" s="6" t="s">
        <v>4622</v>
      </c>
      <c r="H535" s="8">
        <v>0</v>
      </c>
      <c r="I535" s="6" t="s">
        <v>4623</v>
      </c>
      <c r="J535" s="6" t="s">
        <v>166</v>
      </c>
      <c r="K535" s="6" t="s">
        <v>4624</v>
      </c>
      <c r="L535" s="6" t="s">
        <v>217</v>
      </c>
      <c r="M535" s="6" t="s">
        <v>4625</v>
      </c>
      <c r="N535" s="6" t="s">
        <v>4180</v>
      </c>
      <c r="O535" s="6" t="s">
        <v>4626</v>
      </c>
      <c r="P535" s="11">
        <v>45887</v>
      </c>
      <c r="Q535" s="6" t="s">
        <v>217</v>
      </c>
      <c r="R535" s="6">
        <v>237</v>
      </c>
      <c r="S535" s="6">
        <v>3</v>
      </c>
      <c r="T535" s="6">
        <v>302</v>
      </c>
      <c r="U535" s="6">
        <f>140%</f>
        <v>1.4</v>
      </c>
      <c r="V535" s="6"/>
      <c r="W535" s="6"/>
      <c r="X535" s="6"/>
      <c r="Y535" s="6"/>
      <c r="Z535" s="6"/>
      <c r="AA535" s="6"/>
      <c r="AB535" s="6"/>
      <c r="AC535" s="6"/>
      <c r="AD535" s="7"/>
    </row>
    <row r="536" spans="1:30" ht="15.6" x14ac:dyDescent="0.3">
      <c r="A536" s="4">
        <v>835</v>
      </c>
      <c r="B536" s="5" t="s">
        <v>4627</v>
      </c>
      <c r="C536" s="6" t="s">
        <v>1244</v>
      </c>
      <c r="D536" s="5" t="s">
        <v>4628</v>
      </c>
      <c r="E536" s="5" t="s">
        <v>48</v>
      </c>
      <c r="F536" s="6" t="s">
        <v>4629</v>
      </c>
      <c r="G536" s="6" t="s">
        <v>4630</v>
      </c>
      <c r="H536" s="8">
        <v>0</v>
      </c>
      <c r="I536" s="8">
        <v>-0.12</v>
      </c>
      <c r="J536" s="6" t="s">
        <v>1238</v>
      </c>
      <c r="K536" s="6" t="s">
        <v>4631</v>
      </c>
      <c r="L536" s="6">
        <f>52%</f>
        <v>0.52</v>
      </c>
      <c r="M536" s="6" t="s">
        <v>4632</v>
      </c>
      <c r="N536" s="6">
        <f>52%</f>
        <v>0.52</v>
      </c>
      <c r="O536" s="6" t="s">
        <v>2985</v>
      </c>
      <c r="P536" s="6" t="s">
        <v>4633</v>
      </c>
      <c r="Q536" s="6" t="s">
        <v>217</v>
      </c>
      <c r="R536" s="6">
        <v>200</v>
      </c>
      <c r="S536" s="6">
        <v>3</v>
      </c>
      <c r="T536" s="6">
        <v>602</v>
      </c>
      <c r="U536" s="6">
        <f>550%</f>
        <v>5.5</v>
      </c>
      <c r="V536" s="6"/>
      <c r="W536" s="6"/>
      <c r="X536" s="6"/>
      <c r="Y536" s="6"/>
      <c r="Z536" s="6"/>
      <c r="AA536" s="6"/>
      <c r="AB536" s="6"/>
      <c r="AC536" s="6"/>
      <c r="AD536" s="7"/>
    </row>
    <row r="537" spans="1:30" ht="15.6" x14ac:dyDescent="0.3">
      <c r="A537" s="4">
        <v>836</v>
      </c>
      <c r="B537" s="5" t="s">
        <v>4634</v>
      </c>
      <c r="C537" s="6" t="s">
        <v>126</v>
      </c>
      <c r="D537" s="5" t="s">
        <v>4635</v>
      </c>
      <c r="E537" s="5" t="s">
        <v>48</v>
      </c>
      <c r="F537" s="6" t="s">
        <v>4636</v>
      </c>
      <c r="G537" s="6" t="s">
        <v>4637</v>
      </c>
      <c r="H537" s="8">
        <v>0</v>
      </c>
      <c r="I537" s="8">
        <v>-0.98</v>
      </c>
      <c r="J537" s="6" t="s">
        <v>1649</v>
      </c>
      <c r="K537" s="6" t="s">
        <v>2247</v>
      </c>
      <c r="L537" s="6" t="s">
        <v>217</v>
      </c>
      <c r="M537" s="6" t="s">
        <v>4638</v>
      </c>
      <c r="N537" s="6">
        <f>1.3%</f>
        <v>1.3000000000000001E-2</v>
      </c>
      <c r="O537" s="6" t="s">
        <v>4639</v>
      </c>
      <c r="P537" s="6" t="s">
        <v>4640</v>
      </c>
      <c r="Q537" s="6" t="s">
        <v>217</v>
      </c>
      <c r="R537" s="6">
        <v>172</v>
      </c>
      <c r="S537" s="6">
        <v>5</v>
      </c>
      <c r="T537" s="6">
        <v>327</v>
      </c>
      <c r="U537" s="6" t="s">
        <v>217</v>
      </c>
      <c r="V537" s="6"/>
      <c r="W537" s="6"/>
      <c r="X537" s="6"/>
      <c r="Y537" s="6"/>
      <c r="Z537" s="6"/>
      <c r="AA537" s="6"/>
      <c r="AB537" s="6"/>
      <c r="AC537" s="6"/>
      <c r="AD537" s="7"/>
    </row>
    <row r="538" spans="1:30" ht="15.6" x14ac:dyDescent="0.3">
      <c r="A538" s="4">
        <v>837</v>
      </c>
      <c r="B538" s="5" t="s">
        <v>4641</v>
      </c>
      <c r="C538" s="6" t="s">
        <v>114</v>
      </c>
      <c r="D538" s="5" t="s">
        <v>4642</v>
      </c>
      <c r="E538" s="5" t="s">
        <v>48</v>
      </c>
      <c r="F538" s="6" t="s">
        <v>4643</v>
      </c>
      <c r="G538" s="6" t="s">
        <v>4644</v>
      </c>
      <c r="H538" s="8">
        <v>0</v>
      </c>
      <c r="I538" s="6" t="s">
        <v>920</v>
      </c>
      <c r="J538" s="6" t="s">
        <v>272</v>
      </c>
      <c r="K538" s="6" t="s">
        <v>4645</v>
      </c>
      <c r="L538" s="6" t="s">
        <v>217</v>
      </c>
      <c r="M538" s="6" t="s">
        <v>4646</v>
      </c>
      <c r="N538" s="6" t="s">
        <v>3427</v>
      </c>
      <c r="O538" s="6" t="s">
        <v>3666</v>
      </c>
      <c r="P538" s="6" t="s">
        <v>4647</v>
      </c>
      <c r="Q538" s="6" t="s">
        <v>217</v>
      </c>
      <c r="R538" s="6">
        <v>57</v>
      </c>
      <c r="S538" s="6">
        <v>0</v>
      </c>
      <c r="T538" s="6">
        <v>124</v>
      </c>
      <c r="U538" s="6">
        <f>24%</f>
        <v>0.24</v>
      </c>
      <c r="V538" s="6"/>
      <c r="W538" s="6"/>
      <c r="X538" s="6"/>
      <c r="Y538" s="6"/>
      <c r="Z538" s="6"/>
      <c r="AA538" s="6"/>
      <c r="AB538" s="6"/>
      <c r="AC538" s="6"/>
      <c r="AD538" s="7"/>
    </row>
    <row r="539" spans="1:30" ht="15.6" x14ac:dyDescent="0.3">
      <c r="A539" s="4">
        <v>838</v>
      </c>
      <c r="B539" s="5" t="s">
        <v>4648</v>
      </c>
      <c r="C539" s="6" t="s">
        <v>126</v>
      </c>
      <c r="D539" s="5" t="s">
        <v>4649</v>
      </c>
      <c r="E539" s="5" t="s">
        <v>48</v>
      </c>
      <c r="F539" s="6" t="s">
        <v>4650</v>
      </c>
      <c r="G539" s="6" t="s">
        <v>4651</v>
      </c>
      <c r="H539" s="8">
        <v>0</v>
      </c>
      <c r="I539" s="8">
        <v>-0.02</v>
      </c>
      <c r="J539" s="6" t="s">
        <v>4325</v>
      </c>
      <c r="K539" s="6" t="s">
        <v>4109</v>
      </c>
      <c r="L539" s="6" t="s">
        <v>217</v>
      </c>
      <c r="M539" s="6" t="s">
        <v>4110</v>
      </c>
      <c r="N539" s="8">
        <v>-0.19</v>
      </c>
      <c r="O539" s="6" t="s">
        <v>4569</v>
      </c>
      <c r="P539" s="6" t="s">
        <v>217</v>
      </c>
      <c r="Q539" s="6" t="s">
        <v>217</v>
      </c>
      <c r="R539" s="6">
        <v>18</v>
      </c>
      <c r="S539" s="6">
        <v>0</v>
      </c>
      <c r="T539" s="6">
        <v>98</v>
      </c>
      <c r="U539" s="6" t="s">
        <v>217</v>
      </c>
      <c r="V539" s="6"/>
      <c r="W539" s="6"/>
      <c r="X539" s="6"/>
      <c r="Y539" s="6"/>
      <c r="Z539" s="6"/>
      <c r="AA539" s="6"/>
      <c r="AB539" s="6"/>
      <c r="AC539" s="6"/>
      <c r="AD539" s="7"/>
    </row>
    <row r="540" spans="1:30" ht="15.6" x14ac:dyDescent="0.3">
      <c r="A540" s="4">
        <v>839</v>
      </c>
      <c r="B540" s="5" t="s">
        <v>4652</v>
      </c>
      <c r="C540" s="6" t="s">
        <v>370</v>
      </c>
      <c r="D540" s="5" t="s">
        <v>4653</v>
      </c>
      <c r="E540" s="5" t="s">
        <v>48</v>
      </c>
      <c r="F540" s="6" t="s">
        <v>4654</v>
      </c>
      <c r="G540" s="6" t="s">
        <v>4655</v>
      </c>
      <c r="H540" s="8">
        <v>0</v>
      </c>
      <c r="I540" s="8">
        <v>-0.02</v>
      </c>
      <c r="J540" s="6" t="s">
        <v>141</v>
      </c>
      <c r="K540" s="6" t="s">
        <v>4656</v>
      </c>
      <c r="L540" s="8">
        <v>-0.13</v>
      </c>
      <c r="M540" s="6" t="s">
        <v>3558</v>
      </c>
      <c r="N540" s="8">
        <v>-0.13</v>
      </c>
      <c r="O540" s="6" t="s">
        <v>4657</v>
      </c>
      <c r="P540" s="6" t="s">
        <v>217</v>
      </c>
      <c r="Q540" s="6" t="s">
        <v>217</v>
      </c>
      <c r="R540" s="6">
        <v>261</v>
      </c>
      <c r="S540" s="6">
        <v>13</v>
      </c>
      <c r="T540" s="6">
        <v>342</v>
      </c>
      <c r="U540" s="6" t="s">
        <v>217</v>
      </c>
      <c r="V540" s="6"/>
      <c r="W540" s="6"/>
      <c r="X540" s="6"/>
      <c r="Y540" s="6"/>
      <c r="Z540" s="6"/>
      <c r="AA540" s="6"/>
      <c r="AB540" s="6"/>
      <c r="AC540" s="6"/>
      <c r="AD540" s="7"/>
    </row>
    <row r="541" spans="1:30" ht="15.6" x14ac:dyDescent="0.3">
      <c r="A541" s="4">
        <v>840</v>
      </c>
      <c r="B541" s="5" t="s">
        <v>4658</v>
      </c>
      <c r="C541" s="6" t="s">
        <v>72</v>
      </c>
      <c r="D541" s="5" t="s">
        <v>4659</v>
      </c>
      <c r="E541" s="5" t="s">
        <v>48</v>
      </c>
      <c r="F541" s="6" t="s">
        <v>4660</v>
      </c>
      <c r="G541" s="6" t="s">
        <v>4661</v>
      </c>
      <c r="H541" s="8">
        <v>0</v>
      </c>
      <c r="I541" s="6" t="s">
        <v>1788</v>
      </c>
      <c r="J541" s="6" t="s">
        <v>798</v>
      </c>
      <c r="K541" s="6" t="s">
        <v>4298</v>
      </c>
      <c r="L541" s="6" t="s">
        <v>217</v>
      </c>
      <c r="M541" s="6" t="s">
        <v>4299</v>
      </c>
      <c r="N541" s="6" t="s">
        <v>1269</v>
      </c>
      <c r="O541" s="6" t="s">
        <v>4194</v>
      </c>
      <c r="P541" s="6" t="s">
        <v>217</v>
      </c>
      <c r="Q541" s="6" t="s">
        <v>217</v>
      </c>
      <c r="R541" s="6">
        <v>14</v>
      </c>
      <c r="S541" s="6">
        <v>1</v>
      </c>
      <c r="T541" s="6">
        <v>58</v>
      </c>
      <c r="U541" s="6" t="s">
        <v>217</v>
      </c>
      <c r="V541" s="6"/>
      <c r="W541" s="6"/>
      <c r="X541" s="6"/>
      <c r="Y541" s="6"/>
      <c r="Z541" s="6"/>
      <c r="AA541" s="6"/>
      <c r="AB541" s="6"/>
      <c r="AC541" s="6"/>
      <c r="AD541" s="7"/>
    </row>
    <row r="542" spans="1:30" ht="15.6" x14ac:dyDescent="0.3">
      <c r="A542" s="4">
        <v>841</v>
      </c>
      <c r="B542" s="5" t="s">
        <v>4662</v>
      </c>
      <c r="C542" s="6" t="s">
        <v>820</v>
      </c>
      <c r="D542" s="5" t="s">
        <v>4663</v>
      </c>
      <c r="E542" s="5" t="s">
        <v>48</v>
      </c>
      <c r="F542" s="6" t="s">
        <v>4664</v>
      </c>
      <c r="G542" s="6" t="s">
        <v>4665</v>
      </c>
      <c r="H542" s="8">
        <v>0</v>
      </c>
      <c r="I542" s="6" t="s">
        <v>920</v>
      </c>
      <c r="J542" s="6" t="s">
        <v>1130</v>
      </c>
      <c r="K542" s="6" t="s">
        <v>4666</v>
      </c>
      <c r="L542" s="8">
        <v>-0.3</v>
      </c>
      <c r="M542" s="6" t="s">
        <v>4667</v>
      </c>
      <c r="N542" s="8">
        <v>-0.3</v>
      </c>
      <c r="O542" s="6" t="s">
        <v>4569</v>
      </c>
      <c r="P542" s="6" t="s">
        <v>4668</v>
      </c>
      <c r="Q542" s="6" t="s">
        <v>217</v>
      </c>
      <c r="R542" s="6">
        <v>23</v>
      </c>
      <c r="S542" s="6">
        <v>0</v>
      </c>
      <c r="T542" s="6">
        <v>120</v>
      </c>
      <c r="U542" s="6">
        <f>130%</f>
        <v>1.3</v>
      </c>
      <c r="V542" s="6"/>
      <c r="W542" s="6"/>
      <c r="X542" s="6"/>
      <c r="Y542" s="6"/>
      <c r="Z542" s="6"/>
      <c r="AA542" s="6"/>
      <c r="AB542" s="6"/>
      <c r="AC542" s="6"/>
      <c r="AD542" s="7"/>
    </row>
    <row r="543" spans="1:30" ht="15.6" x14ac:dyDescent="0.3">
      <c r="A543" s="4">
        <v>843</v>
      </c>
      <c r="B543" s="5" t="s">
        <v>4669</v>
      </c>
      <c r="C543" s="6" t="s">
        <v>72</v>
      </c>
      <c r="D543" s="5" t="s">
        <v>4670</v>
      </c>
      <c r="E543" s="5" t="s">
        <v>48</v>
      </c>
      <c r="F543" s="6" t="s">
        <v>4671</v>
      </c>
      <c r="G543" s="6" t="s">
        <v>4672</v>
      </c>
      <c r="H543" s="8">
        <v>0</v>
      </c>
      <c r="I543" s="6" t="s">
        <v>4673</v>
      </c>
      <c r="J543" s="6" t="s">
        <v>343</v>
      </c>
      <c r="K543" s="6" t="s">
        <v>4674</v>
      </c>
      <c r="L543" s="8">
        <v>-0.16</v>
      </c>
      <c r="M543" s="6" t="s">
        <v>4675</v>
      </c>
      <c r="N543" s="8">
        <v>-0.16</v>
      </c>
      <c r="O543" s="6" t="s">
        <v>4676</v>
      </c>
      <c r="P543" s="6" t="s">
        <v>217</v>
      </c>
      <c r="Q543" s="6" t="s">
        <v>217</v>
      </c>
      <c r="R543" s="6">
        <v>44</v>
      </c>
      <c r="S543" s="6">
        <v>1</v>
      </c>
      <c r="T543" s="6">
        <v>313</v>
      </c>
      <c r="U543" s="6" t="s">
        <v>217</v>
      </c>
      <c r="V543" s="6"/>
      <c r="W543" s="6"/>
      <c r="X543" s="6"/>
      <c r="Y543" s="6"/>
      <c r="Z543" s="6"/>
      <c r="AA543" s="6"/>
      <c r="AB543" s="6"/>
      <c r="AC543" s="6"/>
      <c r="AD543" s="7"/>
    </row>
    <row r="544" spans="1:30" ht="15.6" x14ac:dyDescent="0.3">
      <c r="A544" s="4">
        <v>844</v>
      </c>
      <c r="B544" s="5" t="s">
        <v>4677</v>
      </c>
      <c r="C544" s="6" t="s">
        <v>126</v>
      </c>
      <c r="D544" s="5" t="s">
        <v>4678</v>
      </c>
      <c r="E544" s="5" t="s">
        <v>48</v>
      </c>
      <c r="F544" s="6" t="s">
        <v>4679</v>
      </c>
      <c r="G544" s="6" t="s">
        <v>4680</v>
      </c>
      <c r="H544" s="8">
        <v>0</v>
      </c>
      <c r="I544" s="8">
        <v>-1</v>
      </c>
      <c r="J544" s="6" t="s">
        <v>1412</v>
      </c>
      <c r="K544" s="6" t="s">
        <v>4681</v>
      </c>
      <c r="L544" s="8">
        <v>-0.11</v>
      </c>
      <c r="M544" s="6" t="s">
        <v>4682</v>
      </c>
      <c r="N544" s="8">
        <v>-0.1</v>
      </c>
      <c r="O544" s="6" t="s">
        <v>4308</v>
      </c>
      <c r="P544" s="6" t="s">
        <v>1293</v>
      </c>
      <c r="Q544" s="6" t="s">
        <v>217</v>
      </c>
      <c r="R544" s="6">
        <v>164</v>
      </c>
      <c r="S544" s="6">
        <v>7</v>
      </c>
      <c r="T544" s="6">
        <v>281</v>
      </c>
      <c r="U544" s="6" t="s">
        <v>217</v>
      </c>
      <c r="V544" s="6"/>
      <c r="W544" s="6"/>
      <c r="X544" s="6"/>
      <c r="Y544" s="6"/>
      <c r="Z544" s="6"/>
      <c r="AA544" s="6"/>
      <c r="AB544" s="6"/>
      <c r="AC544" s="6"/>
      <c r="AD544" s="7"/>
    </row>
    <row r="545" spans="1:30" ht="15.6" x14ac:dyDescent="0.3">
      <c r="A545" s="4">
        <v>845</v>
      </c>
      <c r="B545" s="5" t="s">
        <v>4683</v>
      </c>
      <c r="C545" s="6" t="s">
        <v>102</v>
      </c>
      <c r="D545" s="5" t="s">
        <v>4684</v>
      </c>
      <c r="E545" s="5" t="s">
        <v>48</v>
      </c>
      <c r="F545" s="6" t="s">
        <v>4685</v>
      </c>
      <c r="G545" s="6" t="s">
        <v>4686</v>
      </c>
      <c r="H545" s="8">
        <v>0</v>
      </c>
      <c r="I545" s="6" t="s">
        <v>106</v>
      </c>
      <c r="J545" s="6" t="s">
        <v>647</v>
      </c>
      <c r="K545" s="6" t="s">
        <v>4687</v>
      </c>
      <c r="L545" s="8">
        <v>-0.2</v>
      </c>
      <c r="M545" s="6" t="s">
        <v>4688</v>
      </c>
      <c r="N545" s="8">
        <v>-0.2</v>
      </c>
      <c r="O545" s="6" t="s">
        <v>4187</v>
      </c>
      <c r="P545" s="6" t="s">
        <v>217</v>
      </c>
      <c r="Q545" s="6" t="s">
        <v>217</v>
      </c>
      <c r="R545" s="6">
        <v>33</v>
      </c>
      <c r="S545" s="6">
        <v>1</v>
      </c>
      <c r="T545" s="6">
        <v>252</v>
      </c>
      <c r="U545" s="6" t="s">
        <v>217</v>
      </c>
      <c r="V545" s="6"/>
      <c r="W545" s="6"/>
      <c r="X545" s="6"/>
      <c r="Y545" s="6"/>
      <c r="Z545" s="6"/>
      <c r="AA545" s="6"/>
      <c r="AB545" s="6"/>
      <c r="AC545" s="6"/>
      <c r="AD545" s="7"/>
    </row>
    <row r="546" spans="1:30" ht="15.6" x14ac:dyDescent="0.3">
      <c r="A546" s="4">
        <v>846</v>
      </c>
      <c r="B546" s="5" t="s">
        <v>4689</v>
      </c>
      <c r="C546" s="6" t="s">
        <v>72</v>
      </c>
      <c r="D546" s="5" t="s">
        <v>4690</v>
      </c>
      <c r="E546" s="5" t="s">
        <v>48</v>
      </c>
      <c r="F546" s="6" t="s">
        <v>4691</v>
      </c>
      <c r="G546" s="6" t="s">
        <v>4692</v>
      </c>
      <c r="H546" s="8">
        <v>0</v>
      </c>
      <c r="I546" s="8">
        <v>-0.02</v>
      </c>
      <c r="J546" s="6" t="s">
        <v>397</v>
      </c>
      <c r="K546" s="6" t="s">
        <v>4693</v>
      </c>
      <c r="L546" s="6" t="s">
        <v>217</v>
      </c>
      <c r="M546" s="6" t="s">
        <v>3808</v>
      </c>
      <c r="N546" s="8">
        <v>-0.18</v>
      </c>
      <c r="O546" s="6" t="s">
        <v>4694</v>
      </c>
      <c r="P546" s="6" t="s">
        <v>217</v>
      </c>
      <c r="Q546" s="6" t="s">
        <v>217</v>
      </c>
      <c r="R546" s="6">
        <v>57</v>
      </c>
      <c r="S546" s="6">
        <v>0</v>
      </c>
      <c r="T546" s="6">
        <v>146</v>
      </c>
      <c r="U546" s="6" t="s">
        <v>217</v>
      </c>
      <c r="V546" s="6"/>
      <c r="W546" s="6"/>
      <c r="X546" s="6"/>
      <c r="Y546" s="6"/>
      <c r="Z546" s="6"/>
      <c r="AA546" s="6"/>
      <c r="AB546" s="6"/>
      <c r="AC546" s="6"/>
      <c r="AD546" s="7"/>
    </row>
    <row r="547" spans="1:30" ht="15.6" x14ac:dyDescent="0.3">
      <c r="A547" s="4">
        <v>847</v>
      </c>
      <c r="B547" s="5" t="s">
        <v>4695</v>
      </c>
      <c r="C547" s="6" t="s">
        <v>370</v>
      </c>
      <c r="D547" s="5" t="s">
        <v>4696</v>
      </c>
      <c r="E547" s="5" t="s">
        <v>48</v>
      </c>
      <c r="F547" s="6" t="s">
        <v>4697</v>
      </c>
      <c r="G547" s="6" t="s">
        <v>4698</v>
      </c>
      <c r="H547" s="8">
        <v>0</v>
      </c>
      <c r="I547" s="6" t="s">
        <v>3386</v>
      </c>
      <c r="J547" s="6" t="s">
        <v>118</v>
      </c>
      <c r="K547" s="6" t="s">
        <v>4699</v>
      </c>
      <c r="L547" s="8">
        <v>-0.23</v>
      </c>
      <c r="M547" s="6" t="s">
        <v>4700</v>
      </c>
      <c r="N547" s="8">
        <v>-0.23</v>
      </c>
      <c r="O547" s="6" t="s">
        <v>4701</v>
      </c>
      <c r="P547" s="6" t="s">
        <v>217</v>
      </c>
      <c r="Q547" s="6" t="s">
        <v>217</v>
      </c>
      <c r="R547" s="6">
        <v>117</v>
      </c>
      <c r="S547" s="6">
        <v>7</v>
      </c>
      <c r="T547" s="6">
        <v>85</v>
      </c>
      <c r="U547" s="6" t="s">
        <v>217</v>
      </c>
      <c r="V547" s="6"/>
      <c r="W547" s="6"/>
      <c r="X547" s="6"/>
      <c r="Y547" s="6"/>
      <c r="Z547" s="6"/>
      <c r="AA547" s="6"/>
      <c r="AB547" s="6"/>
      <c r="AC547" s="6"/>
      <c r="AD547" s="7"/>
    </row>
    <row r="548" spans="1:30" ht="15.6" x14ac:dyDescent="0.3">
      <c r="A548" s="4">
        <v>850</v>
      </c>
      <c r="B548" s="5" t="s">
        <v>4702</v>
      </c>
      <c r="C548" s="6" t="s">
        <v>31</v>
      </c>
      <c r="D548" s="5" t="s">
        <v>4703</v>
      </c>
      <c r="E548" s="5" t="s">
        <v>48</v>
      </c>
      <c r="F548" s="6" t="s">
        <v>4704</v>
      </c>
      <c r="G548" s="6" t="s">
        <v>4705</v>
      </c>
      <c r="H548" s="8">
        <v>0</v>
      </c>
      <c r="I548" s="6" t="s">
        <v>710</v>
      </c>
      <c r="J548" s="6" t="s">
        <v>38</v>
      </c>
      <c r="K548" s="6" t="s">
        <v>3578</v>
      </c>
      <c r="L548" s="6" t="s">
        <v>217</v>
      </c>
      <c r="M548" s="6" t="s">
        <v>3579</v>
      </c>
      <c r="N548" s="8">
        <v>-0.16</v>
      </c>
      <c r="O548" s="6" t="s">
        <v>3566</v>
      </c>
      <c r="P548" s="6" t="s">
        <v>217</v>
      </c>
      <c r="Q548" s="6" t="s">
        <v>217</v>
      </c>
      <c r="R548" s="6">
        <v>12</v>
      </c>
      <c r="S548" s="6">
        <v>0</v>
      </c>
      <c r="T548" s="6">
        <v>74</v>
      </c>
      <c r="U548" s="6" t="s">
        <v>217</v>
      </c>
      <c r="V548" s="6"/>
      <c r="W548" s="6"/>
      <c r="X548" s="6"/>
      <c r="Y548" s="6"/>
      <c r="Z548" s="6"/>
      <c r="AA548" s="6"/>
      <c r="AB548" s="6"/>
      <c r="AC548" s="6"/>
      <c r="AD548" s="7"/>
    </row>
    <row r="549" spans="1:30" ht="15.6" x14ac:dyDescent="0.3">
      <c r="A549" s="4">
        <v>851</v>
      </c>
      <c r="B549" s="5" t="s">
        <v>4706</v>
      </c>
      <c r="C549" s="6" t="s">
        <v>291</v>
      </c>
      <c r="D549" s="5" t="s">
        <v>4707</v>
      </c>
      <c r="E549" s="5" t="s">
        <v>48</v>
      </c>
      <c r="F549" s="6" t="s">
        <v>4708</v>
      </c>
      <c r="G549" s="6" t="s">
        <v>4709</v>
      </c>
      <c r="H549" s="8">
        <v>0</v>
      </c>
      <c r="I549" s="6" t="s">
        <v>3828</v>
      </c>
      <c r="J549" s="6" t="s">
        <v>1258</v>
      </c>
      <c r="K549" s="6" t="s">
        <v>4699</v>
      </c>
      <c r="L549" s="6" t="s">
        <v>217</v>
      </c>
      <c r="M549" s="6" t="s">
        <v>4700</v>
      </c>
      <c r="N549" s="8">
        <v>-0.17</v>
      </c>
      <c r="O549" s="6" t="s">
        <v>4710</v>
      </c>
      <c r="P549" s="6" t="s">
        <v>217</v>
      </c>
      <c r="Q549" s="6" t="s">
        <v>217</v>
      </c>
      <c r="R549" s="6">
        <v>1</v>
      </c>
      <c r="S549" s="6">
        <v>0</v>
      </c>
      <c r="T549" s="6">
        <v>113</v>
      </c>
      <c r="U549" s="6" t="s">
        <v>217</v>
      </c>
      <c r="V549" s="6"/>
      <c r="W549" s="6"/>
      <c r="X549" s="6"/>
      <c r="Y549" s="6"/>
      <c r="Z549" s="6"/>
      <c r="AA549" s="6"/>
      <c r="AB549" s="6"/>
      <c r="AC549" s="6"/>
      <c r="AD549" s="7"/>
    </row>
    <row r="550" spans="1:30" ht="15.6" x14ac:dyDescent="0.3">
      <c r="A550" s="4">
        <v>853</v>
      </c>
      <c r="B550" s="5" t="s">
        <v>4711</v>
      </c>
      <c r="C550" s="6" t="s">
        <v>185</v>
      </c>
      <c r="D550" s="5" t="s">
        <v>4712</v>
      </c>
      <c r="E550" s="5" t="s">
        <v>48</v>
      </c>
      <c r="F550" s="6" t="s">
        <v>4713</v>
      </c>
      <c r="G550" s="6" t="s">
        <v>4714</v>
      </c>
      <c r="H550" s="8">
        <v>0</v>
      </c>
      <c r="I550" s="8">
        <v>-0.44</v>
      </c>
      <c r="J550" s="6" t="s">
        <v>1390</v>
      </c>
      <c r="K550" s="6" t="s">
        <v>4715</v>
      </c>
      <c r="L550" s="6" t="s">
        <v>217</v>
      </c>
      <c r="M550" s="6" t="s">
        <v>4716</v>
      </c>
      <c r="N550" s="6" t="s">
        <v>1593</v>
      </c>
      <c r="O550" s="6" t="s">
        <v>4268</v>
      </c>
      <c r="P550" s="6" t="s">
        <v>4717</v>
      </c>
      <c r="Q550" s="6" t="s">
        <v>217</v>
      </c>
      <c r="R550" s="6">
        <v>25</v>
      </c>
      <c r="S550" s="6">
        <v>1</v>
      </c>
      <c r="T550" s="6">
        <v>87</v>
      </c>
      <c r="U550" s="6">
        <f>2.4%</f>
        <v>2.4E-2</v>
      </c>
      <c r="V550" s="6"/>
      <c r="W550" s="6"/>
      <c r="X550" s="6"/>
      <c r="Y550" s="6"/>
      <c r="Z550" s="6"/>
      <c r="AA550" s="6"/>
      <c r="AB550" s="6"/>
      <c r="AC550" s="6"/>
      <c r="AD550" s="7"/>
    </row>
    <row r="551" spans="1:30" ht="15.6" x14ac:dyDescent="0.3">
      <c r="A551" s="4">
        <v>854</v>
      </c>
      <c r="B551" s="5" t="s">
        <v>4718</v>
      </c>
      <c r="C551" s="6" t="s">
        <v>1013</v>
      </c>
      <c r="D551" s="5" t="s">
        <v>4719</v>
      </c>
      <c r="E551" s="5" t="s">
        <v>48</v>
      </c>
      <c r="F551" s="6" t="s">
        <v>4720</v>
      </c>
      <c r="G551" s="6" t="s">
        <v>4721</v>
      </c>
      <c r="H551" s="8">
        <v>0</v>
      </c>
      <c r="I551" s="6" t="s">
        <v>106</v>
      </c>
      <c r="J551" s="6" t="s">
        <v>1365</v>
      </c>
      <c r="K551" s="6" t="s">
        <v>2501</v>
      </c>
      <c r="L551" s="8">
        <v>-0.21</v>
      </c>
      <c r="M551" s="6" t="s">
        <v>4722</v>
      </c>
      <c r="N551" s="8">
        <v>-0.21</v>
      </c>
      <c r="O551" s="6" t="s">
        <v>4723</v>
      </c>
      <c r="P551" s="6" t="s">
        <v>217</v>
      </c>
      <c r="Q551" s="6" t="s">
        <v>217</v>
      </c>
      <c r="R551" s="6">
        <v>83</v>
      </c>
      <c r="S551" s="6">
        <v>1</v>
      </c>
      <c r="T551" s="6">
        <v>169</v>
      </c>
      <c r="U551" s="6" t="s">
        <v>217</v>
      </c>
      <c r="V551" s="6"/>
      <c r="W551" s="6"/>
      <c r="X551" s="6"/>
      <c r="Y551" s="6"/>
      <c r="Z551" s="6"/>
      <c r="AA551" s="6"/>
      <c r="AB551" s="6"/>
      <c r="AC551" s="6"/>
      <c r="AD551" s="7"/>
    </row>
    <row r="552" spans="1:30" ht="15.6" x14ac:dyDescent="0.3">
      <c r="A552" s="4">
        <v>855</v>
      </c>
      <c r="B552" s="5" t="s">
        <v>4724</v>
      </c>
      <c r="C552" s="6" t="s">
        <v>102</v>
      </c>
      <c r="D552" s="5" t="s">
        <v>4725</v>
      </c>
      <c r="E552" s="5" t="s">
        <v>48</v>
      </c>
      <c r="F552" s="6" t="s">
        <v>4726</v>
      </c>
      <c r="G552" s="6" t="s">
        <v>4727</v>
      </c>
      <c r="H552" s="8">
        <v>0</v>
      </c>
      <c r="I552" s="6" t="s">
        <v>2350</v>
      </c>
      <c r="J552" s="6" t="s">
        <v>77</v>
      </c>
      <c r="K552" s="6" t="s">
        <v>4174</v>
      </c>
      <c r="L552" s="6" t="s">
        <v>217</v>
      </c>
      <c r="M552" s="6" t="s">
        <v>4728</v>
      </c>
      <c r="N552" s="6" t="s">
        <v>1788</v>
      </c>
      <c r="O552" s="6" t="s">
        <v>3605</v>
      </c>
      <c r="P552" s="6" t="s">
        <v>4729</v>
      </c>
      <c r="Q552" s="6" t="s">
        <v>217</v>
      </c>
      <c r="R552" s="6">
        <v>186</v>
      </c>
      <c r="S552" s="6">
        <v>8</v>
      </c>
      <c r="T552" s="6">
        <v>438</v>
      </c>
      <c r="U552" s="6">
        <f>830%</f>
        <v>8.3000000000000007</v>
      </c>
      <c r="V552" s="6"/>
      <c r="W552" s="6"/>
      <c r="X552" s="6"/>
      <c r="Y552" s="6"/>
      <c r="Z552" s="6"/>
      <c r="AA552" s="6"/>
      <c r="AB552" s="6"/>
      <c r="AC552" s="6"/>
      <c r="AD552" s="7"/>
    </row>
    <row r="553" spans="1:30" ht="15.6" x14ac:dyDescent="0.3">
      <c r="A553" s="4">
        <v>856</v>
      </c>
      <c r="B553" s="5" t="s">
        <v>4730</v>
      </c>
      <c r="C553" s="6" t="s">
        <v>567</v>
      </c>
      <c r="D553" s="5" t="s">
        <v>4731</v>
      </c>
      <c r="E553" s="5" t="s">
        <v>48</v>
      </c>
      <c r="F553" s="6" t="s">
        <v>4732</v>
      </c>
      <c r="G553" s="6" t="s">
        <v>4733</v>
      </c>
      <c r="H553" s="8">
        <v>0</v>
      </c>
      <c r="I553" s="6" t="s">
        <v>920</v>
      </c>
      <c r="J553" s="6" t="s">
        <v>442</v>
      </c>
      <c r="K553" s="6" t="s">
        <v>4715</v>
      </c>
      <c r="L553" s="6" t="s">
        <v>217</v>
      </c>
      <c r="M553" s="6" t="s">
        <v>4734</v>
      </c>
      <c r="N553" s="8">
        <v>-0.12</v>
      </c>
      <c r="O553" s="6" t="s">
        <v>4710</v>
      </c>
      <c r="P553" s="10">
        <v>45695</v>
      </c>
      <c r="Q553" s="6" t="s">
        <v>217</v>
      </c>
      <c r="R553" s="6">
        <v>130</v>
      </c>
      <c r="S553" s="6">
        <v>0</v>
      </c>
      <c r="T553" s="6">
        <v>188</v>
      </c>
      <c r="U553" s="6" t="e">
        <f>+∞%</f>
        <v>#NAME?</v>
      </c>
      <c r="V553" s="6"/>
      <c r="W553" s="6"/>
      <c r="X553" s="6"/>
      <c r="Y553" s="6"/>
      <c r="Z553" s="6"/>
      <c r="AA553" s="6"/>
      <c r="AB553" s="6"/>
      <c r="AC553" s="6"/>
      <c r="AD553" s="7"/>
    </row>
    <row r="554" spans="1:30" ht="15.6" x14ac:dyDescent="0.3">
      <c r="A554" s="4">
        <v>857</v>
      </c>
      <c r="B554" s="5" t="s">
        <v>4735</v>
      </c>
      <c r="C554" s="6" t="s">
        <v>466</v>
      </c>
      <c r="D554" s="5" t="s">
        <v>4736</v>
      </c>
      <c r="E554" s="5" t="s">
        <v>48</v>
      </c>
      <c r="F554" s="6" t="s">
        <v>4737</v>
      </c>
      <c r="G554" s="6" t="s">
        <v>4738</v>
      </c>
      <c r="H554" s="8">
        <v>0</v>
      </c>
      <c r="I554" s="8">
        <v>-0.6</v>
      </c>
      <c r="J554" s="6" t="s">
        <v>1354</v>
      </c>
      <c r="K554" s="6" t="s">
        <v>4739</v>
      </c>
      <c r="L554" s="8">
        <v>-0.27</v>
      </c>
      <c r="M554" s="6" t="s">
        <v>4740</v>
      </c>
      <c r="N554" s="8">
        <v>-0.27</v>
      </c>
      <c r="O554" s="6" t="s">
        <v>4741</v>
      </c>
      <c r="P554" s="6" t="s">
        <v>4742</v>
      </c>
      <c r="Q554" s="6" t="s">
        <v>217</v>
      </c>
      <c r="R554" s="6" t="s">
        <v>2065</v>
      </c>
      <c r="S554" s="6">
        <v>6</v>
      </c>
      <c r="T554" s="6">
        <v>613</v>
      </c>
      <c r="U554" s="8">
        <v>-0.46</v>
      </c>
      <c r="V554" s="6"/>
      <c r="W554" s="6"/>
      <c r="X554" s="6"/>
      <c r="Y554" s="6"/>
      <c r="Z554" s="6"/>
      <c r="AA554" s="6"/>
      <c r="AB554" s="6"/>
      <c r="AC554" s="6"/>
      <c r="AD554" s="7"/>
    </row>
    <row r="555" spans="1:30" ht="15.6" x14ac:dyDescent="0.3">
      <c r="A555" s="4">
        <v>860</v>
      </c>
      <c r="B555" s="5" t="s">
        <v>4743</v>
      </c>
      <c r="C555" s="6" t="s">
        <v>267</v>
      </c>
      <c r="D555" s="5" t="s">
        <v>4744</v>
      </c>
      <c r="E555" s="5" t="s">
        <v>33</v>
      </c>
      <c r="F555" s="6" t="s">
        <v>4745</v>
      </c>
      <c r="G555" s="6" t="s">
        <v>4746</v>
      </c>
      <c r="H555" s="8">
        <v>0</v>
      </c>
      <c r="I555" s="6" t="s">
        <v>4747</v>
      </c>
      <c r="J555" s="6" t="s">
        <v>984</v>
      </c>
      <c r="K555" s="6" t="s">
        <v>53</v>
      </c>
      <c r="L555" s="8">
        <v>-0.44</v>
      </c>
      <c r="M555" s="6" t="s">
        <v>4748</v>
      </c>
      <c r="N555" s="8">
        <v>-0.44</v>
      </c>
      <c r="O555" s="6" t="s">
        <v>4749</v>
      </c>
      <c r="P555" s="6" t="s">
        <v>4750</v>
      </c>
      <c r="Q555" s="8">
        <v>-0.68</v>
      </c>
      <c r="R555" s="6">
        <v>820</v>
      </c>
      <c r="S555" s="6">
        <v>9</v>
      </c>
      <c r="T555" s="6">
        <v>526</v>
      </c>
      <c r="U555" s="8">
        <v>-0.71</v>
      </c>
      <c r="V555" s="6"/>
      <c r="W555" s="6"/>
      <c r="X555" s="6"/>
      <c r="Y555" s="6"/>
      <c r="Z555" s="6"/>
      <c r="AA555" s="6"/>
      <c r="AB555" s="6"/>
      <c r="AC555" s="6"/>
      <c r="AD555" s="7"/>
    </row>
    <row r="556" spans="1:30" ht="15.6" x14ac:dyDescent="0.3">
      <c r="A556" s="4">
        <v>861</v>
      </c>
      <c r="B556" s="5" t="s">
        <v>4751</v>
      </c>
      <c r="C556" s="6" t="s">
        <v>1002</v>
      </c>
      <c r="D556" s="5" t="s">
        <v>4752</v>
      </c>
      <c r="E556" s="5" t="s">
        <v>48</v>
      </c>
      <c r="F556" s="6" t="s">
        <v>4753</v>
      </c>
      <c r="G556" s="6" t="s">
        <v>4754</v>
      </c>
      <c r="H556" s="8">
        <v>0</v>
      </c>
      <c r="I556" s="8">
        <v>-0.99</v>
      </c>
      <c r="J556" s="6" t="s">
        <v>1851</v>
      </c>
      <c r="K556" s="6" t="s">
        <v>3271</v>
      </c>
      <c r="L556" s="8">
        <v>-0.62</v>
      </c>
      <c r="M556" s="6" t="s">
        <v>4755</v>
      </c>
      <c r="N556" s="8">
        <v>-0.62</v>
      </c>
      <c r="O556" s="6" t="s">
        <v>4756</v>
      </c>
      <c r="P556" s="6" t="s">
        <v>4757</v>
      </c>
      <c r="Q556" s="6" t="s">
        <v>217</v>
      </c>
      <c r="R556" s="6">
        <v>141</v>
      </c>
      <c r="S556" s="6">
        <v>1</v>
      </c>
      <c r="T556" s="6">
        <v>302</v>
      </c>
      <c r="U556" s="8">
        <v>-0.72</v>
      </c>
      <c r="V556" s="6"/>
      <c r="W556" s="6"/>
      <c r="X556" s="6"/>
      <c r="Y556" s="6"/>
      <c r="Z556" s="6"/>
      <c r="AA556" s="6"/>
      <c r="AB556" s="6"/>
      <c r="AC556" s="6"/>
      <c r="AD556" s="7"/>
    </row>
    <row r="557" spans="1:30" ht="15.6" x14ac:dyDescent="0.3">
      <c r="A557" s="4">
        <v>863</v>
      </c>
      <c r="B557" s="5" t="s">
        <v>4758</v>
      </c>
      <c r="C557" s="6" t="s">
        <v>4759</v>
      </c>
      <c r="D557" s="5" t="s">
        <v>4760</v>
      </c>
      <c r="E557" s="5" t="s">
        <v>33</v>
      </c>
      <c r="F557" s="6" t="s">
        <v>832</v>
      </c>
      <c r="G557" s="6" t="s">
        <v>4761</v>
      </c>
      <c r="H557" s="8">
        <v>0</v>
      </c>
      <c r="I557" s="8">
        <v>-0.96</v>
      </c>
      <c r="J557" s="8">
        <v>0</v>
      </c>
      <c r="K557" s="6" t="s">
        <v>962</v>
      </c>
      <c r="L557" s="8">
        <v>-0.74</v>
      </c>
      <c r="M557" s="6" t="s">
        <v>4762</v>
      </c>
      <c r="N557" s="8">
        <v>-0.74</v>
      </c>
      <c r="O557" s="6" t="s">
        <v>4763</v>
      </c>
      <c r="P557" s="6" t="s">
        <v>4764</v>
      </c>
      <c r="Q557" s="6" t="s">
        <v>217</v>
      </c>
      <c r="R557" s="6">
        <v>703</v>
      </c>
      <c r="S557" s="6">
        <v>0</v>
      </c>
      <c r="T557" s="6">
        <v>597</v>
      </c>
      <c r="U557" s="8">
        <v>-0.51</v>
      </c>
      <c r="V557" s="6"/>
      <c r="W557" s="6"/>
      <c r="X557" s="6"/>
      <c r="Y557" s="6"/>
      <c r="Z557" s="6"/>
      <c r="AA557" s="6"/>
      <c r="AB557" s="6"/>
      <c r="AC557" s="6"/>
      <c r="AD557" s="7"/>
    </row>
    <row r="558" spans="1:30" ht="15.6" x14ac:dyDescent="0.3">
      <c r="A558" s="4">
        <v>864</v>
      </c>
      <c r="B558" s="5" t="s">
        <v>4765</v>
      </c>
      <c r="C558" s="6" t="s">
        <v>31</v>
      </c>
      <c r="D558" s="5" t="s">
        <v>4766</v>
      </c>
      <c r="E558" s="5" t="s">
        <v>33</v>
      </c>
      <c r="F558" s="6" t="s">
        <v>4767</v>
      </c>
      <c r="G558" s="6" t="s">
        <v>4768</v>
      </c>
      <c r="H558" s="8">
        <v>0</v>
      </c>
      <c r="I558" s="8">
        <v>-0.83</v>
      </c>
      <c r="J558" s="6" t="s">
        <v>259</v>
      </c>
      <c r="K558" s="6" t="s">
        <v>4769</v>
      </c>
      <c r="L558" s="8">
        <v>-0.43</v>
      </c>
      <c r="M558" s="6" t="s">
        <v>4770</v>
      </c>
      <c r="N558" s="8">
        <v>-0.43</v>
      </c>
      <c r="O558" s="6" t="s">
        <v>4771</v>
      </c>
      <c r="P558" s="6" t="s">
        <v>4772</v>
      </c>
      <c r="Q558" s="6" t="s">
        <v>217</v>
      </c>
      <c r="R558" s="6">
        <v>838</v>
      </c>
      <c r="S558" s="6">
        <v>11</v>
      </c>
      <c r="T558" s="6" t="s">
        <v>4773</v>
      </c>
      <c r="U558" s="6">
        <f>0.21%</f>
        <v>2.0999999999999999E-3</v>
      </c>
      <c r="V558" s="6"/>
      <c r="W558" s="6"/>
      <c r="X558" s="6"/>
      <c r="Y558" s="6"/>
      <c r="Z558" s="6"/>
      <c r="AA558" s="6"/>
      <c r="AB558" s="6"/>
      <c r="AC558" s="6"/>
      <c r="AD558" s="7"/>
    </row>
    <row r="559" spans="1:30" ht="15.6" x14ac:dyDescent="0.3">
      <c r="A559" s="4">
        <v>865</v>
      </c>
      <c r="B559" s="5" t="s">
        <v>4774</v>
      </c>
      <c r="C559" s="6" t="s">
        <v>72</v>
      </c>
      <c r="D559" s="5" t="s">
        <v>4775</v>
      </c>
      <c r="E559" s="5" t="s">
        <v>33</v>
      </c>
      <c r="F559" s="6" t="s">
        <v>4776</v>
      </c>
      <c r="G559" s="6" t="s">
        <v>4777</v>
      </c>
      <c r="H559" s="8">
        <v>0</v>
      </c>
      <c r="I559" s="6" t="s">
        <v>4306</v>
      </c>
      <c r="J559" s="6" t="s">
        <v>1609</v>
      </c>
      <c r="K559" s="6" t="s">
        <v>4778</v>
      </c>
      <c r="L559" s="6" t="s">
        <v>2638</v>
      </c>
      <c r="M559" s="6" t="s">
        <v>4779</v>
      </c>
      <c r="N559" s="6" t="s">
        <v>2638</v>
      </c>
      <c r="O559" s="6" t="s">
        <v>1384</v>
      </c>
      <c r="P559" s="6" t="s">
        <v>217</v>
      </c>
      <c r="Q559" s="6" t="s">
        <v>217</v>
      </c>
      <c r="R559" s="6">
        <v>22</v>
      </c>
      <c r="S559" s="6">
        <v>0</v>
      </c>
      <c r="T559" s="6">
        <v>139</v>
      </c>
      <c r="U559" s="6" t="s">
        <v>217</v>
      </c>
      <c r="V559" s="6"/>
      <c r="W559" s="6"/>
      <c r="X559" s="6"/>
      <c r="Y559" s="6"/>
      <c r="Z559" s="6"/>
      <c r="AA559" s="6"/>
      <c r="AB559" s="6"/>
      <c r="AC559" s="6"/>
      <c r="AD559" s="7"/>
    </row>
    <row r="560" spans="1:30" ht="15.6" x14ac:dyDescent="0.3">
      <c r="A560" s="4">
        <v>866</v>
      </c>
      <c r="B560" s="5" t="s">
        <v>4780</v>
      </c>
      <c r="C560" s="6" t="s">
        <v>72</v>
      </c>
      <c r="D560" s="5" t="s">
        <v>4781</v>
      </c>
      <c r="E560" s="5" t="s">
        <v>33</v>
      </c>
      <c r="F560" s="6" t="s">
        <v>4782</v>
      </c>
      <c r="G560" s="6" t="s">
        <v>4783</v>
      </c>
      <c r="H560" s="8">
        <v>0</v>
      </c>
      <c r="I560" s="8">
        <v>-0.14000000000000001</v>
      </c>
      <c r="J560" s="6" t="s">
        <v>888</v>
      </c>
      <c r="K560" s="6" t="s">
        <v>2729</v>
      </c>
      <c r="L560" s="6" t="s">
        <v>708</v>
      </c>
      <c r="M560" s="6" t="s">
        <v>4784</v>
      </c>
      <c r="N560" s="6" t="s">
        <v>708</v>
      </c>
      <c r="O560" s="6" t="s">
        <v>4785</v>
      </c>
      <c r="P560" s="6" t="s">
        <v>4786</v>
      </c>
      <c r="Q560" s="6" t="s">
        <v>217</v>
      </c>
      <c r="R560" s="6">
        <v>250</v>
      </c>
      <c r="S560" s="6">
        <v>1</v>
      </c>
      <c r="T560" s="6" t="s">
        <v>4787</v>
      </c>
      <c r="U560" s="6">
        <f>28%</f>
        <v>0.28000000000000003</v>
      </c>
      <c r="V560" s="6"/>
      <c r="W560" s="6"/>
      <c r="X560" s="6"/>
      <c r="Y560" s="6"/>
      <c r="Z560" s="6"/>
      <c r="AA560" s="6"/>
      <c r="AB560" s="6"/>
      <c r="AC560" s="6"/>
      <c r="AD560" s="7"/>
    </row>
    <row r="561" spans="1:30" ht="15.6" x14ac:dyDescent="0.3">
      <c r="A561" s="4">
        <v>868</v>
      </c>
      <c r="B561" s="5" t="s">
        <v>4788</v>
      </c>
      <c r="C561" s="6" t="s">
        <v>126</v>
      </c>
      <c r="D561" s="5" t="s">
        <v>4789</v>
      </c>
      <c r="E561" s="5" t="s">
        <v>48</v>
      </c>
      <c r="F561" s="6" t="s">
        <v>4790</v>
      </c>
      <c r="G561" s="6" t="s">
        <v>4791</v>
      </c>
      <c r="H561" s="8">
        <v>0</v>
      </c>
      <c r="I561" s="8">
        <v>-1</v>
      </c>
      <c r="J561" s="6" t="s">
        <v>1660</v>
      </c>
      <c r="K561" s="6" t="s">
        <v>4792</v>
      </c>
      <c r="L561" s="8">
        <v>-0.36</v>
      </c>
      <c r="M561" s="6" t="s">
        <v>4793</v>
      </c>
      <c r="N561" s="8">
        <v>-0.36</v>
      </c>
      <c r="O561" s="6" t="s">
        <v>4794</v>
      </c>
      <c r="P561" s="10">
        <v>45791</v>
      </c>
      <c r="Q561" s="6" t="s">
        <v>217</v>
      </c>
      <c r="R561" s="6">
        <v>88</v>
      </c>
      <c r="S561" s="6">
        <v>0</v>
      </c>
      <c r="T561" s="6">
        <v>112</v>
      </c>
      <c r="U561" s="6">
        <f>1.2%</f>
        <v>1.2E-2</v>
      </c>
      <c r="V561" s="6"/>
      <c r="W561" s="6"/>
      <c r="X561" s="6"/>
      <c r="Y561" s="6"/>
      <c r="Z561" s="6"/>
      <c r="AA561" s="6"/>
      <c r="AB561" s="6"/>
      <c r="AC561" s="6"/>
      <c r="AD561" s="7"/>
    </row>
    <row r="562" spans="1:30" ht="15.6" x14ac:dyDescent="0.3">
      <c r="A562" s="4">
        <v>869</v>
      </c>
      <c r="B562" s="5" t="s">
        <v>4795</v>
      </c>
      <c r="C562" s="6" t="s">
        <v>1645</v>
      </c>
      <c r="D562" s="5" t="s">
        <v>4796</v>
      </c>
      <c r="E562" s="5" t="s">
        <v>48</v>
      </c>
      <c r="F562" s="6" t="s">
        <v>4797</v>
      </c>
      <c r="G562" s="6" t="s">
        <v>4798</v>
      </c>
      <c r="H562" s="8">
        <v>0</v>
      </c>
      <c r="I562" s="8">
        <v>-0.61</v>
      </c>
      <c r="J562" s="6" t="s">
        <v>550</v>
      </c>
      <c r="K562" s="6" t="s">
        <v>4799</v>
      </c>
      <c r="L562" s="6">
        <f>93%</f>
        <v>0.93</v>
      </c>
      <c r="M562" s="6" t="s">
        <v>4800</v>
      </c>
      <c r="N562" s="6">
        <f>93%</f>
        <v>0.93</v>
      </c>
      <c r="O562" s="6" t="s">
        <v>4801</v>
      </c>
      <c r="P562" s="6" t="s">
        <v>4802</v>
      </c>
      <c r="Q562" s="6" t="s">
        <v>217</v>
      </c>
      <c r="R562" s="6">
        <v>583</v>
      </c>
      <c r="S562" s="6">
        <v>0</v>
      </c>
      <c r="T562" s="6">
        <v>97</v>
      </c>
      <c r="U562" s="6">
        <f>200%</f>
        <v>2</v>
      </c>
      <c r="V562" s="6"/>
      <c r="W562" s="6"/>
      <c r="X562" s="6"/>
      <c r="Y562" s="6"/>
      <c r="Z562" s="6"/>
      <c r="AA562" s="6"/>
      <c r="AB562" s="6"/>
      <c r="AC562" s="6"/>
      <c r="AD562" s="7"/>
    </row>
    <row r="563" spans="1:30" ht="15.6" x14ac:dyDescent="0.3">
      <c r="A563" s="4">
        <v>870</v>
      </c>
      <c r="B563" s="5" t="s">
        <v>4803</v>
      </c>
      <c r="C563" s="6" t="s">
        <v>31</v>
      </c>
      <c r="D563" s="5" t="s">
        <v>4804</v>
      </c>
      <c r="E563" s="5" t="s">
        <v>33</v>
      </c>
      <c r="F563" s="6" t="s">
        <v>4805</v>
      </c>
      <c r="G563" s="6" t="s">
        <v>4806</v>
      </c>
      <c r="H563" s="8">
        <v>0</v>
      </c>
      <c r="I563" s="6" t="s">
        <v>4807</v>
      </c>
      <c r="J563" s="6" t="s">
        <v>189</v>
      </c>
      <c r="K563" s="6" t="s">
        <v>285</v>
      </c>
      <c r="L563" s="8">
        <v>-0.17</v>
      </c>
      <c r="M563" s="6" t="s">
        <v>4808</v>
      </c>
      <c r="N563" s="8">
        <v>-0.17</v>
      </c>
      <c r="O563" s="6" t="s">
        <v>4809</v>
      </c>
      <c r="P563" s="6" t="s">
        <v>217</v>
      </c>
      <c r="Q563" s="6" t="s">
        <v>217</v>
      </c>
      <c r="R563" s="6">
        <v>78</v>
      </c>
      <c r="S563" s="6">
        <v>1</v>
      </c>
      <c r="T563" s="6" t="s">
        <v>3126</v>
      </c>
      <c r="U563" s="6" t="s">
        <v>217</v>
      </c>
      <c r="V563" s="6"/>
      <c r="W563" s="6"/>
      <c r="X563" s="6"/>
      <c r="Y563" s="6"/>
      <c r="Z563" s="6"/>
      <c r="AA563" s="6"/>
      <c r="AB563" s="6"/>
      <c r="AC563" s="6"/>
      <c r="AD563" s="7"/>
    </row>
    <row r="564" spans="1:30" ht="15.6" x14ac:dyDescent="0.3">
      <c r="A564" s="4">
        <v>871</v>
      </c>
      <c r="B564" s="5" t="s">
        <v>4810</v>
      </c>
      <c r="C564" s="6" t="s">
        <v>219</v>
      </c>
      <c r="D564" s="5" t="s">
        <v>4811</v>
      </c>
      <c r="E564" s="5" t="s">
        <v>48</v>
      </c>
      <c r="F564" s="6" t="s">
        <v>4812</v>
      </c>
      <c r="G564" s="6" t="s">
        <v>4813</v>
      </c>
      <c r="H564" s="8">
        <v>0</v>
      </c>
      <c r="I564" s="8">
        <v>-0.51</v>
      </c>
      <c r="J564" s="6" t="s">
        <v>385</v>
      </c>
      <c r="K564" s="6" t="s">
        <v>1629</v>
      </c>
      <c r="L564" s="8">
        <v>-0.18</v>
      </c>
      <c r="M564" s="6" t="s">
        <v>4814</v>
      </c>
      <c r="N564" s="8">
        <v>-0.18</v>
      </c>
      <c r="O564" s="6" t="s">
        <v>4815</v>
      </c>
      <c r="P564" s="6" t="s">
        <v>4816</v>
      </c>
      <c r="Q564" s="6" t="s">
        <v>217</v>
      </c>
      <c r="R564" s="6" t="s">
        <v>4817</v>
      </c>
      <c r="S564" s="6">
        <v>13</v>
      </c>
      <c r="T564" s="6">
        <v>471</v>
      </c>
      <c r="U564" s="6">
        <f>3.5%</f>
        <v>3.5000000000000003E-2</v>
      </c>
      <c r="V564" s="6"/>
      <c r="W564" s="6"/>
      <c r="X564" s="6"/>
      <c r="Y564" s="6"/>
      <c r="Z564" s="6"/>
      <c r="AA564" s="6"/>
      <c r="AB564" s="6"/>
      <c r="AC564" s="6"/>
      <c r="AD564" s="7"/>
    </row>
    <row r="565" spans="1:30" ht="15.6" x14ac:dyDescent="0.3">
      <c r="A565" s="4">
        <v>872</v>
      </c>
      <c r="B565" s="5" t="s">
        <v>4818</v>
      </c>
      <c r="C565" s="6" t="s">
        <v>304</v>
      </c>
      <c r="D565" s="5" t="s">
        <v>4819</v>
      </c>
      <c r="E565" s="5" t="s">
        <v>48</v>
      </c>
      <c r="F565" s="6" t="s">
        <v>4820</v>
      </c>
      <c r="G565" s="6" t="s">
        <v>4821</v>
      </c>
      <c r="H565" s="8">
        <v>0</v>
      </c>
      <c r="I565" s="8">
        <v>-0.88</v>
      </c>
      <c r="J565" s="6" t="s">
        <v>385</v>
      </c>
      <c r="K565" s="6" t="s">
        <v>4822</v>
      </c>
      <c r="L565" s="6">
        <f>34%</f>
        <v>0.34</v>
      </c>
      <c r="M565" s="6" t="s">
        <v>4823</v>
      </c>
      <c r="N565" s="6">
        <f>34%</f>
        <v>0.34</v>
      </c>
      <c r="O565" s="6" t="s">
        <v>4824</v>
      </c>
      <c r="P565" s="6" t="s">
        <v>4825</v>
      </c>
      <c r="Q565" s="6" t="s">
        <v>217</v>
      </c>
      <c r="R565" s="6">
        <v>457</v>
      </c>
      <c r="S565" s="6">
        <v>13</v>
      </c>
      <c r="T565" s="6" t="s">
        <v>1960</v>
      </c>
      <c r="U565" s="6">
        <f>0.082%</f>
        <v>8.1999999999999998E-4</v>
      </c>
      <c r="V565" s="6"/>
      <c r="W565" s="6"/>
      <c r="X565" s="6"/>
      <c r="Y565" s="6"/>
      <c r="Z565" s="6"/>
      <c r="AA565" s="6"/>
      <c r="AB565" s="6"/>
      <c r="AC565" s="6"/>
      <c r="AD565" s="7"/>
    </row>
    <row r="566" spans="1:30" ht="15.6" x14ac:dyDescent="0.3">
      <c r="A566" s="4">
        <v>873</v>
      </c>
      <c r="B566" s="5" t="s">
        <v>4826</v>
      </c>
      <c r="C566" s="6" t="s">
        <v>72</v>
      </c>
      <c r="D566" s="5" t="s">
        <v>4827</v>
      </c>
      <c r="E566" s="5" t="s">
        <v>33</v>
      </c>
      <c r="F566" s="6" t="s">
        <v>4828</v>
      </c>
      <c r="G566" s="6" t="s">
        <v>4829</v>
      </c>
      <c r="H566" s="8">
        <v>0</v>
      </c>
      <c r="I566" s="8">
        <v>-0.92</v>
      </c>
      <c r="J566" s="6" t="s">
        <v>296</v>
      </c>
      <c r="K566" s="6" t="s">
        <v>618</v>
      </c>
      <c r="L566" s="8">
        <v>-0.28999999999999998</v>
      </c>
      <c r="M566" s="6" t="s">
        <v>4830</v>
      </c>
      <c r="N566" s="8">
        <v>-0.28999999999999998</v>
      </c>
      <c r="O566" s="6" t="s">
        <v>4831</v>
      </c>
      <c r="P566" s="6" t="s">
        <v>4832</v>
      </c>
      <c r="Q566" s="6" t="s">
        <v>217</v>
      </c>
      <c r="R566" s="6">
        <v>182</v>
      </c>
      <c r="S566" s="6">
        <v>1</v>
      </c>
      <c r="T566" s="6">
        <v>550</v>
      </c>
      <c r="U566" s="8">
        <v>-0.84</v>
      </c>
      <c r="V566" s="6"/>
      <c r="W566" s="6"/>
      <c r="X566" s="6"/>
      <c r="Y566" s="6"/>
      <c r="Z566" s="6"/>
      <c r="AA566" s="6"/>
      <c r="AB566" s="6"/>
      <c r="AC566" s="6"/>
      <c r="AD566" s="7"/>
    </row>
    <row r="567" spans="1:30" ht="15.6" x14ac:dyDescent="0.3">
      <c r="A567" s="4">
        <v>874</v>
      </c>
      <c r="B567" s="5" t="s">
        <v>4833</v>
      </c>
      <c r="C567" s="6" t="s">
        <v>370</v>
      </c>
      <c r="D567" s="5" t="s">
        <v>4834</v>
      </c>
      <c r="E567" s="5" t="s">
        <v>48</v>
      </c>
      <c r="F567" s="6" t="s">
        <v>4835</v>
      </c>
      <c r="G567" s="6" t="s">
        <v>4836</v>
      </c>
      <c r="H567" s="8">
        <v>0</v>
      </c>
      <c r="I567" s="6" t="s">
        <v>877</v>
      </c>
      <c r="J567" s="6" t="s">
        <v>1130</v>
      </c>
      <c r="K567" s="6" t="s">
        <v>4837</v>
      </c>
      <c r="L567" s="8">
        <v>-0.34</v>
      </c>
      <c r="M567" s="6" t="s">
        <v>3072</v>
      </c>
      <c r="N567" s="8">
        <v>-0.34</v>
      </c>
      <c r="O567" s="6" t="s">
        <v>4838</v>
      </c>
      <c r="P567" s="6" t="s">
        <v>2222</v>
      </c>
      <c r="Q567" s="8">
        <v>-0.7</v>
      </c>
      <c r="R567" s="6">
        <v>136</v>
      </c>
      <c r="S567" s="6">
        <v>0</v>
      </c>
      <c r="T567" s="6">
        <v>228</v>
      </c>
      <c r="U567" s="8">
        <v>-0.93</v>
      </c>
      <c r="V567" s="6"/>
      <c r="W567" s="6"/>
      <c r="X567" s="6"/>
      <c r="Y567" s="6"/>
      <c r="Z567" s="6"/>
      <c r="AA567" s="6"/>
      <c r="AB567" s="6"/>
      <c r="AC567" s="6"/>
      <c r="AD567" s="7"/>
    </row>
    <row r="568" spans="1:30" ht="15.6" x14ac:dyDescent="0.3">
      <c r="A568" s="4">
        <v>875</v>
      </c>
      <c r="B568" s="5" t="s">
        <v>4839</v>
      </c>
      <c r="C568" s="6" t="s">
        <v>173</v>
      </c>
      <c r="D568" s="5" t="s">
        <v>4840</v>
      </c>
      <c r="E568" s="5" t="s">
        <v>33</v>
      </c>
      <c r="F568" s="6" t="s">
        <v>4841</v>
      </c>
      <c r="G568" s="6" t="s">
        <v>4842</v>
      </c>
      <c r="H568" s="8">
        <v>0</v>
      </c>
      <c r="I568" s="6" t="s">
        <v>1921</v>
      </c>
      <c r="J568" s="6" t="s">
        <v>385</v>
      </c>
      <c r="K568" s="6" t="s">
        <v>4843</v>
      </c>
      <c r="L568" s="8">
        <v>-0.2</v>
      </c>
      <c r="M568" s="6" t="s">
        <v>4844</v>
      </c>
      <c r="N568" s="8">
        <v>-0.2</v>
      </c>
      <c r="O568" s="6" t="s">
        <v>4845</v>
      </c>
      <c r="P568" s="6" t="s">
        <v>4846</v>
      </c>
      <c r="Q568" s="6" t="s">
        <v>217</v>
      </c>
      <c r="R568" s="6">
        <v>271</v>
      </c>
      <c r="S568" s="6">
        <v>4</v>
      </c>
      <c r="T568" s="6">
        <v>347</v>
      </c>
      <c r="U568" s="6">
        <f>890%</f>
        <v>8.9</v>
      </c>
      <c r="V568" s="6"/>
      <c r="W568" s="6"/>
      <c r="X568" s="6"/>
      <c r="Y568" s="6"/>
      <c r="Z568" s="6"/>
      <c r="AA568" s="6"/>
      <c r="AB568" s="6"/>
      <c r="AC568" s="6"/>
      <c r="AD568" s="7"/>
    </row>
    <row r="569" spans="1:30" ht="15.6" x14ac:dyDescent="0.3">
      <c r="A569" s="4">
        <v>876</v>
      </c>
      <c r="B569" s="5" t="s">
        <v>4847</v>
      </c>
      <c r="C569" s="6" t="s">
        <v>126</v>
      </c>
      <c r="D569" s="5" t="s">
        <v>4848</v>
      </c>
      <c r="E569" s="5" t="s">
        <v>48</v>
      </c>
      <c r="F569" s="6" t="s">
        <v>4849</v>
      </c>
      <c r="G569" s="6" t="s">
        <v>4850</v>
      </c>
      <c r="H569" s="8">
        <v>0</v>
      </c>
      <c r="I569" s="6" t="s">
        <v>1027</v>
      </c>
      <c r="J569" s="6" t="s">
        <v>454</v>
      </c>
      <c r="K569" s="6" t="s">
        <v>4851</v>
      </c>
      <c r="L569" s="8">
        <v>-0.79</v>
      </c>
      <c r="M569" s="6" t="s">
        <v>4852</v>
      </c>
      <c r="N569" s="8">
        <v>-0.79</v>
      </c>
      <c r="O569" s="6" t="s">
        <v>4853</v>
      </c>
      <c r="P569" s="6" t="s">
        <v>44</v>
      </c>
      <c r="Q569" s="8">
        <v>-0.7</v>
      </c>
      <c r="R569" s="6" t="s">
        <v>4854</v>
      </c>
      <c r="S569" s="6">
        <v>2</v>
      </c>
      <c r="T569" s="6">
        <v>216</v>
      </c>
      <c r="U569" s="8">
        <v>-0.32</v>
      </c>
      <c r="V569" s="6"/>
      <c r="W569" s="6"/>
      <c r="X569" s="6"/>
      <c r="Y569" s="6"/>
      <c r="Z569" s="6"/>
      <c r="AA569" s="6"/>
      <c r="AB569" s="6"/>
      <c r="AC569" s="6"/>
      <c r="AD569" s="7"/>
    </row>
    <row r="570" spans="1:30" ht="15.6" x14ac:dyDescent="0.3">
      <c r="A570" s="4">
        <v>877</v>
      </c>
      <c r="B570" s="5" t="s">
        <v>4855</v>
      </c>
      <c r="C570" s="6" t="s">
        <v>46</v>
      </c>
      <c r="D570" s="5" t="s">
        <v>4856</v>
      </c>
      <c r="E570" s="5" t="s">
        <v>48</v>
      </c>
      <c r="F570" s="6" t="s">
        <v>4857</v>
      </c>
      <c r="G570" s="6" t="s">
        <v>4858</v>
      </c>
      <c r="H570" s="8">
        <v>0</v>
      </c>
      <c r="I570" s="8">
        <v>-0.31</v>
      </c>
      <c r="J570" s="6" t="s">
        <v>517</v>
      </c>
      <c r="K570" s="6" t="s">
        <v>4859</v>
      </c>
      <c r="L570" s="8">
        <v>-0.38</v>
      </c>
      <c r="M570" s="6" t="s">
        <v>4860</v>
      </c>
      <c r="N570" s="8">
        <v>-0.38</v>
      </c>
      <c r="O570" s="6" t="s">
        <v>4861</v>
      </c>
      <c r="P570" s="6" t="s">
        <v>4862</v>
      </c>
      <c r="Q570" s="6" t="s">
        <v>217</v>
      </c>
      <c r="R570" s="6">
        <v>271</v>
      </c>
      <c r="S570" s="6">
        <v>0</v>
      </c>
      <c r="T570" s="6">
        <v>501</v>
      </c>
      <c r="U570" s="8">
        <v>-0.65</v>
      </c>
      <c r="V570" s="6"/>
      <c r="W570" s="6"/>
      <c r="X570" s="6"/>
      <c r="Y570" s="6"/>
      <c r="Z570" s="6"/>
      <c r="AA570" s="6"/>
      <c r="AB570" s="6"/>
      <c r="AC570" s="6"/>
      <c r="AD570" s="7"/>
    </row>
    <row r="571" spans="1:30" ht="15.6" x14ac:dyDescent="0.3">
      <c r="A571" s="4">
        <v>878</v>
      </c>
      <c r="B571" s="5" t="s">
        <v>4863</v>
      </c>
      <c r="C571" s="6" t="s">
        <v>102</v>
      </c>
      <c r="D571" s="5" t="s">
        <v>4864</v>
      </c>
      <c r="E571" s="5" t="s">
        <v>33</v>
      </c>
      <c r="F571" s="6" t="s">
        <v>4865</v>
      </c>
      <c r="G571" s="6" t="s">
        <v>4866</v>
      </c>
      <c r="H571" s="8">
        <v>0</v>
      </c>
      <c r="I571" s="6" t="s">
        <v>4867</v>
      </c>
      <c r="J571" s="6" t="s">
        <v>343</v>
      </c>
      <c r="K571" s="6" t="s">
        <v>4868</v>
      </c>
      <c r="L571" s="8">
        <v>-0.23</v>
      </c>
      <c r="M571" s="6" t="s">
        <v>4869</v>
      </c>
      <c r="N571" s="8">
        <v>-0.23</v>
      </c>
      <c r="O571" s="6" t="s">
        <v>4870</v>
      </c>
      <c r="P571" s="6" t="s">
        <v>217</v>
      </c>
      <c r="Q571" s="6" t="s">
        <v>217</v>
      </c>
      <c r="R571" s="6">
        <v>13</v>
      </c>
      <c r="S571" s="6">
        <v>1</v>
      </c>
      <c r="T571" s="6">
        <v>137</v>
      </c>
      <c r="U571" s="6" t="s">
        <v>217</v>
      </c>
      <c r="V571" s="6"/>
      <c r="W571" s="6"/>
      <c r="X571" s="6"/>
      <c r="Y571" s="6"/>
      <c r="Z571" s="6"/>
      <c r="AA571" s="6"/>
      <c r="AB571" s="6"/>
      <c r="AC571" s="6"/>
      <c r="AD571" s="7"/>
    </row>
    <row r="572" spans="1:30" ht="15.6" x14ac:dyDescent="0.3">
      <c r="A572" s="4">
        <v>879</v>
      </c>
      <c r="B572" s="5" t="s">
        <v>4871</v>
      </c>
      <c r="C572" s="6" t="s">
        <v>72</v>
      </c>
      <c r="D572" s="5" t="s">
        <v>4872</v>
      </c>
      <c r="E572" s="5" t="s">
        <v>33</v>
      </c>
      <c r="F572" s="6" t="s">
        <v>4873</v>
      </c>
      <c r="G572" s="6" t="s">
        <v>4874</v>
      </c>
      <c r="H572" s="8">
        <v>0</v>
      </c>
      <c r="I572" s="6" t="s">
        <v>505</v>
      </c>
      <c r="J572" s="6" t="s">
        <v>2509</v>
      </c>
      <c r="K572" s="6" t="s">
        <v>4875</v>
      </c>
      <c r="L572" s="8">
        <v>-0.31</v>
      </c>
      <c r="M572" s="6" t="s">
        <v>4876</v>
      </c>
      <c r="N572" s="8">
        <v>-0.31</v>
      </c>
      <c r="O572" s="6" t="s">
        <v>4535</v>
      </c>
      <c r="P572" s="6" t="s">
        <v>4877</v>
      </c>
      <c r="Q572" s="6" t="s">
        <v>217</v>
      </c>
      <c r="R572" s="6">
        <v>28</v>
      </c>
      <c r="S572" s="6">
        <v>0</v>
      </c>
      <c r="T572" s="6">
        <v>277</v>
      </c>
      <c r="U572" s="6">
        <f>110%</f>
        <v>1.1000000000000001</v>
      </c>
      <c r="V572" s="6"/>
      <c r="W572" s="6"/>
      <c r="X572" s="6"/>
      <c r="Y572" s="6"/>
      <c r="Z572" s="6"/>
      <c r="AA572" s="6"/>
      <c r="AB572" s="6"/>
      <c r="AC572" s="6"/>
      <c r="AD572" s="7"/>
    </row>
    <row r="573" spans="1:30" ht="15.6" x14ac:dyDescent="0.3">
      <c r="A573" s="4">
        <v>880</v>
      </c>
      <c r="B573" s="5" t="s">
        <v>4878</v>
      </c>
      <c r="C573" s="6" t="s">
        <v>72</v>
      </c>
      <c r="D573" s="5" t="s">
        <v>4879</v>
      </c>
      <c r="E573" s="5" t="s">
        <v>33</v>
      </c>
      <c r="F573" s="6" t="s">
        <v>4880</v>
      </c>
      <c r="G573" s="6" t="s">
        <v>4881</v>
      </c>
      <c r="H573" s="8">
        <v>0</v>
      </c>
      <c r="I573" s="8">
        <v>-0.95</v>
      </c>
      <c r="J573" s="6" t="s">
        <v>211</v>
      </c>
      <c r="K573" s="6" t="s">
        <v>4882</v>
      </c>
      <c r="L573" s="8">
        <v>-0.36</v>
      </c>
      <c r="M573" s="6" t="s">
        <v>4883</v>
      </c>
      <c r="N573" s="8">
        <v>-0.36</v>
      </c>
      <c r="O573" s="6" t="s">
        <v>4884</v>
      </c>
      <c r="P573" s="6" t="s">
        <v>4885</v>
      </c>
      <c r="Q573" s="6" t="s">
        <v>217</v>
      </c>
      <c r="R573" s="6">
        <v>492</v>
      </c>
      <c r="S573" s="6">
        <v>1</v>
      </c>
      <c r="T573" s="6">
        <v>653</v>
      </c>
      <c r="U573" s="6">
        <f>1.4%</f>
        <v>1.3999999999999999E-2</v>
      </c>
      <c r="V573" s="6"/>
      <c r="W573" s="6"/>
      <c r="X573" s="6"/>
      <c r="Y573" s="6"/>
      <c r="Z573" s="6"/>
      <c r="AA573" s="6"/>
      <c r="AB573" s="6"/>
      <c r="AC573" s="6"/>
      <c r="AD573" s="7"/>
    </row>
    <row r="574" spans="1:30" ht="15.6" x14ac:dyDescent="0.3">
      <c r="A574" s="4">
        <v>881</v>
      </c>
      <c r="B574" s="5" t="s">
        <v>4886</v>
      </c>
      <c r="C574" s="6" t="s">
        <v>114</v>
      </c>
      <c r="D574" s="5" t="s">
        <v>4887</v>
      </c>
      <c r="E574" s="5" t="s">
        <v>33</v>
      </c>
      <c r="F574" s="6" t="s">
        <v>4888</v>
      </c>
      <c r="G574" s="6" t="s">
        <v>4889</v>
      </c>
      <c r="H574" s="8">
        <v>0</v>
      </c>
      <c r="I574" s="6" t="s">
        <v>845</v>
      </c>
      <c r="J574" s="6" t="s">
        <v>272</v>
      </c>
      <c r="K574" s="6" t="s">
        <v>333</v>
      </c>
      <c r="L574" s="6" t="s">
        <v>106</v>
      </c>
      <c r="M574" s="6" t="s">
        <v>4890</v>
      </c>
      <c r="N574" s="6" t="s">
        <v>106</v>
      </c>
      <c r="O574" s="6" t="s">
        <v>4891</v>
      </c>
      <c r="P574" s="6" t="s">
        <v>1758</v>
      </c>
      <c r="Q574" s="8">
        <v>-0.39</v>
      </c>
      <c r="R574" s="6">
        <v>246</v>
      </c>
      <c r="S574" s="6">
        <v>1</v>
      </c>
      <c r="T574" s="6" t="s">
        <v>4892</v>
      </c>
      <c r="U574" s="8">
        <v>-0.85</v>
      </c>
      <c r="V574" s="6"/>
      <c r="W574" s="6"/>
      <c r="X574" s="6"/>
      <c r="Y574" s="6"/>
      <c r="Z574" s="6"/>
      <c r="AA574" s="6"/>
      <c r="AB574" s="6"/>
      <c r="AC574" s="6"/>
      <c r="AD574" s="7"/>
    </row>
    <row r="575" spans="1:30" ht="15.6" x14ac:dyDescent="0.3">
      <c r="A575" s="4">
        <v>883</v>
      </c>
      <c r="B575" s="5" t="s">
        <v>4893</v>
      </c>
      <c r="C575" s="6" t="s">
        <v>406</v>
      </c>
      <c r="D575" s="5" t="s">
        <v>4894</v>
      </c>
      <c r="E575" s="5" t="s">
        <v>33</v>
      </c>
      <c r="F575" s="6" t="s">
        <v>4895</v>
      </c>
      <c r="G575" s="6" t="s">
        <v>4896</v>
      </c>
      <c r="H575" s="8">
        <v>0</v>
      </c>
      <c r="I575" s="8">
        <v>-0.78</v>
      </c>
      <c r="J575" s="6" t="s">
        <v>1390</v>
      </c>
      <c r="K575" s="6" t="s">
        <v>4897</v>
      </c>
      <c r="L575" s="8">
        <v>-0.45</v>
      </c>
      <c r="M575" s="6" t="s">
        <v>4898</v>
      </c>
      <c r="N575" s="8">
        <v>-0.45</v>
      </c>
      <c r="O575" s="6" t="s">
        <v>4899</v>
      </c>
      <c r="P575" s="6" t="s">
        <v>4900</v>
      </c>
      <c r="Q575" s="6" t="s">
        <v>217</v>
      </c>
      <c r="R575" s="6">
        <v>255</v>
      </c>
      <c r="S575" s="6">
        <v>2</v>
      </c>
      <c r="T575" s="6">
        <v>787</v>
      </c>
      <c r="U575" s="6" t="s">
        <v>217</v>
      </c>
      <c r="V575" s="6"/>
      <c r="W575" s="6"/>
      <c r="X575" s="6"/>
      <c r="Y575" s="6"/>
      <c r="Z575" s="6"/>
      <c r="AA575" s="6"/>
      <c r="AB575" s="6"/>
      <c r="AC575" s="6"/>
      <c r="AD575" s="7"/>
    </row>
    <row r="576" spans="1:30" ht="15.6" x14ac:dyDescent="0.3">
      <c r="A576" s="4">
        <v>884</v>
      </c>
      <c r="B576" s="5" t="s">
        <v>4901</v>
      </c>
      <c r="C576" s="6" t="s">
        <v>267</v>
      </c>
      <c r="D576" s="5" t="s">
        <v>4902</v>
      </c>
      <c r="E576" s="5" t="s">
        <v>33</v>
      </c>
      <c r="F576" s="6" t="s">
        <v>4903</v>
      </c>
      <c r="G576" s="6" t="s">
        <v>4904</v>
      </c>
      <c r="H576" s="8">
        <v>0</v>
      </c>
      <c r="I576" s="6" t="s">
        <v>4905</v>
      </c>
      <c r="J576" s="6" t="s">
        <v>332</v>
      </c>
      <c r="K576" s="6" t="s">
        <v>4906</v>
      </c>
      <c r="L576" s="6" t="s">
        <v>3733</v>
      </c>
      <c r="M576" s="6" t="s">
        <v>4907</v>
      </c>
      <c r="N576" s="6" t="s">
        <v>3733</v>
      </c>
      <c r="O576" s="6" t="s">
        <v>2140</v>
      </c>
      <c r="P576" s="6" t="s">
        <v>217</v>
      </c>
      <c r="Q576" s="6" t="s">
        <v>217</v>
      </c>
      <c r="R576" s="6">
        <v>8</v>
      </c>
      <c r="S576" s="6">
        <v>0</v>
      </c>
      <c r="T576" s="6">
        <v>148</v>
      </c>
      <c r="U576" s="6" t="s">
        <v>217</v>
      </c>
      <c r="V576" s="6"/>
      <c r="W576" s="6"/>
      <c r="X576" s="6"/>
      <c r="Y576" s="6"/>
      <c r="Z576" s="6"/>
      <c r="AA576" s="6"/>
      <c r="AB576" s="6"/>
      <c r="AC576" s="6"/>
      <c r="AD576" s="7"/>
    </row>
    <row r="577" spans="1:30" ht="15.6" x14ac:dyDescent="0.3">
      <c r="A577" s="4">
        <v>885</v>
      </c>
      <c r="B577" s="5" t="s">
        <v>4908</v>
      </c>
      <c r="C577" s="6" t="s">
        <v>31</v>
      </c>
      <c r="D577" s="5" t="s">
        <v>4909</v>
      </c>
      <c r="E577" s="5" t="s">
        <v>33</v>
      </c>
      <c r="F577" s="6" t="s">
        <v>4910</v>
      </c>
      <c r="G577" s="6" t="s">
        <v>4911</v>
      </c>
      <c r="H577" s="8">
        <v>0</v>
      </c>
      <c r="I577" s="6"/>
      <c r="J577" s="6" t="s">
        <v>517</v>
      </c>
      <c r="K577" s="6" t="s">
        <v>53</v>
      </c>
      <c r="L577" s="8">
        <v>-0.74</v>
      </c>
      <c r="M577" s="6" t="s">
        <v>4912</v>
      </c>
      <c r="N577" s="8">
        <v>-0.74</v>
      </c>
      <c r="O577" s="6" t="s">
        <v>4913</v>
      </c>
      <c r="P577" s="6" t="s">
        <v>4914</v>
      </c>
      <c r="Q577" s="6" t="s">
        <v>217</v>
      </c>
      <c r="R577" s="6">
        <v>204</v>
      </c>
      <c r="S577" s="6">
        <v>0</v>
      </c>
      <c r="T577" s="6">
        <v>145</v>
      </c>
      <c r="U577" s="6">
        <f>150%</f>
        <v>1.5</v>
      </c>
      <c r="V577" s="6"/>
      <c r="W577" s="6"/>
      <c r="X577" s="6"/>
      <c r="Y577" s="6"/>
      <c r="Z577" s="6"/>
      <c r="AA577" s="6"/>
      <c r="AB577" s="6"/>
      <c r="AC577" s="6"/>
      <c r="AD577" s="7"/>
    </row>
    <row r="578" spans="1:30" ht="15.6" x14ac:dyDescent="0.3">
      <c r="A578" s="4">
        <v>886</v>
      </c>
      <c r="B578" s="5" t="s">
        <v>4915</v>
      </c>
      <c r="C578" s="6" t="s">
        <v>126</v>
      </c>
      <c r="D578" s="5" t="s">
        <v>4916</v>
      </c>
      <c r="E578" s="5" t="s">
        <v>48</v>
      </c>
      <c r="F578" s="6" t="s">
        <v>4917</v>
      </c>
      <c r="G578" s="6" t="s">
        <v>4918</v>
      </c>
      <c r="H578" s="8">
        <v>0</v>
      </c>
      <c r="I578" s="8">
        <v>-0.94</v>
      </c>
      <c r="J578" s="6" t="s">
        <v>1130</v>
      </c>
      <c r="K578" s="6" t="s">
        <v>4919</v>
      </c>
      <c r="L578" s="8">
        <v>-0.72</v>
      </c>
      <c r="M578" s="6" t="s">
        <v>4920</v>
      </c>
      <c r="N578" s="8">
        <v>-0.72</v>
      </c>
      <c r="O578" s="6" t="s">
        <v>4921</v>
      </c>
      <c r="P578" s="6" t="s">
        <v>4922</v>
      </c>
      <c r="Q578" s="6" t="s">
        <v>217</v>
      </c>
      <c r="R578" s="6">
        <v>405</v>
      </c>
      <c r="S578" s="6">
        <v>2</v>
      </c>
      <c r="T578" s="6">
        <v>633</v>
      </c>
      <c r="U578" s="8">
        <v>-0.84</v>
      </c>
      <c r="V578" s="6"/>
      <c r="W578" s="6"/>
      <c r="X578" s="6"/>
      <c r="Y578" s="6"/>
      <c r="Z578" s="6"/>
      <c r="AA578" s="6"/>
      <c r="AB578" s="6"/>
      <c r="AC578" s="6"/>
      <c r="AD578" s="7"/>
    </row>
    <row r="579" spans="1:30" ht="15.6" x14ac:dyDescent="0.3">
      <c r="A579" s="4">
        <v>887</v>
      </c>
      <c r="B579" s="5" t="s">
        <v>4923</v>
      </c>
      <c r="C579" s="6" t="s">
        <v>173</v>
      </c>
      <c r="D579" s="5" t="s">
        <v>4924</v>
      </c>
      <c r="E579" s="5" t="s">
        <v>33</v>
      </c>
      <c r="F579" s="6" t="s">
        <v>4925</v>
      </c>
      <c r="G579" s="6" t="s">
        <v>4926</v>
      </c>
      <c r="H579" s="8">
        <v>0</v>
      </c>
      <c r="I579" s="6" t="s">
        <v>877</v>
      </c>
      <c r="J579" s="6" t="s">
        <v>846</v>
      </c>
      <c r="K579" s="6" t="s">
        <v>443</v>
      </c>
      <c r="L579" s="8">
        <v>-0.55000000000000004</v>
      </c>
      <c r="M579" s="6" t="s">
        <v>4927</v>
      </c>
      <c r="N579" s="8">
        <v>-0.55000000000000004</v>
      </c>
      <c r="O579" s="6" t="s">
        <v>4928</v>
      </c>
      <c r="P579" s="6" t="s">
        <v>956</v>
      </c>
      <c r="Q579" s="6">
        <f>0.1%</f>
        <v>1E-3</v>
      </c>
      <c r="R579" s="6">
        <v>381</v>
      </c>
      <c r="S579" s="6">
        <v>11</v>
      </c>
      <c r="T579" s="6" t="s">
        <v>1349</v>
      </c>
      <c r="U579" s="8">
        <v>-0.5</v>
      </c>
      <c r="V579" s="6"/>
      <c r="W579" s="6"/>
      <c r="X579" s="6"/>
      <c r="Y579" s="6"/>
      <c r="Z579" s="6"/>
      <c r="AA579" s="6"/>
      <c r="AB579" s="6"/>
      <c r="AC579" s="6"/>
      <c r="AD579" s="7"/>
    </row>
    <row r="580" spans="1:30" ht="15.6" x14ac:dyDescent="0.3">
      <c r="A580" s="4">
        <v>888</v>
      </c>
      <c r="B580" s="5" t="s">
        <v>4929</v>
      </c>
      <c r="C580" s="6" t="s">
        <v>31</v>
      </c>
      <c r="D580" s="5" t="s">
        <v>4930</v>
      </c>
      <c r="E580" s="5" t="s">
        <v>48</v>
      </c>
      <c r="F580" s="6" t="s">
        <v>4931</v>
      </c>
      <c r="G580" s="6" t="s">
        <v>4932</v>
      </c>
      <c r="H580" s="8">
        <v>0</v>
      </c>
      <c r="I580" s="6" t="s">
        <v>1661</v>
      </c>
      <c r="J580" s="6" t="s">
        <v>1258</v>
      </c>
      <c r="K580" s="6" t="s">
        <v>4933</v>
      </c>
      <c r="L580" s="8">
        <v>-0.16</v>
      </c>
      <c r="M580" s="6" t="s">
        <v>4934</v>
      </c>
      <c r="N580" s="8">
        <v>-0.16</v>
      </c>
      <c r="O580" s="6" t="s">
        <v>3917</v>
      </c>
      <c r="P580" s="6" t="s">
        <v>4935</v>
      </c>
      <c r="Q580" s="6" t="s">
        <v>217</v>
      </c>
      <c r="R580" s="6">
        <v>124</v>
      </c>
      <c r="S580" s="6">
        <v>0</v>
      </c>
      <c r="T580" s="6">
        <v>246</v>
      </c>
      <c r="U580" s="6">
        <f>270%</f>
        <v>2.7</v>
      </c>
      <c r="V580" s="6"/>
      <c r="W580" s="6"/>
      <c r="X580" s="6"/>
      <c r="Y580" s="6"/>
      <c r="Z580" s="6"/>
      <c r="AA580" s="6"/>
      <c r="AB580" s="6"/>
      <c r="AC580" s="6"/>
      <c r="AD580" s="7"/>
    </row>
    <row r="581" spans="1:30" ht="15.6" x14ac:dyDescent="0.3">
      <c r="A581" s="4">
        <v>889</v>
      </c>
      <c r="B581" s="5" t="s">
        <v>4936</v>
      </c>
      <c r="C581" s="6" t="s">
        <v>567</v>
      </c>
      <c r="D581" s="5" t="s">
        <v>4937</v>
      </c>
      <c r="E581" s="5" t="s">
        <v>33</v>
      </c>
      <c r="F581" s="6" t="s">
        <v>4938</v>
      </c>
      <c r="G581" s="6" t="s">
        <v>4939</v>
      </c>
      <c r="H581" s="8">
        <v>0</v>
      </c>
      <c r="I581" s="6" t="s">
        <v>877</v>
      </c>
      <c r="J581" s="6" t="s">
        <v>332</v>
      </c>
      <c r="K581" s="6" t="s">
        <v>4940</v>
      </c>
      <c r="L581" s="6" t="s">
        <v>106</v>
      </c>
      <c r="M581" s="6" t="s">
        <v>4941</v>
      </c>
      <c r="N581" s="6" t="s">
        <v>106</v>
      </c>
      <c r="O581" s="6" t="s">
        <v>4942</v>
      </c>
      <c r="P581" s="6" t="s">
        <v>4943</v>
      </c>
      <c r="Q581" s="6">
        <f>13%</f>
        <v>0.13</v>
      </c>
      <c r="R581" s="6" t="s">
        <v>4944</v>
      </c>
      <c r="S581" s="6">
        <v>1</v>
      </c>
      <c r="T581" s="6" t="s">
        <v>4945</v>
      </c>
      <c r="U581" s="6">
        <f>42%</f>
        <v>0.42</v>
      </c>
      <c r="V581" s="6"/>
      <c r="W581" s="6"/>
      <c r="X581" s="6"/>
      <c r="Y581" s="6"/>
      <c r="Z581" s="6"/>
      <c r="AA581" s="6"/>
      <c r="AB581" s="6"/>
      <c r="AC581" s="6"/>
      <c r="AD581" s="7"/>
    </row>
    <row r="582" spans="1:30" ht="15.6" x14ac:dyDescent="0.3">
      <c r="A582" s="4">
        <v>890</v>
      </c>
      <c r="B582" s="5" t="s">
        <v>4946</v>
      </c>
      <c r="C582" s="6" t="s">
        <v>46</v>
      </c>
      <c r="D582" s="5" t="s">
        <v>4947</v>
      </c>
      <c r="E582" s="5" t="s">
        <v>33</v>
      </c>
      <c r="F582" s="6" t="s">
        <v>4948</v>
      </c>
      <c r="G582" s="6" t="s">
        <v>4949</v>
      </c>
      <c r="H582" s="8">
        <v>0</v>
      </c>
      <c r="I582" s="8">
        <v>-0.94</v>
      </c>
      <c r="J582" s="6" t="s">
        <v>284</v>
      </c>
      <c r="K582" s="6" t="s">
        <v>4950</v>
      </c>
      <c r="L582" s="8">
        <v>-0.4</v>
      </c>
      <c r="M582" s="6" t="s">
        <v>4951</v>
      </c>
      <c r="N582" s="8">
        <v>-0.4</v>
      </c>
      <c r="O582" s="6" t="s">
        <v>4952</v>
      </c>
      <c r="P582" s="6" t="s">
        <v>4953</v>
      </c>
      <c r="Q582" s="6" t="s">
        <v>217</v>
      </c>
      <c r="R582" s="6">
        <v>256</v>
      </c>
      <c r="S582" s="6">
        <v>2</v>
      </c>
      <c r="T582" s="6" t="s">
        <v>1935</v>
      </c>
      <c r="U582" s="6">
        <f>0.25%</f>
        <v>2.5000000000000001E-3</v>
      </c>
      <c r="V582" s="6"/>
      <c r="W582" s="6"/>
      <c r="X582" s="6"/>
      <c r="Y582" s="6"/>
      <c r="Z582" s="6"/>
      <c r="AA582" s="6"/>
      <c r="AB582" s="6"/>
      <c r="AC582" s="6"/>
      <c r="AD582" s="7"/>
    </row>
    <row r="583" spans="1:30" ht="15.6" x14ac:dyDescent="0.3">
      <c r="A583" s="4">
        <v>891</v>
      </c>
      <c r="B583" s="5" t="s">
        <v>4954</v>
      </c>
      <c r="C583" s="6" t="s">
        <v>173</v>
      </c>
      <c r="D583" s="5" t="s">
        <v>4955</v>
      </c>
      <c r="E583" s="5" t="s">
        <v>33</v>
      </c>
      <c r="F583" s="6" t="s">
        <v>4956</v>
      </c>
      <c r="G583" s="6" t="s">
        <v>4957</v>
      </c>
      <c r="H583" s="8">
        <v>0</v>
      </c>
      <c r="I583" s="8">
        <v>-0.82</v>
      </c>
      <c r="J583" s="6" t="s">
        <v>1491</v>
      </c>
      <c r="K583" s="6" t="s">
        <v>2687</v>
      </c>
      <c r="L583" s="8">
        <v>-0.25</v>
      </c>
      <c r="M583" s="6" t="s">
        <v>4958</v>
      </c>
      <c r="N583" s="8">
        <v>-0.25</v>
      </c>
      <c r="O583" s="6" t="s">
        <v>4959</v>
      </c>
      <c r="P583" s="6" t="s">
        <v>4960</v>
      </c>
      <c r="Q583" s="6" t="s">
        <v>217</v>
      </c>
      <c r="R583" s="6" t="s">
        <v>4961</v>
      </c>
      <c r="S583" s="6">
        <v>22</v>
      </c>
      <c r="T583" s="6" t="s">
        <v>4962</v>
      </c>
      <c r="U583" s="6">
        <f>0.015%</f>
        <v>1.4999999999999999E-4</v>
      </c>
      <c r="V583" s="6"/>
      <c r="W583" s="6"/>
      <c r="X583" s="6"/>
      <c r="Y583" s="6"/>
      <c r="Z583" s="6"/>
      <c r="AA583" s="6"/>
      <c r="AB583" s="6"/>
      <c r="AC583" s="6"/>
      <c r="AD583" s="7"/>
    </row>
    <row r="584" spans="1:30" ht="15.6" x14ac:dyDescent="0.3">
      <c r="A584" s="4">
        <v>893</v>
      </c>
      <c r="B584" s="5" t="s">
        <v>4963</v>
      </c>
      <c r="C584" s="6" t="s">
        <v>60</v>
      </c>
      <c r="D584" s="5" t="s">
        <v>4964</v>
      </c>
      <c r="E584" s="5" t="s">
        <v>33</v>
      </c>
      <c r="F584" s="6" t="s">
        <v>4965</v>
      </c>
      <c r="G584" s="6" t="s">
        <v>4966</v>
      </c>
      <c r="H584" s="8">
        <v>0</v>
      </c>
      <c r="I584" s="8">
        <v>-0.38</v>
      </c>
      <c r="J584" s="6" t="s">
        <v>421</v>
      </c>
      <c r="K584" s="6" t="s">
        <v>658</v>
      </c>
      <c r="L584" s="6">
        <f>0.15%</f>
        <v>1.5E-3</v>
      </c>
      <c r="M584" s="6" t="s">
        <v>4741</v>
      </c>
      <c r="N584" s="6">
        <f>0.15%</f>
        <v>1.5E-3</v>
      </c>
      <c r="O584" s="6" t="s">
        <v>4967</v>
      </c>
      <c r="P584" s="6" t="s">
        <v>4968</v>
      </c>
      <c r="Q584" s="6" t="s">
        <v>217</v>
      </c>
      <c r="R584" s="6">
        <v>551</v>
      </c>
      <c r="S584" s="6">
        <v>14</v>
      </c>
      <c r="T584" s="6" t="s">
        <v>4969</v>
      </c>
      <c r="U584" s="6">
        <f>69%</f>
        <v>0.69</v>
      </c>
      <c r="V584" s="6"/>
      <c r="W584" s="6"/>
      <c r="X584" s="6"/>
      <c r="Y584" s="6"/>
      <c r="Z584" s="6"/>
      <c r="AA584" s="6"/>
      <c r="AB584" s="6"/>
      <c r="AC584" s="6"/>
      <c r="AD584" s="7"/>
    </row>
    <row r="585" spans="1:30" ht="15.6" x14ac:dyDescent="0.3">
      <c r="A585" s="4">
        <v>894</v>
      </c>
      <c r="B585" s="5" t="s">
        <v>4970</v>
      </c>
      <c r="C585" s="6" t="s">
        <v>72</v>
      </c>
      <c r="D585" s="5" t="s">
        <v>4971</v>
      </c>
      <c r="E585" s="5" t="s">
        <v>33</v>
      </c>
      <c r="F585" s="6" t="s">
        <v>4972</v>
      </c>
      <c r="G585" s="6" t="s">
        <v>4973</v>
      </c>
      <c r="H585" s="8">
        <v>0</v>
      </c>
      <c r="I585" s="8">
        <v>-0.84</v>
      </c>
      <c r="J585" s="6" t="s">
        <v>442</v>
      </c>
      <c r="K585" s="6" t="s">
        <v>4974</v>
      </c>
      <c r="L585" s="8">
        <v>-0.21</v>
      </c>
      <c r="M585" s="6" t="s">
        <v>4274</v>
      </c>
      <c r="N585" s="8">
        <v>-0.21</v>
      </c>
      <c r="O585" s="6" t="s">
        <v>4975</v>
      </c>
      <c r="P585" s="6" t="s">
        <v>4976</v>
      </c>
      <c r="Q585" s="6" t="s">
        <v>217</v>
      </c>
      <c r="R585" s="6">
        <v>124</v>
      </c>
      <c r="S585" s="6">
        <v>0</v>
      </c>
      <c r="T585" s="6">
        <v>370</v>
      </c>
      <c r="U585" s="8">
        <v>-0.94</v>
      </c>
      <c r="V585" s="6"/>
      <c r="W585" s="6"/>
      <c r="X585" s="6"/>
      <c r="Y585" s="6"/>
      <c r="Z585" s="6"/>
      <c r="AA585" s="6"/>
      <c r="AB585" s="6"/>
      <c r="AC585" s="6"/>
      <c r="AD585" s="7"/>
    </row>
    <row r="586" spans="1:30" ht="15.6" x14ac:dyDescent="0.3">
      <c r="A586" s="4">
        <v>896</v>
      </c>
      <c r="B586" s="5" t="s">
        <v>4977</v>
      </c>
      <c r="C586" s="6" t="s">
        <v>72</v>
      </c>
      <c r="D586" s="5" t="s">
        <v>4978</v>
      </c>
      <c r="E586" s="5" t="s">
        <v>48</v>
      </c>
      <c r="F586" s="6" t="s">
        <v>4979</v>
      </c>
      <c r="G586" s="6" t="s">
        <v>4980</v>
      </c>
      <c r="H586" s="8">
        <v>0</v>
      </c>
      <c r="I586" s="8">
        <v>-0.15</v>
      </c>
      <c r="J586" s="6" t="s">
        <v>506</v>
      </c>
      <c r="K586" s="6" t="s">
        <v>4981</v>
      </c>
      <c r="L586" s="8">
        <v>-0.57999999999999996</v>
      </c>
      <c r="M586" s="6" t="s">
        <v>4982</v>
      </c>
      <c r="N586" s="8">
        <v>-0.57999999999999996</v>
      </c>
      <c r="O586" s="6" t="s">
        <v>3174</v>
      </c>
      <c r="P586" s="6" t="s">
        <v>217</v>
      </c>
      <c r="Q586" s="6" t="s">
        <v>217</v>
      </c>
      <c r="R586" s="6">
        <v>192</v>
      </c>
      <c r="S586" s="6">
        <v>0</v>
      </c>
      <c r="T586" s="6">
        <v>186</v>
      </c>
      <c r="U586" s="6" t="s">
        <v>217</v>
      </c>
      <c r="V586" s="6"/>
      <c r="W586" s="6"/>
      <c r="X586" s="6"/>
      <c r="Y586" s="6"/>
      <c r="Z586" s="6"/>
      <c r="AA586" s="6"/>
      <c r="AB586" s="6"/>
      <c r="AC586" s="6"/>
      <c r="AD586" s="7"/>
    </row>
    <row r="587" spans="1:30" ht="15.6" x14ac:dyDescent="0.3">
      <c r="A587" s="4">
        <v>897</v>
      </c>
      <c r="B587" s="5" t="s">
        <v>4983</v>
      </c>
      <c r="C587" s="6" t="s">
        <v>173</v>
      </c>
      <c r="D587" s="5" t="s">
        <v>4984</v>
      </c>
      <c r="E587" s="5" t="s">
        <v>33</v>
      </c>
      <c r="F587" s="6" t="s">
        <v>4985</v>
      </c>
      <c r="G587" s="6" t="s">
        <v>4986</v>
      </c>
      <c r="H587" s="8">
        <v>0</v>
      </c>
      <c r="I587" s="8">
        <v>-0.86</v>
      </c>
      <c r="J587" s="6" t="s">
        <v>385</v>
      </c>
      <c r="K587" s="6" t="s">
        <v>4987</v>
      </c>
      <c r="L587" s="8">
        <v>-0.16</v>
      </c>
      <c r="M587" s="6" t="s">
        <v>4988</v>
      </c>
      <c r="N587" s="8">
        <v>-0.16</v>
      </c>
      <c r="O587" s="6" t="s">
        <v>4989</v>
      </c>
      <c r="P587" s="6" t="s">
        <v>4990</v>
      </c>
      <c r="Q587" s="6" t="s">
        <v>217</v>
      </c>
      <c r="R587" s="6">
        <v>41</v>
      </c>
      <c r="S587" s="6">
        <v>1</v>
      </c>
      <c r="T587" s="6" t="s">
        <v>4991</v>
      </c>
      <c r="U587" s="8">
        <v>-0.53</v>
      </c>
      <c r="V587" s="6"/>
      <c r="W587" s="6"/>
      <c r="X587" s="6"/>
      <c r="Y587" s="6"/>
      <c r="Z587" s="6"/>
      <c r="AA587" s="6"/>
      <c r="AB587" s="6"/>
      <c r="AC587" s="6"/>
      <c r="AD587" s="7"/>
    </row>
    <row r="588" spans="1:30" ht="15.6" x14ac:dyDescent="0.3">
      <c r="A588" s="4">
        <v>898</v>
      </c>
      <c r="B588" s="5" t="s">
        <v>4992</v>
      </c>
      <c r="C588" s="6" t="s">
        <v>126</v>
      </c>
      <c r="D588" s="5" t="s">
        <v>4993</v>
      </c>
      <c r="E588" s="5" t="s">
        <v>33</v>
      </c>
      <c r="F588" s="6" t="s">
        <v>4994</v>
      </c>
      <c r="G588" s="6" t="s">
        <v>4995</v>
      </c>
      <c r="H588" s="8">
        <v>0</v>
      </c>
      <c r="I588" s="8">
        <v>-0.45</v>
      </c>
      <c r="J588" s="6" t="s">
        <v>1649</v>
      </c>
      <c r="K588" s="6" t="s">
        <v>4996</v>
      </c>
      <c r="L588" s="6" t="s">
        <v>4997</v>
      </c>
      <c r="M588" s="6" t="s">
        <v>3143</v>
      </c>
      <c r="N588" s="6" t="s">
        <v>4997</v>
      </c>
      <c r="O588" s="6" t="s">
        <v>4998</v>
      </c>
      <c r="P588" s="6" t="s">
        <v>4999</v>
      </c>
      <c r="Q588" s="6" t="s">
        <v>217</v>
      </c>
      <c r="R588" s="6">
        <v>54</v>
      </c>
      <c r="S588" s="6">
        <v>0</v>
      </c>
      <c r="T588" s="6">
        <v>209</v>
      </c>
      <c r="U588" s="6" t="s">
        <v>217</v>
      </c>
      <c r="V588" s="6"/>
      <c r="W588" s="6"/>
      <c r="X588" s="6"/>
      <c r="Y588" s="6"/>
      <c r="Z588" s="6"/>
      <c r="AA588" s="6"/>
      <c r="AB588" s="6"/>
      <c r="AC588" s="6"/>
      <c r="AD588" s="7"/>
    </row>
    <row r="589" spans="1:30" ht="15.6" x14ac:dyDescent="0.3">
      <c r="A589" s="4">
        <v>899</v>
      </c>
      <c r="B589" s="5" t="s">
        <v>5000</v>
      </c>
      <c r="C589" s="6" t="s">
        <v>46</v>
      </c>
      <c r="D589" s="5" t="s">
        <v>5001</v>
      </c>
      <c r="E589" s="5" t="s">
        <v>33</v>
      </c>
      <c r="F589" s="6" t="s">
        <v>5002</v>
      </c>
      <c r="G589" s="6" t="s">
        <v>5003</v>
      </c>
      <c r="H589" s="8">
        <v>0</v>
      </c>
      <c r="I589" s="8">
        <v>-0.32</v>
      </c>
      <c r="J589" s="6" t="s">
        <v>374</v>
      </c>
      <c r="K589" s="6" t="s">
        <v>518</v>
      </c>
      <c r="L589" s="6">
        <f>4.6%</f>
        <v>4.5999999999999999E-2</v>
      </c>
      <c r="M589" s="6" t="s">
        <v>5004</v>
      </c>
      <c r="N589" s="6">
        <f>4.6%</f>
        <v>4.5999999999999999E-2</v>
      </c>
      <c r="O589" s="6" t="s">
        <v>5005</v>
      </c>
      <c r="P589" s="6" t="s">
        <v>5006</v>
      </c>
      <c r="Q589" s="6" t="s">
        <v>217</v>
      </c>
      <c r="R589" s="6">
        <v>84</v>
      </c>
      <c r="S589" s="6">
        <v>0</v>
      </c>
      <c r="T589" s="6">
        <v>192</v>
      </c>
      <c r="U589" s="6">
        <f>8.5%</f>
        <v>8.5000000000000006E-2</v>
      </c>
      <c r="V589" s="6"/>
      <c r="W589" s="6"/>
      <c r="X589" s="6"/>
      <c r="Y589" s="6"/>
      <c r="Z589" s="6"/>
      <c r="AA589" s="6"/>
      <c r="AB589" s="6"/>
      <c r="AC589" s="6"/>
      <c r="AD589" s="7"/>
    </row>
    <row r="590" spans="1:30" ht="15.6" x14ac:dyDescent="0.3">
      <c r="A590" s="4">
        <v>900</v>
      </c>
      <c r="B590" s="5" t="s">
        <v>5007</v>
      </c>
      <c r="C590" s="6" t="s">
        <v>219</v>
      </c>
      <c r="D590" s="5" t="s">
        <v>5008</v>
      </c>
      <c r="E590" s="5" t="s">
        <v>48</v>
      </c>
      <c r="F590" s="6" t="s">
        <v>5009</v>
      </c>
      <c r="G590" s="6" t="s">
        <v>5010</v>
      </c>
      <c r="H590" s="8">
        <v>0</v>
      </c>
      <c r="I590" s="8">
        <v>-0.23</v>
      </c>
      <c r="J590" s="6" t="s">
        <v>1354</v>
      </c>
      <c r="K590" s="6" t="s">
        <v>5011</v>
      </c>
      <c r="L590" s="6" t="s">
        <v>217</v>
      </c>
      <c r="M590" s="6" t="s">
        <v>3151</v>
      </c>
      <c r="N590" s="6" t="s">
        <v>3777</v>
      </c>
      <c r="O590" s="6" t="s">
        <v>5012</v>
      </c>
      <c r="P590" s="6" t="s">
        <v>217</v>
      </c>
      <c r="Q590" s="6" t="s">
        <v>217</v>
      </c>
      <c r="R590" s="6" t="s">
        <v>5013</v>
      </c>
      <c r="S590" s="6">
        <v>278</v>
      </c>
      <c r="T590" s="6">
        <v>200</v>
      </c>
      <c r="U590" s="6" t="s">
        <v>217</v>
      </c>
      <c r="V590" s="6"/>
      <c r="W590" s="6"/>
      <c r="X590" s="6"/>
      <c r="Y590" s="6"/>
      <c r="Z590" s="6"/>
      <c r="AA590" s="6"/>
      <c r="AB590" s="6"/>
      <c r="AC590" s="6"/>
      <c r="AD590" s="7"/>
    </row>
    <row r="591" spans="1:30" ht="15.6" x14ac:dyDescent="0.3">
      <c r="A591" s="4">
        <v>901</v>
      </c>
      <c r="B591" s="5" t="s">
        <v>5014</v>
      </c>
      <c r="C591" s="6" t="s">
        <v>46</v>
      </c>
      <c r="D591" s="5" t="s">
        <v>5015</v>
      </c>
      <c r="E591" s="5" t="s">
        <v>33</v>
      </c>
      <c r="F591" s="6" t="s">
        <v>5016</v>
      </c>
      <c r="G591" s="6" t="s">
        <v>5017</v>
      </c>
      <c r="H591" s="8">
        <v>0</v>
      </c>
      <c r="I591" s="8">
        <v>-0.98</v>
      </c>
      <c r="J591" s="6" t="s">
        <v>36</v>
      </c>
      <c r="K591" s="6" t="s">
        <v>5018</v>
      </c>
      <c r="L591" s="8">
        <v>-0.21</v>
      </c>
      <c r="M591" s="6" t="s">
        <v>5019</v>
      </c>
      <c r="N591" s="8">
        <v>-0.21</v>
      </c>
      <c r="O591" s="6" t="s">
        <v>5020</v>
      </c>
      <c r="P591" s="6" t="s">
        <v>5021</v>
      </c>
      <c r="Q591" s="6" t="s">
        <v>217</v>
      </c>
      <c r="R591" s="6">
        <v>0</v>
      </c>
      <c r="S591" s="6">
        <v>0</v>
      </c>
      <c r="T591" s="6" t="s">
        <v>5022</v>
      </c>
      <c r="U591" s="8">
        <v>-0.84</v>
      </c>
      <c r="V591" s="6"/>
      <c r="W591" s="6"/>
      <c r="X591" s="6"/>
      <c r="Y591" s="6"/>
      <c r="Z591" s="6"/>
      <c r="AA591" s="6"/>
      <c r="AB591" s="6"/>
      <c r="AC591" s="6"/>
      <c r="AD591" s="7"/>
    </row>
    <row r="592" spans="1:30" ht="15.6" x14ac:dyDescent="0.3">
      <c r="A592" s="4">
        <v>902</v>
      </c>
      <c r="B592" s="5" t="s">
        <v>5023</v>
      </c>
      <c r="C592" s="6" t="s">
        <v>31</v>
      </c>
      <c r="D592" s="5" t="s">
        <v>5024</v>
      </c>
      <c r="E592" s="5" t="s">
        <v>33</v>
      </c>
      <c r="F592" s="6" t="s">
        <v>5025</v>
      </c>
      <c r="G592" s="6" t="s">
        <v>5026</v>
      </c>
      <c r="H592" s="8">
        <v>0</v>
      </c>
      <c r="I592" s="6" t="s">
        <v>5027</v>
      </c>
      <c r="J592" s="6" t="s">
        <v>2492</v>
      </c>
      <c r="K592" s="6" t="s">
        <v>5028</v>
      </c>
      <c r="L592" s="8">
        <v>-0.12</v>
      </c>
      <c r="M592" s="6" t="s">
        <v>5029</v>
      </c>
      <c r="N592" s="8">
        <v>-0.12</v>
      </c>
      <c r="O592" s="6" t="s">
        <v>5030</v>
      </c>
      <c r="P592" s="6" t="s">
        <v>217</v>
      </c>
      <c r="Q592" s="6" t="s">
        <v>217</v>
      </c>
      <c r="R592" s="6">
        <v>64</v>
      </c>
      <c r="S592" s="6">
        <v>0</v>
      </c>
      <c r="T592" s="6" t="s">
        <v>5031</v>
      </c>
      <c r="U592" s="6" t="s">
        <v>217</v>
      </c>
      <c r="V592" s="6"/>
      <c r="W592" s="6"/>
      <c r="X592" s="6"/>
      <c r="Y592" s="6"/>
      <c r="Z592" s="6"/>
      <c r="AA592" s="6"/>
      <c r="AB592" s="6"/>
      <c r="AC592" s="6"/>
      <c r="AD592" s="7"/>
    </row>
    <row r="593" spans="1:30" ht="15.6" x14ac:dyDescent="0.3">
      <c r="A593" s="4">
        <v>903</v>
      </c>
      <c r="B593" s="5" t="s">
        <v>5032</v>
      </c>
      <c r="C593" s="6" t="s">
        <v>31</v>
      </c>
      <c r="D593" s="5" t="s">
        <v>5033</v>
      </c>
      <c r="E593" s="5" t="s">
        <v>33</v>
      </c>
      <c r="F593" s="6" t="s">
        <v>5034</v>
      </c>
      <c r="G593" s="6" t="s">
        <v>5035</v>
      </c>
      <c r="H593" s="8">
        <v>0</v>
      </c>
      <c r="I593" s="8">
        <v>-0.98</v>
      </c>
      <c r="J593" s="6" t="s">
        <v>199</v>
      </c>
      <c r="K593" s="6" t="s">
        <v>5036</v>
      </c>
      <c r="L593" s="8">
        <v>-0.51</v>
      </c>
      <c r="M593" s="6" t="s">
        <v>5037</v>
      </c>
      <c r="N593" s="8">
        <v>-0.51</v>
      </c>
      <c r="O593" s="6" t="s">
        <v>5038</v>
      </c>
      <c r="P593" s="6" t="s">
        <v>5039</v>
      </c>
      <c r="Q593" s="6" t="s">
        <v>217</v>
      </c>
      <c r="R593" s="6">
        <v>171</v>
      </c>
      <c r="S593" s="6">
        <v>0</v>
      </c>
      <c r="T593" s="6" t="s">
        <v>5040</v>
      </c>
      <c r="U593" s="8">
        <v>-0.96</v>
      </c>
      <c r="V593" s="6"/>
      <c r="W593" s="6"/>
      <c r="X593" s="6"/>
      <c r="Y593" s="6"/>
      <c r="Z593" s="6"/>
      <c r="AA593" s="6"/>
      <c r="AB593" s="6"/>
      <c r="AC593" s="6"/>
      <c r="AD593" s="7"/>
    </row>
    <row r="594" spans="1:30" ht="15.6" x14ac:dyDescent="0.3">
      <c r="A594" s="4">
        <v>904</v>
      </c>
      <c r="B594" s="5" t="s">
        <v>5041</v>
      </c>
      <c r="C594" s="6" t="s">
        <v>102</v>
      </c>
      <c r="D594" s="5" t="s">
        <v>5042</v>
      </c>
      <c r="E594" s="5" t="s">
        <v>33</v>
      </c>
      <c r="F594" s="6" t="s">
        <v>5043</v>
      </c>
      <c r="G594" s="6" t="s">
        <v>5044</v>
      </c>
      <c r="H594" s="8">
        <v>0</v>
      </c>
      <c r="I594" s="8">
        <v>-0.99</v>
      </c>
      <c r="J594" s="6" t="s">
        <v>1529</v>
      </c>
      <c r="K594" s="6" t="s">
        <v>518</v>
      </c>
      <c r="L594" s="8">
        <v>-0.72</v>
      </c>
      <c r="M594" s="6" t="s">
        <v>5045</v>
      </c>
      <c r="N594" s="8">
        <v>-0.72</v>
      </c>
      <c r="O594" s="6" t="s">
        <v>5046</v>
      </c>
      <c r="P594" s="6" t="s">
        <v>5047</v>
      </c>
      <c r="Q594" s="6" t="s">
        <v>217</v>
      </c>
      <c r="R594" s="6">
        <v>846</v>
      </c>
      <c r="S594" s="6">
        <v>0</v>
      </c>
      <c r="T594" s="6" t="s">
        <v>4153</v>
      </c>
      <c r="U594" s="6">
        <f>0.098%</f>
        <v>9.7999999999999997E-4</v>
      </c>
      <c r="V594" s="6"/>
      <c r="W594" s="6"/>
      <c r="X594" s="6"/>
      <c r="Y594" s="6"/>
      <c r="Z594" s="6"/>
      <c r="AA594" s="6"/>
      <c r="AB594" s="6"/>
      <c r="AC594" s="6"/>
      <c r="AD594" s="7"/>
    </row>
    <row r="595" spans="1:30" ht="15.6" x14ac:dyDescent="0.3">
      <c r="A595" s="4">
        <v>905</v>
      </c>
      <c r="B595" s="5" t="s">
        <v>5048</v>
      </c>
      <c r="C595" s="6" t="s">
        <v>72</v>
      </c>
      <c r="D595" s="5" t="s">
        <v>5049</v>
      </c>
      <c r="E595" s="5" t="s">
        <v>33</v>
      </c>
      <c r="F595" s="6" t="s">
        <v>5050</v>
      </c>
      <c r="G595" s="6" t="s">
        <v>5051</v>
      </c>
      <c r="H595" s="8">
        <v>0</v>
      </c>
      <c r="I595" s="8">
        <v>-0.52</v>
      </c>
      <c r="J595" s="6" t="s">
        <v>421</v>
      </c>
      <c r="K595" s="6" t="s">
        <v>5052</v>
      </c>
      <c r="L595" s="6">
        <f>24%</f>
        <v>0.24</v>
      </c>
      <c r="M595" s="6" t="s">
        <v>5053</v>
      </c>
      <c r="N595" s="6">
        <f>24%</f>
        <v>0.24</v>
      </c>
      <c r="O595" s="6" t="s">
        <v>5054</v>
      </c>
      <c r="P595" s="6" t="s">
        <v>5055</v>
      </c>
      <c r="Q595" s="6" t="s">
        <v>217</v>
      </c>
      <c r="R595" s="6" t="s">
        <v>5056</v>
      </c>
      <c r="S595" s="6">
        <v>2</v>
      </c>
      <c r="T595" s="6" t="s">
        <v>5057</v>
      </c>
      <c r="U595" s="6">
        <f>0.92%</f>
        <v>9.1999999999999998E-3</v>
      </c>
      <c r="V595" s="6"/>
      <c r="W595" s="6"/>
      <c r="X595" s="6"/>
      <c r="Y595" s="6"/>
      <c r="Z595" s="6"/>
      <c r="AA595" s="6"/>
      <c r="AB595" s="6"/>
      <c r="AC595" s="6"/>
      <c r="AD595" s="7"/>
    </row>
    <row r="596" spans="1:30" ht="15.6" x14ac:dyDescent="0.3">
      <c r="A596" s="4">
        <v>906</v>
      </c>
      <c r="B596" s="5" t="s">
        <v>5058</v>
      </c>
      <c r="C596" s="6" t="s">
        <v>304</v>
      </c>
      <c r="D596" s="5" t="s">
        <v>5059</v>
      </c>
      <c r="E596" s="5" t="s">
        <v>48</v>
      </c>
      <c r="F596" s="6" t="s">
        <v>5060</v>
      </c>
      <c r="G596" s="6" t="s">
        <v>5061</v>
      </c>
      <c r="H596" s="8">
        <v>0</v>
      </c>
      <c r="I596" s="6" t="s">
        <v>4747</v>
      </c>
      <c r="J596" s="6" t="s">
        <v>984</v>
      </c>
      <c r="K596" s="6" t="s">
        <v>2687</v>
      </c>
      <c r="L596" s="8">
        <v>-0.13</v>
      </c>
      <c r="M596" s="6" t="s">
        <v>92</v>
      </c>
      <c r="N596" s="8">
        <v>-0.13</v>
      </c>
      <c r="O596" s="6" t="s">
        <v>5062</v>
      </c>
      <c r="P596" s="6" t="s">
        <v>5063</v>
      </c>
      <c r="Q596" s="8">
        <v>-0.35</v>
      </c>
      <c r="R596" s="6" t="s">
        <v>5064</v>
      </c>
      <c r="S596" s="6">
        <v>37</v>
      </c>
      <c r="T596" s="6" t="s">
        <v>4519</v>
      </c>
      <c r="U596" s="8">
        <v>-0.67</v>
      </c>
      <c r="V596" s="6"/>
      <c r="W596" s="6"/>
      <c r="X596" s="6"/>
      <c r="Y596" s="6"/>
      <c r="Z596" s="6"/>
      <c r="AA596" s="6"/>
      <c r="AB596" s="6"/>
      <c r="AC596" s="6"/>
      <c r="AD596" s="7"/>
    </row>
    <row r="597" spans="1:30" ht="15.6" x14ac:dyDescent="0.3">
      <c r="A597" s="4">
        <v>907</v>
      </c>
      <c r="B597" s="5" t="s">
        <v>5065</v>
      </c>
      <c r="C597" s="6" t="s">
        <v>820</v>
      </c>
      <c r="D597" s="5" t="s">
        <v>5066</v>
      </c>
      <c r="E597" s="5" t="s">
        <v>48</v>
      </c>
      <c r="F597" s="6" t="s">
        <v>5067</v>
      </c>
      <c r="G597" s="6" t="s">
        <v>5068</v>
      </c>
      <c r="H597" s="8">
        <v>0</v>
      </c>
      <c r="I597" s="8">
        <v>-0.59</v>
      </c>
      <c r="J597" s="6" t="s">
        <v>1912</v>
      </c>
      <c r="K597" s="6" t="s">
        <v>1521</v>
      </c>
      <c r="L597" s="8">
        <v>-0.35</v>
      </c>
      <c r="M597" s="6" t="s">
        <v>5069</v>
      </c>
      <c r="N597" s="8">
        <v>-0.35</v>
      </c>
      <c r="O597" s="6" t="s">
        <v>5070</v>
      </c>
      <c r="P597" s="6" t="s">
        <v>5071</v>
      </c>
      <c r="Q597" s="6" t="s">
        <v>217</v>
      </c>
      <c r="R597" s="6">
        <v>348</v>
      </c>
      <c r="S597" s="6">
        <v>0</v>
      </c>
      <c r="T597" s="6">
        <v>282</v>
      </c>
      <c r="U597" s="6" t="s">
        <v>9262</v>
      </c>
      <c r="V597" s="6"/>
      <c r="W597" s="6"/>
      <c r="X597" s="6"/>
      <c r="Y597" s="6"/>
      <c r="Z597" s="6"/>
      <c r="AA597" s="6"/>
      <c r="AB597" s="6"/>
      <c r="AC597" s="6"/>
      <c r="AD597" s="7"/>
    </row>
    <row r="598" spans="1:30" ht="15.6" x14ac:dyDescent="0.3">
      <c r="A598" s="4">
        <v>908</v>
      </c>
      <c r="B598" s="5" t="s">
        <v>5072</v>
      </c>
      <c r="C598" s="6" t="s">
        <v>304</v>
      </c>
      <c r="D598" s="5" t="s">
        <v>5073</v>
      </c>
      <c r="E598" s="5" t="s">
        <v>48</v>
      </c>
      <c r="F598" s="6" t="s">
        <v>5074</v>
      </c>
      <c r="G598" s="6" t="s">
        <v>5075</v>
      </c>
      <c r="H598" s="8">
        <v>0</v>
      </c>
      <c r="I598" s="8">
        <v>-0.98</v>
      </c>
      <c r="J598" s="6" t="s">
        <v>506</v>
      </c>
      <c r="K598" s="6" t="s">
        <v>5076</v>
      </c>
      <c r="L598" s="8">
        <v>-0.76</v>
      </c>
      <c r="M598" s="6" t="s">
        <v>5077</v>
      </c>
      <c r="N598" s="8">
        <v>-0.76</v>
      </c>
      <c r="O598" s="6" t="s">
        <v>5078</v>
      </c>
      <c r="P598" s="6" t="s">
        <v>241</v>
      </c>
      <c r="Q598" s="6" t="s">
        <v>217</v>
      </c>
      <c r="R598" s="6">
        <v>806</v>
      </c>
      <c r="S598" s="6">
        <v>11</v>
      </c>
      <c r="T598" s="6" t="s">
        <v>2822</v>
      </c>
      <c r="U598" s="8">
        <v>-0.79</v>
      </c>
      <c r="V598" s="6"/>
      <c r="W598" s="6"/>
      <c r="X598" s="6"/>
      <c r="Y598" s="6"/>
      <c r="Z598" s="6"/>
      <c r="AA598" s="6"/>
      <c r="AB598" s="6"/>
      <c r="AC598" s="6"/>
      <c r="AD598" s="7"/>
    </row>
    <row r="599" spans="1:30" ht="15.6" x14ac:dyDescent="0.3">
      <c r="A599" s="4">
        <v>909</v>
      </c>
      <c r="B599" s="5" t="s">
        <v>5079</v>
      </c>
      <c r="C599" s="6" t="s">
        <v>31</v>
      </c>
      <c r="D599" s="5" t="s">
        <v>5080</v>
      </c>
      <c r="E599" s="5" t="s">
        <v>33</v>
      </c>
      <c r="F599" s="6" t="s">
        <v>5081</v>
      </c>
      <c r="G599" s="6" t="s">
        <v>5082</v>
      </c>
      <c r="H599" s="8">
        <v>0</v>
      </c>
      <c r="I599" s="6" t="s">
        <v>1027</v>
      </c>
      <c r="J599" s="6" t="s">
        <v>2009</v>
      </c>
      <c r="K599" s="6" t="s">
        <v>618</v>
      </c>
      <c r="L599" s="8">
        <v>-0.3</v>
      </c>
      <c r="M599" s="6" t="s">
        <v>5083</v>
      </c>
      <c r="N599" s="8">
        <v>-0.3</v>
      </c>
      <c r="O599" s="6" t="s">
        <v>5084</v>
      </c>
      <c r="P599" s="6" t="s">
        <v>5085</v>
      </c>
      <c r="Q599" s="6">
        <f>190%</f>
        <v>1.9</v>
      </c>
      <c r="R599" s="6" t="s">
        <v>5086</v>
      </c>
      <c r="S599" s="6">
        <v>8</v>
      </c>
      <c r="T599" s="6" t="s">
        <v>5087</v>
      </c>
      <c r="U599" s="6">
        <f>180%</f>
        <v>1.8</v>
      </c>
      <c r="V599" s="6"/>
      <c r="W599" s="6"/>
      <c r="X599" s="6"/>
      <c r="Y599" s="6"/>
      <c r="Z599" s="6"/>
      <c r="AA599" s="6"/>
      <c r="AB599" s="6"/>
      <c r="AC599" s="6"/>
      <c r="AD599" s="7"/>
    </row>
    <row r="600" spans="1:30" ht="15.6" x14ac:dyDescent="0.3">
      <c r="A600" s="4">
        <v>910</v>
      </c>
      <c r="B600" s="5" t="s">
        <v>5088</v>
      </c>
      <c r="C600" s="6" t="s">
        <v>267</v>
      </c>
      <c r="D600" s="5" t="s">
        <v>5089</v>
      </c>
      <c r="E600" s="5" t="s">
        <v>33</v>
      </c>
      <c r="F600" s="6" t="s">
        <v>5090</v>
      </c>
      <c r="G600" s="6" t="s">
        <v>5091</v>
      </c>
      <c r="H600" s="8">
        <v>0</v>
      </c>
      <c r="I600" s="8">
        <v>-0.99</v>
      </c>
      <c r="J600" s="6" t="s">
        <v>1071</v>
      </c>
      <c r="K600" s="6" t="s">
        <v>39</v>
      </c>
      <c r="L600" s="8">
        <v>-0.27</v>
      </c>
      <c r="M600" s="6" t="s">
        <v>5092</v>
      </c>
      <c r="N600" s="8">
        <v>-0.27</v>
      </c>
      <c r="O600" s="6" t="s">
        <v>5093</v>
      </c>
      <c r="P600" s="6" t="s">
        <v>5094</v>
      </c>
      <c r="Q600" s="6" t="s">
        <v>217</v>
      </c>
      <c r="R600" s="6">
        <v>17</v>
      </c>
      <c r="S600" s="6">
        <v>0</v>
      </c>
      <c r="T600" s="6">
        <v>166</v>
      </c>
      <c r="U600" s="8">
        <v>-0.23</v>
      </c>
      <c r="V600" s="6"/>
      <c r="W600" s="6"/>
      <c r="X600" s="6"/>
      <c r="Y600" s="6"/>
      <c r="Z600" s="6"/>
      <c r="AA600" s="6"/>
      <c r="AB600" s="6"/>
      <c r="AC600" s="6"/>
      <c r="AD600" s="7"/>
    </row>
    <row r="601" spans="1:30" ht="15.6" x14ac:dyDescent="0.3">
      <c r="A601" s="4">
        <v>911</v>
      </c>
      <c r="B601" s="5" t="s">
        <v>5095</v>
      </c>
      <c r="C601" s="6" t="s">
        <v>72</v>
      </c>
      <c r="D601" s="5" t="s">
        <v>5096</v>
      </c>
      <c r="E601" s="5" t="s">
        <v>33</v>
      </c>
      <c r="F601" s="6" t="s">
        <v>5097</v>
      </c>
      <c r="G601" s="6" t="s">
        <v>5098</v>
      </c>
      <c r="H601" s="8">
        <v>0</v>
      </c>
      <c r="I601" s="8">
        <v>-0.84</v>
      </c>
      <c r="J601" s="6" t="s">
        <v>1059</v>
      </c>
      <c r="K601" s="6" t="s">
        <v>5099</v>
      </c>
      <c r="L601" s="8">
        <v>-0.4</v>
      </c>
      <c r="M601" s="6" t="s">
        <v>5100</v>
      </c>
      <c r="N601" s="8">
        <v>-0.4</v>
      </c>
      <c r="O601" s="6" t="s">
        <v>5101</v>
      </c>
      <c r="P601" s="6" t="s">
        <v>5102</v>
      </c>
      <c r="Q601" s="6" t="s">
        <v>217</v>
      </c>
      <c r="R601" s="6">
        <v>65</v>
      </c>
      <c r="S601" s="6">
        <v>0</v>
      </c>
      <c r="T601" s="6" t="s">
        <v>1968</v>
      </c>
      <c r="U601" s="8">
        <v>-0.22</v>
      </c>
      <c r="V601" s="6"/>
      <c r="W601" s="6"/>
      <c r="X601" s="6"/>
      <c r="Y601" s="6"/>
      <c r="Z601" s="6"/>
      <c r="AA601" s="6"/>
      <c r="AB601" s="6"/>
      <c r="AC601" s="6"/>
      <c r="AD601" s="7"/>
    </row>
    <row r="602" spans="1:30" ht="15.6" x14ac:dyDescent="0.3">
      <c r="A602" s="4">
        <v>912</v>
      </c>
      <c r="B602" s="5" t="s">
        <v>5103</v>
      </c>
      <c r="C602" s="6" t="s">
        <v>173</v>
      </c>
      <c r="D602" s="5" t="s">
        <v>5104</v>
      </c>
      <c r="E602" s="5" t="s">
        <v>48</v>
      </c>
      <c r="F602" s="6" t="s">
        <v>4910</v>
      </c>
      <c r="G602" s="6" t="s">
        <v>5105</v>
      </c>
      <c r="H602" s="8">
        <v>0</v>
      </c>
      <c r="I602" s="8">
        <v>-0.1</v>
      </c>
      <c r="J602" s="6" t="s">
        <v>1059</v>
      </c>
      <c r="K602" s="6" t="s">
        <v>5106</v>
      </c>
      <c r="L602" s="6" t="s">
        <v>217</v>
      </c>
      <c r="M602" s="6" t="s">
        <v>5107</v>
      </c>
      <c r="N602" s="8">
        <v>-0.06</v>
      </c>
      <c r="O602" s="6" t="s">
        <v>4340</v>
      </c>
      <c r="P602" s="6" t="s">
        <v>5108</v>
      </c>
      <c r="Q602" s="6" t="s">
        <v>217</v>
      </c>
      <c r="R602" s="6">
        <v>15</v>
      </c>
      <c r="S602" s="6">
        <v>0</v>
      </c>
      <c r="T602" s="6">
        <v>35</v>
      </c>
      <c r="U602" s="6" t="s">
        <v>9262</v>
      </c>
      <c r="V602" s="6"/>
      <c r="W602" s="6"/>
      <c r="X602" s="6"/>
      <c r="Y602" s="6"/>
      <c r="Z602" s="6"/>
      <c r="AA602" s="6"/>
      <c r="AB602" s="6"/>
      <c r="AC602" s="6"/>
      <c r="AD602" s="7"/>
    </row>
    <row r="603" spans="1:30" ht="15.6" x14ac:dyDescent="0.3">
      <c r="A603" s="4">
        <v>913</v>
      </c>
      <c r="B603" s="5" t="s">
        <v>5109</v>
      </c>
      <c r="C603" s="6" t="s">
        <v>370</v>
      </c>
      <c r="D603" s="5" t="s">
        <v>5110</v>
      </c>
      <c r="E603" s="5" t="s">
        <v>33</v>
      </c>
      <c r="F603" s="6" t="s">
        <v>5111</v>
      </c>
      <c r="G603" s="6" t="s">
        <v>5112</v>
      </c>
      <c r="H603" s="8">
        <v>0</v>
      </c>
      <c r="I603" s="6">
        <f>50%</f>
        <v>0.5</v>
      </c>
      <c r="J603" s="6" t="s">
        <v>2713</v>
      </c>
      <c r="K603" s="6" t="s">
        <v>518</v>
      </c>
      <c r="L603" s="6">
        <f>140%</f>
        <v>1.4</v>
      </c>
      <c r="M603" s="6" t="s">
        <v>5113</v>
      </c>
      <c r="N603" s="6">
        <f>140%</f>
        <v>1.4</v>
      </c>
      <c r="O603" s="6" t="s">
        <v>5046</v>
      </c>
      <c r="P603" s="6" t="s">
        <v>5114</v>
      </c>
      <c r="Q603" s="6" t="s">
        <v>217</v>
      </c>
      <c r="R603" s="6">
        <v>58</v>
      </c>
      <c r="S603" s="6">
        <v>0</v>
      </c>
      <c r="T603" s="6" t="s">
        <v>5115</v>
      </c>
      <c r="U603" s="6">
        <f>83%</f>
        <v>0.83</v>
      </c>
      <c r="V603" s="6"/>
      <c r="W603" s="6"/>
      <c r="X603" s="6"/>
      <c r="Y603" s="6"/>
      <c r="Z603" s="6"/>
      <c r="AA603" s="6"/>
      <c r="AB603" s="6"/>
      <c r="AC603" s="6"/>
      <c r="AD603" s="7"/>
    </row>
    <row r="604" spans="1:30" ht="15.6" x14ac:dyDescent="0.3">
      <c r="A604" s="4">
        <v>914</v>
      </c>
      <c r="B604" s="5" t="s">
        <v>5116</v>
      </c>
      <c r="C604" s="6" t="s">
        <v>304</v>
      </c>
      <c r="D604" s="5" t="s">
        <v>5117</v>
      </c>
      <c r="E604" s="5" t="s">
        <v>33</v>
      </c>
      <c r="F604" s="6" t="s">
        <v>5118</v>
      </c>
      <c r="G604" s="6" t="s">
        <v>5119</v>
      </c>
      <c r="H604" s="8">
        <v>0</v>
      </c>
      <c r="I604" s="6" t="s">
        <v>201</v>
      </c>
      <c r="J604" s="6" t="s">
        <v>2713</v>
      </c>
      <c r="K604" s="6" t="s">
        <v>285</v>
      </c>
      <c r="L604" s="8">
        <v>-0.51</v>
      </c>
      <c r="M604" s="6" t="s">
        <v>5120</v>
      </c>
      <c r="N604" s="8">
        <v>-0.51</v>
      </c>
      <c r="O604" s="6" t="s">
        <v>2984</v>
      </c>
      <c r="P604" s="6" t="s">
        <v>5121</v>
      </c>
      <c r="Q604" s="6" t="s">
        <v>217</v>
      </c>
      <c r="R604" s="6">
        <v>451</v>
      </c>
      <c r="S604" s="6">
        <v>1</v>
      </c>
      <c r="T604" s="6" t="s">
        <v>5122</v>
      </c>
      <c r="U604" s="6">
        <f>6.8%</f>
        <v>6.8000000000000005E-2</v>
      </c>
      <c r="V604" s="6"/>
      <c r="W604" s="6"/>
      <c r="X604" s="6"/>
      <c r="Y604" s="6"/>
      <c r="Z604" s="6"/>
      <c r="AA604" s="6"/>
      <c r="AB604" s="6"/>
      <c r="AC604" s="6"/>
      <c r="AD604" s="7"/>
    </row>
    <row r="605" spans="1:30" ht="15.6" x14ac:dyDescent="0.3">
      <c r="A605" s="4">
        <v>915</v>
      </c>
      <c r="B605" s="5" t="s">
        <v>5123</v>
      </c>
      <c r="C605" s="6" t="s">
        <v>102</v>
      </c>
      <c r="D605" s="5" t="s">
        <v>5124</v>
      </c>
      <c r="E605" s="5" t="s">
        <v>33</v>
      </c>
      <c r="F605" s="6" t="s">
        <v>5125</v>
      </c>
      <c r="G605" s="6" t="s">
        <v>5126</v>
      </c>
      <c r="H605" s="8">
        <v>0</v>
      </c>
      <c r="I605" s="8">
        <v>-0.54</v>
      </c>
      <c r="J605" s="6" t="s">
        <v>90</v>
      </c>
      <c r="K605" s="6" t="s">
        <v>5127</v>
      </c>
      <c r="L605" s="8">
        <v>-0.53</v>
      </c>
      <c r="M605" s="6" t="s">
        <v>5128</v>
      </c>
      <c r="N605" s="8">
        <v>-0.53</v>
      </c>
      <c r="O605" s="6" t="s">
        <v>4073</v>
      </c>
      <c r="P605" s="6" t="s">
        <v>5129</v>
      </c>
      <c r="Q605" s="6" t="s">
        <v>217</v>
      </c>
      <c r="R605" s="6">
        <v>176</v>
      </c>
      <c r="S605" s="6">
        <v>0</v>
      </c>
      <c r="T605" s="6" t="s">
        <v>1704</v>
      </c>
      <c r="U605" s="6"/>
      <c r="V605" s="6"/>
      <c r="W605" s="6"/>
      <c r="X605" s="6"/>
      <c r="Y605" s="6"/>
      <c r="Z605" s="6"/>
      <c r="AA605" s="6"/>
      <c r="AB605" s="6"/>
      <c r="AC605" s="6"/>
      <c r="AD605" s="7"/>
    </row>
    <row r="606" spans="1:30" ht="15.6" x14ac:dyDescent="0.3">
      <c r="A606" s="4">
        <v>916</v>
      </c>
      <c r="B606" s="5" t="s">
        <v>5130</v>
      </c>
      <c r="C606" s="6" t="s">
        <v>114</v>
      </c>
      <c r="D606" s="5" t="s">
        <v>5131</v>
      </c>
      <c r="E606" s="5" t="s">
        <v>48</v>
      </c>
      <c r="F606" s="6" t="s">
        <v>5132</v>
      </c>
      <c r="G606" s="6" t="s">
        <v>5133</v>
      </c>
      <c r="H606" s="8">
        <v>0</v>
      </c>
      <c r="I606" s="6" t="s">
        <v>5134</v>
      </c>
      <c r="J606" s="6" t="s">
        <v>596</v>
      </c>
      <c r="K606" s="6" t="s">
        <v>5135</v>
      </c>
      <c r="L606" s="8">
        <v>-0.39</v>
      </c>
      <c r="M606" s="6" t="s">
        <v>5136</v>
      </c>
      <c r="N606" s="8">
        <v>-0.39</v>
      </c>
      <c r="O606" s="6" t="s">
        <v>5137</v>
      </c>
      <c r="P606" s="6" t="s">
        <v>5138</v>
      </c>
      <c r="Q606" s="6">
        <f>7.6%</f>
        <v>7.5999999999999998E-2</v>
      </c>
      <c r="R606" s="6" t="s">
        <v>5139</v>
      </c>
      <c r="S606" s="6">
        <v>26</v>
      </c>
      <c r="T606" s="6" t="s">
        <v>5140</v>
      </c>
      <c r="U606" s="8">
        <v>-0.18</v>
      </c>
      <c r="V606" s="6"/>
      <c r="W606" s="6"/>
      <c r="X606" s="6"/>
      <c r="Y606" s="6"/>
      <c r="Z606" s="6"/>
      <c r="AA606" s="6"/>
      <c r="AB606" s="6"/>
      <c r="AC606" s="6"/>
      <c r="AD606" s="7"/>
    </row>
    <row r="607" spans="1:30" ht="15.6" x14ac:dyDescent="0.3">
      <c r="A607" s="4">
        <v>917</v>
      </c>
      <c r="B607" s="5" t="s">
        <v>5141</v>
      </c>
      <c r="C607" s="6" t="s">
        <v>114</v>
      </c>
      <c r="D607" s="5" t="s">
        <v>5142</v>
      </c>
      <c r="E607" s="5" t="s">
        <v>33</v>
      </c>
      <c r="F607" s="6" t="s">
        <v>5143</v>
      </c>
      <c r="G607" s="6" t="s">
        <v>5144</v>
      </c>
      <c r="H607" s="8">
        <v>0</v>
      </c>
      <c r="I607" s="8">
        <v>-0.17</v>
      </c>
      <c r="J607" s="6" t="s">
        <v>647</v>
      </c>
      <c r="K607" s="6" t="s">
        <v>518</v>
      </c>
      <c r="L607" s="6">
        <f>1.3%</f>
        <v>1.3000000000000001E-2</v>
      </c>
      <c r="M607" s="6" t="s">
        <v>5145</v>
      </c>
      <c r="N607" s="6">
        <f>1.3%</f>
        <v>1.3000000000000001E-2</v>
      </c>
      <c r="O607" s="6" t="s">
        <v>5146</v>
      </c>
      <c r="P607" s="6" t="s">
        <v>5147</v>
      </c>
      <c r="Q607" s="6" t="s">
        <v>217</v>
      </c>
      <c r="R607" s="6">
        <v>142</v>
      </c>
      <c r="S607" s="6">
        <v>3</v>
      </c>
      <c r="T607" s="6">
        <v>600</v>
      </c>
      <c r="U607" s="6">
        <f>2.7%</f>
        <v>2.7000000000000003E-2</v>
      </c>
      <c r="V607" s="6"/>
      <c r="W607" s="6"/>
      <c r="X607" s="6"/>
      <c r="Y607" s="6"/>
      <c r="Z607" s="6"/>
      <c r="AA607" s="6"/>
      <c r="AB607" s="6"/>
      <c r="AC607" s="6"/>
      <c r="AD607" s="7"/>
    </row>
    <row r="608" spans="1:30" ht="15.6" x14ac:dyDescent="0.3">
      <c r="A608" s="4">
        <v>918</v>
      </c>
      <c r="B608" s="5" t="s">
        <v>5148</v>
      </c>
      <c r="C608" s="6" t="s">
        <v>60</v>
      </c>
      <c r="D608" s="5" t="s">
        <v>5149</v>
      </c>
      <c r="E608" s="5" t="s">
        <v>33</v>
      </c>
      <c r="F608" s="6" t="s">
        <v>5150</v>
      </c>
      <c r="G608" s="6" t="s">
        <v>5151</v>
      </c>
      <c r="H608" s="8">
        <v>0</v>
      </c>
      <c r="I608" s="6" t="s">
        <v>5152</v>
      </c>
      <c r="J608" s="6" t="s">
        <v>211</v>
      </c>
      <c r="K608" s="6" t="s">
        <v>618</v>
      </c>
      <c r="L608" s="8">
        <v>-0.26</v>
      </c>
      <c r="M608" s="6" t="s">
        <v>5153</v>
      </c>
      <c r="N608" s="8">
        <v>-0.26</v>
      </c>
      <c r="O608" s="6" t="s">
        <v>5154</v>
      </c>
      <c r="P608" s="6" t="s">
        <v>3351</v>
      </c>
      <c r="Q608" s="6" t="s">
        <v>217</v>
      </c>
      <c r="R608" s="6">
        <v>145</v>
      </c>
      <c r="S608" s="6">
        <v>2</v>
      </c>
      <c r="T608" s="6" t="s">
        <v>5155</v>
      </c>
      <c r="U608" s="6">
        <f>130%</f>
        <v>1.3</v>
      </c>
      <c r="V608" s="6"/>
      <c r="W608" s="6"/>
      <c r="X608" s="6"/>
      <c r="Y608" s="6"/>
      <c r="Z608" s="6"/>
      <c r="AA608" s="6"/>
      <c r="AB608" s="6"/>
      <c r="AC608" s="6"/>
      <c r="AD608" s="7"/>
    </row>
    <row r="609" spans="1:30" ht="15.6" x14ac:dyDescent="0.3">
      <c r="A609" s="4">
        <v>919</v>
      </c>
      <c r="B609" s="5" t="s">
        <v>5156</v>
      </c>
      <c r="C609" s="6" t="s">
        <v>31</v>
      </c>
      <c r="D609" s="5" t="s">
        <v>5157</v>
      </c>
      <c r="E609" s="5" t="s">
        <v>48</v>
      </c>
      <c r="F609" s="6" t="s">
        <v>5158</v>
      </c>
      <c r="G609" s="6" t="s">
        <v>5159</v>
      </c>
      <c r="H609" s="8">
        <v>0</v>
      </c>
      <c r="I609" s="8">
        <v>-0.2</v>
      </c>
      <c r="J609" s="6" t="s">
        <v>571</v>
      </c>
      <c r="K609" s="6" t="s">
        <v>5160</v>
      </c>
      <c r="L609" s="8">
        <v>-0.94</v>
      </c>
      <c r="M609" s="6" t="s">
        <v>3519</v>
      </c>
      <c r="N609" s="8">
        <v>-0.94</v>
      </c>
      <c r="O609" s="6" t="s">
        <v>3630</v>
      </c>
      <c r="P609" s="6" t="s">
        <v>217</v>
      </c>
      <c r="Q609" s="6" t="s">
        <v>217</v>
      </c>
      <c r="R609" s="6">
        <v>305</v>
      </c>
      <c r="S609" s="6">
        <v>0</v>
      </c>
      <c r="T609" s="6">
        <v>124</v>
      </c>
      <c r="U609" s="6" t="s">
        <v>217</v>
      </c>
      <c r="V609" s="6"/>
      <c r="W609" s="6"/>
      <c r="X609" s="6"/>
      <c r="Y609" s="6"/>
      <c r="Z609" s="6"/>
      <c r="AA609" s="6"/>
      <c r="AB609" s="6"/>
      <c r="AC609" s="6"/>
      <c r="AD609" s="7"/>
    </row>
    <row r="610" spans="1:30" ht="15.6" x14ac:dyDescent="0.3">
      <c r="A610" s="4">
        <v>920</v>
      </c>
      <c r="B610" s="5" t="s">
        <v>5161</v>
      </c>
      <c r="C610" s="6" t="s">
        <v>820</v>
      </c>
      <c r="D610" s="5" t="s">
        <v>5162</v>
      </c>
      <c r="E610" s="5" t="s">
        <v>33</v>
      </c>
      <c r="F610" s="6" t="s">
        <v>5163</v>
      </c>
      <c r="G610" s="6" t="s">
        <v>5164</v>
      </c>
      <c r="H610" s="8">
        <v>0</v>
      </c>
      <c r="I610" s="8">
        <v>-0.97</v>
      </c>
      <c r="J610" s="6" t="s">
        <v>2492</v>
      </c>
      <c r="K610" s="6" t="s">
        <v>5165</v>
      </c>
      <c r="L610" s="8">
        <v>-0.32</v>
      </c>
      <c r="M610" s="6" t="s">
        <v>5166</v>
      </c>
      <c r="N610" s="8">
        <v>-0.32</v>
      </c>
      <c r="O610" s="6" t="s">
        <v>3572</v>
      </c>
      <c r="P610" s="6" t="s">
        <v>5167</v>
      </c>
      <c r="Q610" s="6" t="s">
        <v>217</v>
      </c>
      <c r="R610" s="6">
        <v>226</v>
      </c>
      <c r="S610" s="6">
        <v>0</v>
      </c>
      <c r="T610" s="6" t="s">
        <v>5168</v>
      </c>
      <c r="U610" s="8">
        <v>-0.92</v>
      </c>
      <c r="V610" s="6"/>
      <c r="W610" s="6"/>
      <c r="X610" s="6"/>
      <c r="Y610" s="6"/>
      <c r="Z610" s="6"/>
      <c r="AA610" s="6"/>
      <c r="AB610" s="6"/>
      <c r="AC610" s="6"/>
      <c r="AD610" s="7"/>
    </row>
    <row r="611" spans="1:30" ht="15.6" x14ac:dyDescent="0.3">
      <c r="A611" s="4">
        <v>922</v>
      </c>
      <c r="B611" s="5" t="s">
        <v>5169</v>
      </c>
      <c r="C611" s="6" t="s">
        <v>370</v>
      </c>
      <c r="D611" s="5" t="s">
        <v>5170</v>
      </c>
      <c r="E611" s="5" t="s">
        <v>33</v>
      </c>
      <c r="F611" s="6" t="s">
        <v>5171</v>
      </c>
      <c r="G611" s="6" t="s">
        <v>5172</v>
      </c>
      <c r="H611" s="8">
        <v>0</v>
      </c>
      <c r="I611" s="8">
        <v>-0.97</v>
      </c>
      <c r="J611" s="6" t="s">
        <v>1130</v>
      </c>
      <c r="K611" s="6" t="s">
        <v>5173</v>
      </c>
      <c r="L611" s="6">
        <f>85%</f>
        <v>0.85</v>
      </c>
      <c r="M611" s="6" t="s">
        <v>5174</v>
      </c>
      <c r="N611" s="6">
        <f>85%</f>
        <v>0.85</v>
      </c>
      <c r="O611" s="6" t="s">
        <v>5175</v>
      </c>
      <c r="P611" s="6" t="s">
        <v>852</v>
      </c>
      <c r="Q611" s="6" t="s">
        <v>217</v>
      </c>
      <c r="R611" s="6">
        <v>947</v>
      </c>
      <c r="S611" s="6">
        <v>0</v>
      </c>
      <c r="T611" s="6" t="s">
        <v>5176</v>
      </c>
      <c r="U611" s="6">
        <f>260%</f>
        <v>2.6</v>
      </c>
      <c r="V611" s="6"/>
      <c r="W611" s="6"/>
      <c r="X611" s="6"/>
      <c r="Y611" s="6"/>
      <c r="Z611" s="6"/>
      <c r="AA611" s="6"/>
      <c r="AB611" s="6"/>
      <c r="AC611" s="6"/>
      <c r="AD611" s="7"/>
    </row>
    <row r="612" spans="1:30" ht="15.6" x14ac:dyDescent="0.3">
      <c r="A612" s="4">
        <v>923</v>
      </c>
      <c r="B612" s="5" t="s">
        <v>5177</v>
      </c>
      <c r="C612" s="6" t="s">
        <v>102</v>
      </c>
      <c r="D612" s="5" t="s">
        <v>5178</v>
      </c>
      <c r="E612" s="5" t="s">
        <v>33</v>
      </c>
      <c r="F612" s="6" t="s">
        <v>5179</v>
      </c>
      <c r="G612" s="6" t="s">
        <v>5180</v>
      </c>
      <c r="H612" s="8">
        <v>0</v>
      </c>
      <c r="I612" s="8">
        <v>-0.91</v>
      </c>
      <c r="J612" s="6" t="s">
        <v>411</v>
      </c>
      <c r="K612" s="6" t="s">
        <v>53</v>
      </c>
      <c r="L612" s="8">
        <v>-0.42</v>
      </c>
      <c r="M612" s="6" t="s">
        <v>5181</v>
      </c>
      <c r="N612" s="8">
        <v>-0.42</v>
      </c>
      <c r="O612" s="6" t="s">
        <v>5182</v>
      </c>
      <c r="P612" s="6" t="s">
        <v>2275</v>
      </c>
      <c r="Q612" s="6" t="s">
        <v>217</v>
      </c>
      <c r="R612" s="6">
        <v>173</v>
      </c>
      <c r="S612" s="6">
        <v>0</v>
      </c>
      <c r="T612" s="6" t="s">
        <v>5183</v>
      </c>
      <c r="U612" s="6">
        <f>2.8%</f>
        <v>2.7999999999999997E-2</v>
      </c>
      <c r="V612" s="6"/>
      <c r="W612" s="6"/>
      <c r="X612" s="6"/>
      <c r="Y612" s="6"/>
      <c r="Z612" s="6"/>
      <c r="AA612" s="6"/>
      <c r="AB612" s="6"/>
      <c r="AC612" s="6"/>
      <c r="AD612" s="7"/>
    </row>
    <row r="613" spans="1:30" ht="15.6" x14ac:dyDescent="0.3">
      <c r="A613" s="4">
        <v>924</v>
      </c>
      <c r="B613" s="5" t="s">
        <v>5184</v>
      </c>
      <c r="C613" s="6" t="s">
        <v>60</v>
      </c>
      <c r="D613" s="5" t="s">
        <v>5185</v>
      </c>
      <c r="E613" s="5" t="s">
        <v>33</v>
      </c>
      <c r="F613" s="6" t="s">
        <v>5186</v>
      </c>
      <c r="G613" s="6" t="s">
        <v>5187</v>
      </c>
      <c r="H613" s="8">
        <v>0</v>
      </c>
      <c r="I613" s="6" t="s">
        <v>217</v>
      </c>
      <c r="J613" s="6" t="s">
        <v>189</v>
      </c>
      <c r="K613" s="6" t="s">
        <v>5188</v>
      </c>
      <c r="L613" s="6" t="s">
        <v>3325</v>
      </c>
      <c r="M613" s="6" t="s">
        <v>5189</v>
      </c>
      <c r="N613" s="6" t="s">
        <v>3325</v>
      </c>
      <c r="O613" s="6" t="s">
        <v>5190</v>
      </c>
      <c r="P613" s="6" t="s">
        <v>217</v>
      </c>
      <c r="Q613" s="6" t="s">
        <v>217</v>
      </c>
      <c r="R613" s="6">
        <v>28</v>
      </c>
      <c r="S613" s="6">
        <v>0</v>
      </c>
      <c r="T613" s="6">
        <v>107</v>
      </c>
      <c r="U613" s="6" t="s">
        <v>217</v>
      </c>
      <c r="V613" s="6"/>
      <c r="W613" s="6"/>
      <c r="X613" s="6"/>
      <c r="Y613" s="6"/>
      <c r="Z613" s="6"/>
      <c r="AA613" s="6"/>
      <c r="AB613" s="6"/>
      <c r="AC613" s="6"/>
      <c r="AD613" s="7"/>
    </row>
    <row r="614" spans="1:30" ht="15.6" x14ac:dyDescent="0.3">
      <c r="A614" s="4">
        <v>925</v>
      </c>
      <c r="B614" s="5" t="s">
        <v>5191</v>
      </c>
      <c r="C614" s="6" t="s">
        <v>72</v>
      </c>
      <c r="D614" s="5" t="s">
        <v>5192</v>
      </c>
      <c r="E614" s="5" t="s">
        <v>33</v>
      </c>
      <c r="F614" s="6" t="s">
        <v>5193</v>
      </c>
      <c r="G614" s="6" t="s">
        <v>5194</v>
      </c>
      <c r="H614" s="8">
        <v>0</v>
      </c>
      <c r="I614" s="8">
        <v>-0.92</v>
      </c>
      <c r="J614" s="6" t="s">
        <v>973</v>
      </c>
      <c r="K614" s="6" t="s">
        <v>658</v>
      </c>
      <c r="L614" s="8">
        <v>-0.51</v>
      </c>
      <c r="M614" s="6" t="s">
        <v>5078</v>
      </c>
      <c r="N614" s="8">
        <v>-0.51</v>
      </c>
      <c r="O614" s="6" t="s">
        <v>4396</v>
      </c>
      <c r="P614" s="6" t="s">
        <v>5195</v>
      </c>
      <c r="Q614" s="6" t="s">
        <v>217</v>
      </c>
      <c r="R614" s="6">
        <v>676</v>
      </c>
      <c r="S614" s="6">
        <v>1</v>
      </c>
      <c r="T614" s="6" t="s">
        <v>2657</v>
      </c>
      <c r="U614" s="6">
        <f>0.28%</f>
        <v>2.8000000000000004E-3</v>
      </c>
      <c r="V614" s="6"/>
      <c r="W614" s="6"/>
      <c r="X614" s="6"/>
      <c r="Y614" s="6"/>
      <c r="Z614" s="6"/>
      <c r="AA614" s="6"/>
      <c r="AB614" s="6"/>
      <c r="AC614" s="6"/>
      <c r="AD614" s="7"/>
    </row>
    <row r="615" spans="1:30" ht="15.6" x14ac:dyDescent="0.3">
      <c r="A615" s="4">
        <v>926</v>
      </c>
      <c r="B615" s="5" t="s">
        <v>5196</v>
      </c>
      <c r="C615" s="6" t="s">
        <v>291</v>
      </c>
      <c r="D615" s="5" t="s">
        <v>5197</v>
      </c>
      <c r="E615" s="5" t="s">
        <v>33</v>
      </c>
      <c r="F615" s="6" t="s">
        <v>5198</v>
      </c>
      <c r="G615" s="6" t="s">
        <v>5199</v>
      </c>
      <c r="H615" s="8">
        <v>0</v>
      </c>
      <c r="I615" s="8">
        <v>-0.85</v>
      </c>
      <c r="J615" s="6" t="s">
        <v>1443</v>
      </c>
      <c r="K615" s="6" t="s">
        <v>91</v>
      </c>
      <c r="L615" s="8">
        <v>-0.28999999999999998</v>
      </c>
      <c r="M615" s="6" t="s">
        <v>5200</v>
      </c>
      <c r="N615" s="8">
        <v>-0.28999999999999998</v>
      </c>
      <c r="O615" s="6" t="s">
        <v>5201</v>
      </c>
      <c r="P615" s="6" t="s">
        <v>5202</v>
      </c>
      <c r="Q615" s="6" t="s">
        <v>217</v>
      </c>
      <c r="R615" s="6">
        <v>201</v>
      </c>
      <c r="S615" s="6">
        <v>0</v>
      </c>
      <c r="T615" s="6" t="s">
        <v>5203</v>
      </c>
      <c r="U615" s="6">
        <f>85%</f>
        <v>0.85</v>
      </c>
      <c r="V615" s="6"/>
      <c r="W615" s="6"/>
      <c r="X615" s="6"/>
      <c r="Y615" s="6"/>
      <c r="Z615" s="6"/>
      <c r="AA615" s="6"/>
      <c r="AB615" s="6"/>
      <c r="AC615" s="6"/>
      <c r="AD615" s="7"/>
    </row>
    <row r="616" spans="1:30" ht="15.6" x14ac:dyDescent="0.3">
      <c r="A616" s="4">
        <v>927</v>
      </c>
      <c r="B616" s="5" t="s">
        <v>5204</v>
      </c>
      <c r="C616" s="6" t="s">
        <v>126</v>
      </c>
      <c r="D616" s="5" t="s">
        <v>5205</v>
      </c>
      <c r="E616" s="5" t="s">
        <v>33</v>
      </c>
      <c r="F616" s="6" t="s">
        <v>5206</v>
      </c>
      <c r="G616" s="6" t="s">
        <v>5207</v>
      </c>
      <c r="H616" s="8">
        <v>0</v>
      </c>
      <c r="I616" s="8">
        <v>-1</v>
      </c>
      <c r="J616" s="6" t="s">
        <v>374</v>
      </c>
      <c r="K616" s="6" t="s">
        <v>5208</v>
      </c>
      <c r="L616" s="8">
        <v>-0.52</v>
      </c>
      <c r="M616" s="6" t="s">
        <v>5209</v>
      </c>
      <c r="N616" s="8">
        <v>-0.52</v>
      </c>
      <c r="O616" s="6" t="s">
        <v>5210</v>
      </c>
      <c r="P616" s="6" t="s">
        <v>5211</v>
      </c>
      <c r="Q616" s="6" t="s">
        <v>217</v>
      </c>
      <c r="R616" s="6">
        <v>88</v>
      </c>
      <c r="S616" s="6">
        <v>0</v>
      </c>
      <c r="T616" s="6" t="s">
        <v>5212</v>
      </c>
      <c r="U616" s="8">
        <v>-0.9</v>
      </c>
      <c r="V616" s="6"/>
      <c r="W616" s="6"/>
      <c r="X616" s="6"/>
      <c r="Y616" s="6"/>
      <c r="Z616" s="6"/>
      <c r="AA616" s="6"/>
      <c r="AB616" s="6"/>
      <c r="AC616" s="6"/>
      <c r="AD616" s="7"/>
    </row>
    <row r="617" spans="1:30" ht="15.6" x14ac:dyDescent="0.3">
      <c r="A617" s="4">
        <v>928</v>
      </c>
      <c r="B617" s="5" t="s">
        <v>5213</v>
      </c>
      <c r="C617" s="6" t="s">
        <v>72</v>
      </c>
      <c r="D617" s="5" t="s">
        <v>5214</v>
      </c>
      <c r="E617" s="5" t="s">
        <v>33</v>
      </c>
      <c r="F617" s="6" t="s">
        <v>5215</v>
      </c>
      <c r="G617" s="6" t="s">
        <v>5216</v>
      </c>
      <c r="H617" s="8">
        <v>0</v>
      </c>
      <c r="I617" s="8">
        <v>-0.42</v>
      </c>
      <c r="J617" s="6" t="s">
        <v>107</v>
      </c>
      <c r="K617" s="6" t="s">
        <v>333</v>
      </c>
      <c r="L617" s="8">
        <v>-0.52</v>
      </c>
      <c r="M617" s="6" t="s">
        <v>5217</v>
      </c>
      <c r="N617" s="8">
        <v>-0.52</v>
      </c>
      <c r="O617" s="6" t="s">
        <v>5218</v>
      </c>
      <c r="P617" s="6" t="s">
        <v>5219</v>
      </c>
      <c r="Q617" s="6" t="s">
        <v>217</v>
      </c>
      <c r="R617" s="6" t="s">
        <v>5220</v>
      </c>
      <c r="S617" s="6">
        <v>1</v>
      </c>
      <c r="T617" s="6" t="s">
        <v>5221</v>
      </c>
      <c r="U617" s="8">
        <v>-0.99</v>
      </c>
      <c r="V617" s="6"/>
      <c r="W617" s="6"/>
      <c r="X617" s="6"/>
      <c r="Y617" s="6"/>
      <c r="Z617" s="6"/>
      <c r="AA617" s="6"/>
      <c r="AB617" s="6"/>
      <c r="AC617" s="6"/>
      <c r="AD617" s="7"/>
    </row>
    <row r="618" spans="1:30" ht="15.6" x14ac:dyDescent="0.3">
      <c r="A618" s="4">
        <v>929</v>
      </c>
      <c r="B618" s="5" t="s">
        <v>5222</v>
      </c>
      <c r="C618" s="6" t="s">
        <v>406</v>
      </c>
      <c r="D618" s="5" t="s">
        <v>5223</v>
      </c>
      <c r="E618" s="5" t="s">
        <v>33</v>
      </c>
      <c r="F618" s="6" t="s">
        <v>5224</v>
      </c>
      <c r="G618" s="6" t="s">
        <v>5225</v>
      </c>
      <c r="H618" s="8">
        <v>0</v>
      </c>
      <c r="I618" s="8">
        <v>-0.95</v>
      </c>
      <c r="J618" s="6" t="s">
        <v>397</v>
      </c>
      <c r="K618" s="6" t="s">
        <v>5226</v>
      </c>
      <c r="L618" s="8">
        <v>-0.25</v>
      </c>
      <c r="M618" s="6" t="s">
        <v>5227</v>
      </c>
      <c r="N618" s="8">
        <v>-0.25</v>
      </c>
      <c r="O618" s="6" t="s">
        <v>5228</v>
      </c>
      <c r="P618" s="6" t="s">
        <v>1163</v>
      </c>
      <c r="Q618" s="6" t="s">
        <v>217</v>
      </c>
      <c r="R618" s="6">
        <v>56</v>
      </c>
      <c r="S618" s="6">
        <v>1</v>
      </c>
      <c r="T618" s="6">
        <v>420</v>
      </c>
      <c r="U618" s="6">
        <f>11%</f>
        <v>0.11</v>
      </c>
      <c r="V618" s="6"/>
      <c r="W618" s="6"/>
      <c r="X618" s="6"/>
      <c r="Y618" s="6"/>
      <c r="Z618" s="6"/>
      <c r="AA618" s="6"/>
      <c r="AB618" s="6"/>
      <c r="AC618" s="6"/>
      <c r="AD618" s="7"/>
    </row>
    <row r="619" spans="1:30" ht="15.6" x14ac:dyDescent="0.3">
      <c r="A619" s="4">
        <v>930</v>
      </c>
      <c r="B619" s="5" t="s">
        <v>5229</v>
      </c>
      <c r="C619" s="6" t="s">
        <v>126</v>
      </c>
      <c r="D619" s="5" t="s">
        <v>5230</v>
      </c>
      <c r="E619" s="5" t="s">
        <v>33</v>
      </c>
      <c r="F619" s="6" t="s">
        <v>5231</v>
      </c>
      <c r="G619" s="6" t="s">
        <v>5232</v>
      </c>
      <c r="H619" s="8">
        <v>0</v>
      </c>
      <c r="I619" s="8">
        <v>-0.93</v>
      </c>
      <c r="J619" s="6" t="s">
        <v>1071</v>
      </c>
      <c r="K619" s="6" t="s">
        <v>333</v>
      </c>
      <c r="L619" s="8">
        <v>-0.49</v>
      </c>
      <c r="M619" s="6" t="s">
        <v>5233</v>
      </c>
      <c r="N619" s="8">
        <v>-0.49</v>
      </c>
      <c r="O619" s="6" t="s">
        <v>5234</v>
      </c>
      <c r="P619" s="6" t="s">
        <v>5235</v>
      </c>
      <c r="Q619" s="6" t="s">
        <v>217</v>
      </c>
      <c r="R619" s="6">
        <v>213</v>
      </c>
      <c r="S619" s="6">
        <v>0</v>
      </c>
      <c r="T619" s="6" t="s">
        <v>5236</v>
      </c>
      <c r="U619" s="6"/>
      <c r="V619" s="6"/>
      <c r="W619" s="6"/>
      <c r="X619" s="6"/>
      <c r="Y619" s="6"/>
      <c r="Z619" s="6"/>
      <c r="AA619" s="6"/>
      <c r="AB619" s="6"/>
      <c r="AC619" s="6"/>
      <c r="AD619" s="7"/>
    </row>
    <row r="620" spans="1:30" ht="15.6" x14ac:dyDescent="0.3">
      <c r="A620" s="4">
        <v>931</v>
      </c>
      <c r="B620" s="5" t="s">
        <v>5237</v>
      </c>
      <c r="C620" s="6" t="s">
        <v>126</v>
      </c>
      <c r="D620" s="5" t="s">
        <v>5238</v>
      </c>
      <c r="E620" s="5" t="s">
        <v>33</v>
      </c>
      <c r="F620" s="6" t="s">
        <v>5239</v>
      </c>
      <c r="G620" s="6" t="s">
        <v>5240</v>
      </c>
      <c r="H620" s="8">
        <v>0</v>
      </c>
      <c r="I620" s="6">
        <f>210%</f>
        <v>2.1</v>
      </c>
      <c r="J620" s="6" t="s">
        <v>3975</v>
      </c>
      <c r="K620" s="6" t="s">
        <v>2721</v>
      </c>
      <c r="L620" s="8">
        <v>-0.53</v>
      </c>
      <c r="M620" s="6" t="s">
        <v>5241</v>
      </c>
      <c r="N620" s="8">
        <v>-0.53</v>
      </c>
      <c r="O620" s="6" t="s">
        <v>5242</v>
      </c>
      <c r="P620" s="6" t="s">
        <v>5243</v>
      </c>
      <c r="Q620" s="6" t="s">
        <v>217</v>
      </c>
      <c r="R620" s="6">
        <v>230</v>
      </c>
      <c r="S620" s="6">
        <v>0</v>
      </c>
      <c r="T620" s="6" t="s">
        <v>5244</v>
      </c>
      <c r="U620" s="6">
        <f>95%</f>
        <v>0.95</v>
      </c>
      <c r="V620" s="6"/>
      <c r="W620" s="6"/>
      <c r="X620" s="6"/>
      <c r="Y620" s="6"/>
      <c r="Z620" s="6"/>
      <c r="AA620" s="6"/>
      <c r="AB620" s="6"/>
      <c r="AC620" s="6"/>
      <c r="AD620" s="7"/>
    </row>
    <row r="621" spans="1:30" ht="15.6" x14ac:dyDescent="0.3">
      <c r="A621" s="4">
        <v>932</v>
      </c>
      <c r="B621" s="5" t="s">
        <v>5245</v>
      </c>
      <c r="C621" s="6" t="s">
        <v>291</v>
      </c>
      <c r="D621" s="5" t="s">
        <v>5246</v>
      </c>
      <c r="E621" s="5" t="s">
        <v>48</v>
      </c>
      <c r="F621" s="6" t="s">
        <v>5247</v>
      </c>
      <c r="G621" s="6" t="s">
        <v>5248</v>
      </c>
      <c r="H621" s="8">
        <v>0</v>
      </c>
      <c r="I621" s="8">
        <v>-0.98</v>
      </c>
      <c r="J621" s="6" t="s">
        <v>374</v>
      </c>
      <c r="K621" s="6" t="s">
        <v>5249</v>
      </c>
      <c r="L621" s="8">
        <v>-0.17</v>
      </c>
      <c r="M621" s="6" t="s">
        <v>3831</v>
      </c>
      <c r="N621" s="8">
        <v>-0.17</v>
      </c>
      <c r="O621" s="6" t="s">
        <v>4462</v>
      </c>
      <c r="P621" s="6" t="s">
        <v>5250</v>
      </c>
      <c r="Q621" s="6" t="s">
        <v>217</v>
      </c>
      <c r="R621" s="6">
        <v>116</v>
      </c>
      <c r="S621" s="6">
        <v>1</v>
      </c>
      <c r="T621" s="6">
        <v>223</v>
      </c>
      <c r="U621" s="8">
        <v>-0.85</v>
      </c>
      <c r="V621" s="6"/>
      <c r="W621" s="6"/>
      <c r="X621" s="6"/>
      <c r="Y621" s="6"/>
      <c r="Z621" s="6"/>
      <c r="AA621" s="6"/>
      <c r="AB621" s="6"/>
      <c r="AC621" s="6"/>
      <c r="AD621" s="7"/>
    </row>
    <row r="622" spans="1:30" ht="15.6" x14ac:dyDescent="0.3">
      <c r="A622" s="4">
        <v>933</v>
      </c>
      <c r="B622" s="5" t="s">
        <v>5251</v>
      </c>
      <c r="C622" s="6" t="s">
        <v>72</v>
      </c>
      <c r="D622" s="5" t="s">
        <v>5252</v>
      </c>
      <c r="E622" s="5" t="s">
        <v>48</v>
      </c>
      <c r="F622" s="6" t="s">
        <v>5253</v>
      </c>
      <c r="G622" s="6" t="s">
        <v>5254</v>
      </c>
      <c r="H622" s="8">
        <v>0</v>
      </c>
      <c r="I622" s="8">
        <v>-0.95</v>
      </c>
      <c r="J622" s="6" t="s">
        <v>411</v>
      </c>
      <c r="K622" s="6" t="s">
        <v>5255</v>
      </c>
      <c r="L622" s="6">
        <f>32%</f>
        <v>0.32</v>
      </c>
      <c r="M622" s="6" t="s">
        <v>5256</v>
      </c>
      <c r="N622" s="6">
        <f>32%</f>
        <v>0.32</v>
      </c>
      <c r="O622" s="6" t="s">
        <v>3815</v>
      </c>
      <c r="P622" s="6" t="s">
        <v>5257</v>
      </c>
      <c r="Q622" s="6" t="s">
        <v>217</v>
      </c>
      <c r="R622" s="6">
        <v>79</v>
      </c>
      <c r="S622" s="6">
        <v>1</v>
      </c>
      <c r="T622" s="6">
        <v>220</v>
      </c>
      <c r="U622" s="6">
        <f>320%</f>
        <v>3.2</v>
      </c>
      <c r="V622" s="6"/>
      <c r="W622" s="6"/>
      <c r="X622" s="6"/>
      <c r="Y622" s="6"/>
      <c r="Z622" s="6"/>
      <c r="AA622" s="6"/>
      <c r="AB622" s="6"/>
      <c r="AC622" s="6"/>
      <c r="AD622" s="7"/>
    </row>
    <row r="623" spans="1:30" ht="15.6" x14ac:dyDescent="0.3">
      <c r="A623" s="4">
        <v>934</v>
      </c>
      <c r="B623" s="5" t="s">
        <v>5258</v>
      </c>
      <c r="C623" s="6" t="s">
        <v>466</v>
      </c>
      <c r="D623" s="5" t="s">
        <v>5259</v>
      </c>
      <c r="E623" s="5" t="s">
        <v>48</v>
      </c>
      <c r="F623" s="6" t="s">
        <v>5260</v>
      </c>
      <c r="G623" s="6" t="s">
        <v>5261</v>
      </c>
      <c r="H623" s="8">
        <v>0</v>
      </c>
      <c r="I623" s="6" t="s">
        <v>1593</v>
      </c>
      <c r="J623" s="6" t="s">
        <v>2713</v>
      </c>
      <c r="K623" s="6" t="s">
        <v>5262</v>
      </c>
      <c r="L623" s="6" t="s">
        <v>217</v>
      </c>
      <c r="M623" s="6" t="s">
        <v>5263</v>
      </c>
      <c r="N623" s="6">
        <f>0.0019%</f>
        <v>1.9000000000000001E-5</v>
      </c>
      <c r="O623" s="6" t="s">
        <v>5264</v>
      </c>
      <c r="P623" s="6" t="s">
        <v>5265</v>
      </c>
      <c r="Q623" s="6" t="s">
        <v>217</v>
      </c>
      <c r="R623" s="6">
        <v>639</v>
      </c>
      <c r="S623" s="6">
        <v>32</v>
      </c>
      <c r="T623" s="6">
        <v>238</v>
      </c>
      <c r="U623" s="6" t="s">
        <v>9262</v>
      </c>
      <c r="V623" s="6"/>
      <c r="W623" s="6"/>
      <c r="X623" s="6"/>
      <c r="Y623" s="6"/>
      <c r="Z623" s="6"/>
      <c r="AA623" s="6"/>
      <c r="AB623" s="6"/>
      <c r="AC623" s="6"/>
      <c r="AD623" s="7"/>
    </row>
    <row r="624" spans="1:30" ht="15.6" x14ac:dyDescent="0.3">
      <c r="A624" s="4">
        <v>935</v>
      </c>
      <c r="B624" s="5" t="s">
        <v>5266</v>
      </c>
      <c r="C624" s="6" t="s">
        <v>173</v>
      </c>
      <c r="D624" s="5" t="s">
        <v>5267</v>
      </c>
      <c r="E624" s="5" t="s">
        <v>33</v>
      </c>
      <c r="F624" s="6" t="s">
        <v>5268</v>
      </c>
      <c r="G624" s="6" t="s">
        <v>5269</v>
      </c>
      <c r="H624" s="8">
        <v>0</v>
      </c>
      <c r="I624" s="8">
        <v>-0.98</v>
      </c>
      <c r="J624" s="6" t="s">
        <v>309</v>
      </c>
      <c r="K624" s="6" t="s">
        <v>39</v>
      </c>
      <c r="L624" s="8">
        <v>-0.68</v>
      </c>
      <c r="M624" s="6" t="s">
        <v>5270</v>
      </c>
      <c r="N624" s="8">
        <v>-0.68</v>
      </c>
      <c r="O624" s="6" t="s">
        <v>5271</v>
      </c>
      <c r="P624" s="6" t="s">
        <v>5272</v>
      </c>
      <c r="Q624" s="6" t="s">
        <v>217</v>
      </c>
      <c r="R624" s="6">
        <v>191</v>
      </c>
      <c r="S624" s="6">
        <v>0</v>
      </c>
      <c r="T624" s="6">
        <v>365</v>
      </c>
      <c r="U624" s="8">
        <v>-0.97</v>
      </c>
      <c r="V624" s="6"/>
      <c r="W624" s="6"/>
      <c r="X624" s="6"/>
      <c r="Y624" s="6"/>
      <c r="Z624" s="6"/>
      <c r="AA624" s="6"/>
      <c r="AB624" s="6"/>
      <c r="AC624" s="6"/>
      <c r="AD624" s="7"/>
    </row>
    <row r="625" spans="1:30" ht="15.6" x14ac:dyDescent="0.3">
      <c r="A625" s="4">
        <v>936</v>
      </c>
      <c r="B625" s="5" t="s">
        <v>5273</v>
      </c>
      <c r="C625" s="6" t="s">
        <v>72</v>
      </c>
      <c r="D625" s="5" t="s">
        <v>5274</v>
      </c>
      <c r="E625" s="5" t="s">
        <v>33</v>
      </c>
      <c r="F625" s="6" t="s">
        <v>5275</v>
      </c>
      <c r="G625" s="6" t="s">
        <v>5276</v>
      </c>
      <c r="H625" s="8">
        <v>0</v>
      </c>
      <c r="I625" s="8">
        <v>-0.96</v>
      </c>
      <c r="J625" s="6" t="s">
        <v>284</v>
      </c>
      <c r="K625" s="6" t="s">
        <v>5277</v>
      </c>
      <c r="L625" s="6" t="s">
        <v>3997</v>
      </c>
      <c r="M625" s="6" t="s">
        <v>5278</v>
      </c>
      <c r="N625" s="6" t="s">
        <v>3997</v>
      </c>
      <c r="O625" s="6" t="s">
        <v>5279</v>
      </c>
      <c r="P625" s="6" t="s">
        <v>5280</v>
      </c>
      <c r="Q625" s="6" t="s">
        <v>217</v>
      </c>
      <c r="R625" s="6" t="s">
        <v>5281</v>
      </c>
      <c r="S625" s="6">
        <v>16</v>
      </c>
      <c r="T625" s="6" t="s">
        <v>5282</v>
      </c>
      <c r="U625" s="8">
        <v>-0.28999999999999998</v>
      </c>
      <c r="V625" s="6"/>
      <c r="W625" s="6"/>
      <c r="X625" s="6"/>
      <c r="Y625" s="6"/>
      <c r="Z625" s="6"/>
      <c r="AA625" s="6"/>
      <c r="AB625" s="6"/>
      <c r="AC625" s="6"/>
      <c r="AD625" s="7"/>
    </row>
    <row r="626" spans="1:30" ht="15.6" x14ac:dyDescent="0.3">
      <c r="A626" s="4">
        <v>937</v>
      </c>
      <c r="B626" s="5" t="s">
        <v>5283</v>
      </c>
      <c r="C626" s="6" t="s">
        <v>60</v>
      </c>
      <c r="D626" s="5" t="s">
        <v>5284</v>
      </c>
      <c r="E626" s="5" t="s">
        <v>33</v>
      </c>
      <c r="F626" s="6" t="s">
        <v>5285</v>
      </c>
      <c r="G626" s="6" t="s">
        <v>5286</v>
      </c>
      <c r="H626" s="8">
        <v>0</v>
      </c>
      <c r="I626" s="8">
        <v>-0.99</v>
      </c>
      <c r="J626" s="6" t="s">
        <v>2474</v>
      </c>
      <c r="K626" s="6" t="s">
        <v>5287</v>
      </c>
      <c r="L626" s="8">
        <v>-0.61</v>
      </c>
      <c r="M626" s="6" t="s">
        <v>5288</v>
      </c>
      <c r="N626" s="8">
        <v>-0.61</v>
      </c>
      <c r="O626" s="6" t="s">
        <v>5289</v>
      </c>
      <c r="P626" s="6" t="s">
        <v>5290</v>
      </c>
      <c r="Q626" s="6" t="s">
        <v>217</v>
      </c>
      <c r="R626" s="6">
        <v>81</v>
      </c>
      <c r="S626" s="6">
        <v>0</v>
      </c>
      <c r="T626" s="6" t="s">
        <v>5244</v>
      </c>
      <c r="U626" s="8">
        <v>-0.94</v>
      </c>
      <c r="V626" s="6"/>
      <c r="W626" s="6"/>
      <c r="X626" s="6"/>
      <c r="Y626" s="6"/>
      <c r="Z626" s="6"/>
      <c r="AA626" s="6"/>
      <c r="AB626" s="6"/>
      <c r="AC626" s="6"/>
      <c r="AD626" s="7"/>
    </row>
    <row r="627" spans="1:30" ht="15.6" x14ac:dyDescent="0.3">
      <c r="A627" s="4">
        <v>938</v>
      </c>
      <c r="B627" s="5" t="s">
        <v>5291</v>
      </c>
      <c r="C627" s="6" t="s">
        <v>85</v>
      </c>
      <c r="D627" s="5" t="s">
        <v>5292</v>
      </c>
      <c r="E627" s="5" t="s">
        <v>33</v>
      </c>
      <c r="F627" s="6" t="s">
        <v>5293</v>
      </c>
      <c r="G627" s="6" t="s">
        <v>5294</v>
      </c>
      <c r="H627" s="8">
        <v>0</v>
      </c>
      <c r="I627" s="8">
        <v>-0.56999999999999995</v>
      </c>
      <c r="J627" s="6" t="s">
        <v>846</v>
      </c>
      <c r="K627" s="6" t="s">
        <v>5295</v>
      </c>
      <c r="L627" s="8">
        <v>-0.33</v>
      </c>
      <c r="M627" s="6" t="s">
        <v>5296</v>
      </c>
      <c r="N627" s="8">
        <v>-0.33</v>
      </c>
      <c r="O627" s="6" t="s">
        <v>5297</v>
      </c>
      <c r="P627" s="6" t="s">
        <v>5298</v>
      </c>
      <c r="Q627" s="6" t="s">
        <v>217</v>
      </c>
      <c r="R627" s="6">
        <v>45</v>
      </c>
      <c r="S627" s="6">
        <v>0</v>
      </c>
      <c r="T627" s="6">
        <v>478</v>
      </c>
      <c r="U627" s="6">
        <f>21%</f>
        <v>0.21</v>
      </c>
      <c r="V627" s="6"/>
      <c r="W627" s="6"/>
      <c r="X627" s="6"/>
      <c r="Y627" s="6"/>
      <c r="Z627" s="6"/>
      <c r="AA627" s="6"/>
      <c r="AB627" s="6"/>
      <c r="AC627" s="6"/>
      <c r="AD627" s="7"/>
    </row>
    <row r="628" spans="1:30" ht="15.6" x14ac:dyDescent="0.3">
      <c r="A628" s="4">
        <v>939</v>
      </c>
      <c r="B628" s="5" t="s">
        <v>5299</v>
      </c>
      <c r="C628" s="6" t="s">
        <v>291</v>
      </c>
      <c r="D628" s="5" t="s">
        <v>5300</v>
      </c>
      <c r="E628" s="5" t="s">
        <v>33</v>
      </c>
      <c r="F628" s="6" t="s">
        <v>5301</v>
      </c>
      <c r="G628" s="6" t="s">
        <v>5302</v>
      </c>
      <c r="H628" s="8">
        <v>0</v>
      </c>
      <c r="I628" s="6">
        <f>28%</f>
        <v>0.28000000000000003</v>
      </c>
      <c r="J628" s="6" t="s">
        <v>2492</v>
      </c>
      <c r="K628" s="6" t="s">
        <v>618</v>
      </c>
      <c r="L628" s="6">
        <f>270%</f>
        <v>2.7</v>
      </c>
      <c r="M628" s="6" t="s">
        <v>5303</v>
      </c>
      <c r="N628" s="6">
        <f>270%</f>
        <v>2.7</v>
      </c>
      <c r="O628" s="6" t="s">
        <v>5304</v>
      </c>
      <c r="P628" s="6" t="s">
        <v>5305</v>
      </c>
      <c r="Q628" s="6" t="s">
        <v>217</v>
      </c>
      <c r="R628" s="6">
        <v>54</v>
      </c>
      <c r="S628" s="6">
        <v>1</v>
      </c>
      <c r="T628" s="6">
        <v>173</v>
      </c>
      <c r="U628" s="6">
        <f>100%</f>
        <v>1</v>
      </c>
      <c r="V628" s="6"/>
      <c r="W628" s="6"/>
      <c r="X628" s="6"/>
      <c r="Y628" s="6"/>
      <c r="Z628" s="6"/>
      <c r="AA628" s="6"/>
      <c r="AB628" s="6"/>
      <c r="AC628" s="6"/>
      <c r="AD628" s="7"/>
    </row>
    <row r="629" spans="1:30" ht="15.6" x14ac:dyDescent="0.3">
      <c r="A629" s="4">
        <v>940</v>
      </c>
      <c r="B629" s="5" t="s">
        <v>5306</v>
      </c>
      <c r="C629" s="6" t="s">
        <v>185</v>
      </c>
      <c r="D629" s="5" t="s">
        <v>5307</v>
      </c>
      <c r="E629" s="5" t="s">
        <v>33</v>
      </c>
      <c r="F629" s="6" t="s">
        <v>5308</v>
      </c>
      <c r="G629" s="6" t="s">
        <v>5309</v>
      </c>
      <c r="H629" s="8">
        <v>0</v>
      </c>
      <c r="I629" s="8">
        <v>-1</v>
      </c>
      <c r="J629" s="6" t="s">
        <v>141</v>
      </c>
      <c r="K629" s="6" t="s">
        <v>5310</v>
      </c>
      <c r="L629" s="6" t="s">
        <v>5311</v>
      </c>
      <c r="M629" s="6" t="s">
        <v>2313</v>
      </c>
      <c r="N629" s="6" t="s">
        <v>5311</v>
      </c>
      <c r="O629" s="6" t="s">
        <v>5312</v>
      </c>
      <c r="P629" s="6" t="s">
        <v>5313</v>
      </c>
      <c r="Q629" s="6" t="s">
        <v>217</v>
      </c>
      <c r="R629" s="6">
        <v>18</v>
      </c>
      <c r="S629" s="6">
        <v>0</v>
      </c>
      <c r="T629" s="6" t="s">
        <v>5314</v>
      </c>
      <c r="U629" s="8">
        <v>-0.71</v>
      </c>
      <c r="V629" s="6"/>
      <c r="W629" s="6"/>
      <c r="X629" s="6"/>
      <c r="Y629" s="6"/>
      <c r="Z629" s="6"/>
      <c r="AA629" s="6"/>
      <c r="AB629" s="6"/>
      <c r="AC629" s="6"/>
      <c r="AD629" s="7"/>
    </row>
    <row r="630" spans="1:30" ht="15.6" x14ac:dyDescent="0.3">
      <c r="A630" s="4">
        <v>941</v>
      </c>
      <c r="B630" s="5" t="s">
        <v>5315</v>
      </c>
      <c r="C630" s="6" t="s">
        <v>148</v>
      </c>
      <c r="D630" s="5" t="s">
        <v>5316</v>
      </c>
      <c r="E630" s="5" t="s">
        <v>48</v>
      </c>
      <c r="F630" s="6" t="s">
        <v>5317</v>
      </c>
      <c r="G630" s="6" t="s">
        <v>5318</v>
      </c>
      <c r="H630" s="8">
        <v>0</v>
      </c>
      <c r="I630" s="8">
        <v>-0.91</v>
      </c>
      <c r="J630" s="6" t="s">
        <v>1660</v>
      </c>
      <c r="K630" s="6" t="s">
        <v>5319</v>
      </c>
      <c r="L630" s="8">
        <v>-0.44</v>
      </c>
      <c r="M630" s="6" t="s">
        <v>5320</v>
      </c>
      <c r="N630" s="8">
        <v>-0.44</v>
      </c>
      <c r="O630" s="6" t="s">
        <v>5321</v>
      </c>
      <c r="P630" s="6" t="s">
        <v>5322</v>
      </c>
      <c r="Q630" s="6" t="s">
        <v>217</v>
      </c>
      <c r="R630" s="6" t="s">
        <v>5323</v>
      </c>
      <c r="S630" s="6">
        <v>26</v>
      </c>
      <c r="T630" s="6" t="s">
        <v>2538</v>
      </c>
      <c r="U630" s="8">
        <v>-0.26</v>
      </c>
      <c r="V630" s="6"/>
      <c r="W630" s="6"/>
      <c r="X630" s="6"/>
      <c r="Y630" s="6"/>
      <c r="Z630" s="6"/>
      <c r="AA630" s="6"/>
      <c r="AB630" s="6"/>
      <c r="AC630" s="6"/>
      <c r="AD630" s="7"/>
    </row>
    <row r="631" spans="1:30" ht="15.6" x14ac:dyDescent="0.3">
      <c r="A631" s="4">
        <v>942</v>
      </c>
      <c r="B631" s="5" t="s">
        <v>5324</v>
      </c>
      <c r="C631" s="6" t="s">
        <v>102</v>
      </c>
      <c r="D631" s="5" t="s">
        <v>5325</v>
      </c>
      <c r="E631" s="5" t="s">
        <v>48</v>
      </c>
      <c r="F631" s="6" t="s">
        <v>5326</v>
      </c>
      <c r="G631" s="6" t="s">
        <v>5327</v>
      </c>
      <c r="H631" s="8">
        <v>0</v>
      </c>
      <c r="I631" s="8">
        <v>-1</v>
      </c>
      <c r="J631" s="6" t="s">
        <v>411</v>
      </c>
      <c r="K631" s="6" t="s">
        <v>5328</v>
      </c>
      <c r="L631" s="8">
        <v>-0.83</v>
      </c>
      <c r="M631" s="6" t="s">
        <v>5329</v>
      </c>
      <c r="N631" s="8">
        <v>-0.83</v>
      </c>
      <c r="O631" s="6" t="s">
        <v>3786</v>
      </c>
      <c r="P631" s="6" t="s">
        <v>5330</v>
      </c>
      <c r="Q631" s="6" t="s">
        <v>217</v>
      </c>
      <c r="R631" s="6" t="s">
        <v>5331</v>
      </c>
      <c r="S631" s="6">
        <v>386</v>
      </c>
      <c r="T631" s="6">
        <v>108</v>
      </c>
      <c r="U631" s="6">
        <f>93%</f>
        <v>0.93</v>
      </c>
      <c r="V631" s="5" t="s">
        <v>5332</v>
      </c>
      <c r="W631" s="5" t="s">
        <v>5333</v>
      </c>
      <c r="X631" s="5" t="s">
        <v>5334</v>
      </c>
      <c r="Y631" s="5" t="s">
        <v>5335</v>
      </c>
      <c r="Z631" s="5" t="s">
        <v>5336</v>
      </c>
      <c r="AA631" s="5" t="s">
        <v>5337</v>
      </c>
      <c r="AB631" s="5" t="s">
        <v>5338</v>
      </c>
      <c r="AC631" s="5" t="s">
        <v>5339</v>
      </c>
      <c r="AD631" s="9" t="s">
        <v>5340</v>
      </c>
    </row>
    <row r="632" spans="1:30" ht="15.6" x14ac:dyDescent="0.3">
      <c r="A632" s="4">
        <v>943</v>
      </c>
      <c r="B632" s="5" t="s">
        <v>5341</v>
      </c>
      <c r="C632" s="6" t="s">
        <v>31</v>
      </c>
      <c r="D632" s="5" t="s">
        <v>5342</v>
      </c>
      <c r="E632" s="5" t="s">
        <v>33</v>
      </c>
      <c r="F632" s="6" t="s">
        <v>5343</v>
      </c>
      <c r="G632" s="6" t="s">
        <v>5344</v>
      </c>
      <c r="H632" s="8">
        <v>0</v>
      </c>
      <c r="I632" s="8">
        <v>-1</v>
      </c>
      <c r="J632" s="6" t="s">
        <v>36</v>
      </c>
      <c r="K632" s="6" t="s">
        <v>5345</v>
      </c>
      <c r="L632" s="8">
        <v>-0.12</v>
      </c>
      <c r="M632" s="6" t="s">
        <v>5346</v>
      </c>
      <c r="N632" s="8">
        <v>-0.12</v>
      </c>
      <c r="O632" s="6" t="s">
        <v>3406</v>
      </c>
      <c r="P632" s="6" t="s">
        <v>5347</v>
      </c>
      <c r="Q632" s="6" t="s">
        <v>217</v>
      </c>
      <c r="R632" s="6">
        <v>66</v>
      </c>
      <c r="S632" s="6">
        <v>0</v>
      </c>
      <c r="T632" s="6" t="s">
        <v>5348</v>
      </c>
      <c r="U632" s="8">
        <v>-0.62</v>
      </c>
      <c r="V632" s="6"/>
      <c r="W632" s="6"/>
      <c r="X632" s="6"/>
      <c r="Y632" s="6"/>
      <c r="Z632" s="6"/>
      <c r="AA632" s="6"/>
      <c r="AB632" s="6"/>
      <c r="AC632" s="6"/>
      <c r="AD632" s="7"/>
    </row>
    <row r="633" spans="1:30" ht="15.6" x14ac:dyDescent="0.3">
      <c r="A633" s="4">
        <v>944</v>
      </c>
      <c r="B633" s="5" t="s">
        <v>5349</v>
      </c>
      <c r="C633" s="6" t="s">
        <v>72</v>
      </c>
      <c r="D633" s="5" t="s">
        <v>5350</v>
      </c>
      <c r="E633" s="5" t="s">
        <v>33</v>
      </c>
      <c r="F633" s="6" t="s">
        <v>5351</v>
      </c>
      <c r="G633" s="6" t="s">
        <v>5352</v>
      </c>
      <c r="H633" s="8">
        <v>0</v>
      </c>
      <c r="I633" s="8">
        <v>-0.63</v>
      </c>
      <c r="J633" s="6" t="s">
        <v>846</v>
      </c>
      <c r="K633" s="6" t="s">
        <v>5173</v>
      </c>
      <c r="L633" s="6">
        <f>4.2%</f>
        <v>4.2000000000000003E-2</v>
      </c>
      <c r="M633" s="6" t="s">
        <v>5353</v>
      </c>
      <c r="N633" s="6">
        <f>4.2%</f>
        <v>4.2000000000000003E-2</v>
      </c>
      <c r="O633" s="6" t="s">
        <v>5354</v>
      </c>
      <c r="P633" s="6" t="s">
        <v>5355</v>
      </c>
      <c r="Q633" s="6" t="s">
        <v>217</v>
      </c>
      <c r="R633" s="6">
        <v>189</v>
      </c>
      <c r="S633" s="6">
        <v>1</v>
      </c>
      <c r="T633" s="6" t="s">
        <v>5356</v>
      </c>
      <c r="U633" s="6">
        <f>1.3%</f>
        <v>1.3000000000000001E-2</v>
      </c>
      <c r="V633" s="6"/>
      <c r="W633" s="6"/>
      <c r="X633" s="6"/>
      <c r="Y633" s="6"/>
      <c r="Z633" s="6"/>
      <c r="AA633" s="6"/>
      <c r="AB633" s="6"/>
      <c r="AC633" s="6"/>
      <c r="AD633" s="7"/>
    </row>
    <row r="634" spans="1:30" ht="15.6" x14ac:dyDescent="0.3">
      <c r="A634" s="4">
        <v>945</v>
      </c>
      <c r="B634" s="5" t="s">
        <v>5357</v>
      </c>
      <c r="C634" s="6" t="s">
        <v>126</v>
      </c>
      <c r="D634" s="5" t="s">
        <v>5358</v>
      </c>
      <c r="E634" s="5" t="s">
        <v>48</v>
      </c>
      <c r="F634" s="6" t="s">
        <v>5359</v>
      </c>
      <c r="G634" s="6" t="s">
        <v>5360</v>
      </c>
      <c r="H634" s="8">
        <v>0</v>
      </c>
      <c r="I634" s="6" t="s">
        <v>1027</v>
      </c>
      <c r="J634" s="6" t="s">
        <v>2492</v>
      </c>
      <c r="K634" s="6" t="s">
        <v>857</v>
      </c>
      <c r="L634" s="8">
        <v>-0.66</v>
      </c>
      <c r="M634" s="6" t="s">
        <v>5361</v>
      </c>
      <c r="N634" s="8">
        <v>-0.66</v>
      </c>
      <c r="O634" s="6" t="s">
        <v>5362</v>
      </c>
      <c r="P634" s="6" t="s">
        <v>5363</v>
      </c>
      <c r="Q634" s="6"/>
      <c r="R634" s="6" t="s">
        <v>5364</v>
      </c>
      <c r="S634" s="6">
        <v>22</v>
      </c>
      <c r="T634" s="6" t="s">
        <v>5365</v>
      </c>
      <c r="U634" s="8">
        <v>-0.65</v>
      </c>
      <c r="V634" s="6"/>
      <c r="W634" s="6"/>
      <c r="X634" s="6"/>
      <c r="Y634" s="6"/>
      <c r="Z634" s="6"/>
      <c r="AA634" s="6"/>
      <c r="AB634" s="6"/>
      <c r="AC634" s="6"/>
      <c r="AD634" s="7"/>
    </row>
    <row r="635" spans="1:30" ht="15.6" x14ac:dyDescent="0.3">
      <c r="A635" s="4">
        <v>946</v>
      </c>
      <c r="B635" s="5" t="s">
        <v>5366</v>
      </c>
      <c r="C635" s="6" t="s">
        <v>114</v>
      </c>
      <c r="D635" s="5" t="s">
        <v>5367</v>
      </c>
      <c r="E635" s="5" t="s">
        <v>48</v>
      </c>
      <c r="F635" s="6" t="s">
        <v>5368</v>
      </c>
      <c r="G635" s="6" t="s">
        <v>5369</v>
      </c>
      <c r="H635" s="8">
        <v>0</v>
      </c>
      <c r="I635" s="8">
        <v>-1</v>
      </c>
      <c r="J635" s="6" t="s">
        <v>798</v>
      </c>
      <c r="K635" s="6" t="s">
        <v>5370</v>
      </c>
      <c r="L635" s="8">
        <v>-0.21</v>
      </c>
      <c r="M635" s="6" t="s">
        <v>3334</v>
      </c>
      <c r="N635" s="8">
        <v>-0.2</v>
      </c>
      <c r="O635" s="6" t="s">
        <v>3480</v>
      </c>
      <c r="P635" s="6" t="s">
        <v>5371</v>
      </c>
      <c r="Q635" s="6" t="s">
        <v>217</v>
      </c>
      <c r="R635" s="6">
        <v>15</v>
      </c>
      <c r="S635" s="6">
        <v>0</v>
      </c>
      <c r="T635" s="6">
        <v>63</v>
      </c>
      <c r="U635" s="6" t="s">
        <v>217</v>
      </c>
      <c r="V635" s="6"/>
      <c r="W635" s="6"/>
      <c r="X635" s="6"/>
      <c r="Y635" s="6"/>
      <c r="Z635" s="6"/>
      <c r="AA635" s="6"/>
      <c r="AB635" s="6"/>
      <c r="AC635" s="6"/>
      <c r="AD635" s="7"/>
    </row>
    <row r="636" spans="1:30" ht="15.6" x14ac:dyDescent="0.3">
      <c r="A636" s="4">
        <v>947</v>
      </c>
      <c r="B636" s="5" t="s">
        <v>5372</v>
      </c>
      <c r="C636" s="6" t="s">
        <v>126</v>
      </c>
      <c r="D636" s="5" t="s">
        <v>5373</v>
      </c>
      <c r="E636" s="5" t="s">
        <v>33</v>
      </c>
      <c r="F636" s="6" t="s">
        <v>5374</v>
      </c>
      <c r="G636" s="6" t="s">
        <v>5375</v>
      </c>
      <c r="H636" s="8">
        <v>0</v>
      </c>
      <c r="I636" s="8">
        <v>-0.99</v>
      </c>
      <c r="J636" s="6" t="s">
        <v>1529</v>
      </c>
      <c r="K636" s="6" t="s">
        <v>5376</v>
      </c>
      <c r="L636" s="6" t="s">
        <v>5377</v>
      </c>
      <c r="M636" s="6" t="s">
        <v>5378</v>
      </c>
      <c r="N636" s="6" t="s">
        <v>5377</v>
      </c>
      <c r="O636" s="6" t="s">
        <v>3711</v>
      </c>
      <c r="P636" s="6" t="s">
        <v>5379</v>
      </c>
      <c r="Q636" s="6" t="s">
        <v>217</v>
      </c>
      <c r="R636" s="6">
        <v>8</v>
      </c>
      <c r="S636" s="6">
        <v>0</v>
      </c>
      <c r="T636" s="6">
        <v>41</v>
      </c>
      <c r="U636" s="6">
        <f>220%</f>
        <v>2.2000000000000002</v>
      </c>
      <c r="V636" s="6"/>
      <c r="W636" s="6"/>
      <c r="X636" s="6"/>
      <c r="Y636" s="6"/>
      <c r="Z636" s="6"/>
      <c r="AA636" s="6"/>
      <c r="AB636" s="6"/>
      <c r="AC636" s="6"/>
      <c r="AD636" s="7"/>
    </row>
    <row r="637" spans="1:30" ht="15.6" x14ac:dyDescent="0.3">
      <c r="A637" s="4">
        <v>948</v>
      </c>
      <c r="B637" s="5" t="s">
        <v>5380</v>
      </c>
      <c r="C637" s="6" t="s">
        <v>148</v>
      </c>
      <c r="D637" s="5" t="s">
        <v>5381</v>
      </c>
      <c r="E637" s="5" t="s">
        <v>48</v>
      </c>
      <c r="F637" s="6" t="s">
        <v>5382</v>
      </c>
      <c r="G637" s="6" t="s">
        <v>5383</v>
      </c>
      <c r="H637" s="8">
        <v>0</v>
      </c>
      <c r="I637" s="6" t="s">
        <v>877</v>
      </c>
      <c r="J637" s="6" t="s">
        <v>1491</v>
      </c>
      <c r="K637" s="6" t="s">
        <v>5384</v>
      </c>
      <c r="L637" s="8">
        <v>-0.77</v>
      </c>
      <c r="M637" s="6" t="s">
        <v>5385</v>
      </c>
      <c r="N637" s="8">
        <v>-0.77</v>
      </c>
      <c r="O637" s="6" t="s">
        <v>2769</v>
      </c>
      <c r="P637" s="6" t="s">
        <v>5386</v>
      </c>
      <c r="Q637" s="8">
        <v>-0.22</v>
      </c>
      <c r="R637" s="6">
        <v>209</v>
      </c>
      <c r="S637" s="6">
        <v>4</v>
      </c>
      <c r="T637" s="6">
        <v>603</v>
      </c>
      <c r="U637" s="8">
        <v>-0.83</v>
      </c>
      <c r="V637" s="6"/>
      <c r="W637" s="6"/>
      <c r="X637" s="6"/>
      <c r="Y637" s="6"/>
      <c r="Z637" s="6"/>
      <c r="AA637" s="6"/>
      <c r="AB637" s="6"/>
      <c r="AC637" s="6"/>
      <c r="AD637" s="7"/>
    </row>
    <row r="638" spans="1:30" ht="15.6" x14ac:dyDescent="0.3">
      <c r="A638" s="4">
        <v>949</v>
      </c>
      <c r="B638" s="5" t="s">
        <v>5387</v>
      </c>
      <c r="C638" s="6" t="s">
        <v>102</v>
      </c>
      <c r="D638" s="5" t="s">
        <v>5388</v>
      </c>
      <c r="E638" s="5" t="s">
        <v>33</v>
      </c>
      <c r="F638" s="6" t="s">
        <v>5389</v>
      </c>
      <c r="G638" s="6" t="s">
        <v>5390</v>
      </c>
      <c r="H638" s="8">
        <v>0</v>
      </c>
      <c r="I638" s="6" t="s">
        <v>877</v>
      </c>
      <c r="J638" s="6" t="s">
        <v>506</v>
      </c>
      <c r="K638" s="6" t="s">
        <v>813</v>
      </c>
      <c r="L638" s="8">
        <v>-0.84</v>
      </c>
      <c r="M638" s="6" t="s">
        <v>5391</v>
      </c>
      <c r="N638" s="8">
        <v>-0.84</v>
      </c>
      <c r="O638" s="6" t="s">
        <v>5392</v>
      </c>
      <c r="P638" s="6" t="s">
        <v>5393</v>
      </c>
      <c r="Q638" s="6">
        <f>26%</f>
        <v>0.26</v>
      </c>
      <c r="R638" s="6">
        <v>285</v>
      </c>
      <c r="S638" s="6">
        <v>2</v>
      </c>
      <c r="T638" s="6">
        <v>400</v>
      </c>
      <c r="U638" s="6">
        <f>28%</f>
        <v>0.28000000000000003</v>
      </c>
      <c r="V638" s="6"/>
      <c r="W638" s="6"/>
      <c r="X638" s="6"/>
      <c r="Y638" s="6"/>
      <c r="Z638" s="6"/>
      <c r="AA638" s="6"/>
      <c r="AB638" s="6"/>
      <c r="AC638" s="6"/>
      <c r="AD638" s="7"/>
    </row>
    <row r="639" spans="1:30" ht="15.6" x14ac:dyDescent="0.3">
      <c r="A639" s="4">
        <v>950</v>
      </c>
      <c r="B639" s="5" t="s">
        <v>5394</v>
      </c>
      <c r="C639" s="6" t="s">
        <v>406</v>
      </c>
      <c r="D639" s="5" t="s">
        <v>5395</v>
      </c>
      <c r="E639" s="5" t="s">
        <v>33</v>
      </c>
      <c r="F639" s="6" t="s">
        <v>5396</v>
      </c>
      <c r="G639" s="6" t="s">
        <v>5397</v>
      </c>
      <c r="H639" s="8">
        <v>0</v>
      </c>
      <c r="I639" s="8">
        <v>-0.76</v>
      </c>
      <c r="J639" s="6" t="s">
        <v>2474</v>
      </c>
      <c r="K639" s="6" t="s">
        <v>5398</v>
      </c>
      <c r="L639" s="6">
        <f>64%</f>
        <v>0.64</v>
      </c>
      <c r="M639" s="6" t="s">
        <v>5399</v>
      </c>
      <c r="N639" s="6">
        <f>64%</f>
        <v>0.64</v>
      </c>
      <c r="O639" s="6" t="s">
        <v>5400</v>
      </c>
      <c r="P639" s="6" t="s">
        <v>5401</v>
      </c>
      <c r="Q639" s="6" t="s">
        <v>217</v>
      </c>
      <c r="R639" s="6">
        <v>14</v>
      </c>
      <c r="S639" s="6">
        <v>1</v>
      </c>
      <c r="T639" s="6">
        <v>197</v>
      </c>
      <c r="U639" s="6">
        <f>340%</f>
        <v>3.4</v>
      </c>
      <c r="V639" s="6"/>
      <c r="W639" s="6"/>
      <c r="X639" s="6"/>
      <c r="Y639" s="6"/>
      <c r="Z639" s="6"/>
      <c r="AA639" s="6"/>
      <c r="AB639" s="6"/>
      <c r="AC639" s="6"/>
      <c r="AD639" s="7"/>
    </row>
    <row r="640" spans="1:30" ht="15.6" x14ac:dyDescent="0.3">
      <c r="A640" s="4">
        <v>951</v>
      </c>
      <c r="B640" s="5" t="s">
        <v>5402</v>
      </c>
      <c r="C640" s="6" t="s">
        <v>126</v>
      </c>
      <c r="D640" s="5" t="s">
        <v>5403</v>
      </c>
      <c r="E640" s="5" t="s">
        <v>33</v>
      </c>
      <c r="F640" s="6" t="s">
        <v>5404</v>
      </c>
      <c r="G640" s="6" t="s">
        <v>5405</v>
      </c>
      <c r="H640" s="8">
        <v>0</v>
      </c>
      <c r="I640" s="8">
        <v>-1</v>
      </c>
      <c r="J640" s="6" t="s">
        <v>1491</v>
      </c>
      <c r="K640" s="6" t="s">
        <v>518</v>
      </c>
      <c r="L640" s="8">
        <v>-0.92</v>
      </c>
      <c r="M640" s="6" t="s">
        <v>5406</v>
      </c>
      <c r="N640" s="8">
        <v>-0.92</v>
      </c>
      <c r="O640" s="6" t="s">
        <v>5407</v>
      </c>
      <c r="P640" s="6" t="s">
        <v>5408</v>
      </c>
      <c r="Q640" s="6" t="s">
        <v>217</v>
      </c>
      <c r="R640" s="6">
        <v>213</v>
      </c>
      <c r="S640" s="6">
        <v>0</v>
      </c>
      <c r="T640" s="6" t="s">
        <v>5409</v>
      </c>
      <c r="U640" s="6">
        <f>65%</f>
        <v>0.65</v>
      </c>
      <c r="V640" s="6"/>
      <c r="W640" s="6"/>
      <c r="X640" s="6"/>
      <c r="Y640" s="6"/>
      <c r="Z640" s="6"/>
      <c r="AA640" s="6"/>
      <c r="AB640" s="6"/>
      <c r="AC640" s="6"/>
      <c r="AD640" s="7"/>
    </row>
    <row r="641" spans="1:30" ht="15.6" x14ac:dyDescent="0.3">
      <c r="A641" s="4">
        <v>952</v>
      </c>
      <c r="B641" s="5" t="s">
        <v>5410</v>
      </c>
      <c r="C641" s="6" t="s">
        <v>102</v>
      </c>
      <c r="D641" s="5" t="s">
        <v>5411</v>
      </c>
      <c r="E641" s="5" t="s">
        <v>33</v>
      </c>
      <c r="F641" s="6" t="s">
        <v>5412</v>
      </c>
      <c r="G641" s="6" t="s">
        <v>5413</v>
      </c>
      <c r="H641" s="8">
        <v>0</v>
      </c>
      <c r="I641" s="8">
        <v>-0.98</v>
      </c>
      <c r="J641" s="6" t="s">
        <v>584</v>
      </c>
      <c r="K641" s="6" t="s">
        <v>5414</v>
      </c>
      <c r="L641" s="8">
        <v>-0.19</v>
      </c>
      <c r="M641" s="6" t="s">
        <v>5415</v>
      </c>
      <c r="N641" s="8">
        <v>-0.19</v>
      </c>
      <c r="O641" s="6" t="s">
        <v>5416</v>
      </c>
      <c r="P641" s="6" t="s">
        <v>5417</v>
      </c>
      <c r="Q641" s="6" t="s">
        <v>217</v>
      </c>
      <c r="R641" s="6">
        <v>84</v>
      </c>
      <c r="S641" s="6">
        <v>0</v>
      </c>
      <c r="T641" s="6" t="s">
        <v>5418</v>
      </c>
      <c r="U641" s="6">
        <f>24%</f>
        <v>0.24</v>
      </c>
      <c r="V641" s="6"/>
      <c r="W641" s="6"/>
      <c r="X641" s="6"/>
      <c r="Y641" s="6"/>
      <c r="Z641" s="6"/>
      <c r="AA641" s="6"/>
      <c r="AB641" s="6"/>
      <c r="AC641" s="6"/>
      <c r="AD641" s="7"/>
    </row>
    <row r="642" spans="1:30" ht="15.6" x14ac:dyDescent="0.3">
      <c r="A642" s="4">
        <v>953</v>
      </c>
      <c r="B642" s="5" t="s">
        <v>5419</v>
      </c>
      <c r="C642" s="6" t="s">
        <v>291</v>
      </c>
      <c r="D642" s="5" t="s">
        <v>5420</v>
      </c>
      <c r="E642" s="5" t="s">
        <v>48</v>
      </c>
      <c r="F642" s="6" t="s">
        <v>5421</v>
      </c>
      <c r="G642" s="6" t="s">
        <v>5422</v>
      </c>
      <c r="H642" s="8">
        <v>0</v>
      </c>
      <c r="I642" s="8">
        <v>-1</v>
      </c>
      <c r="J642" s="6" t="s">
        <v>259</v>
      </c>
      <c r="K642" s="6" t="s">
        <v>5423</v>
      </c>
      <c r="L642" s="8">
        <v>-0.26</v>
      </c>
      <c r="M642" s="6" t="s">
        <v>4020</v>
      </c>
      <c r="N642" s="8">
        <v>-0.26</v>
      </c>
      <c r="O642" s="6" t="s">
        <v>4710</v>
      </c>
      <c r="P642" s="6" t="s">
        <v>5424</v>
      </c>
      <c r="Q642" s="6" t="s">
        <v>217</v>
      </c>
      <c r="R642" s="6">
        <v>88</v>
      </c>
      <c r="S642" s="6">
        <v>3</v>
      </c>
      <c r="T642" s="6">
        <v>88</v>
      </c>
      <c r="U642" s="8">
        <v>-0.84</v>
      </c>
      <c r="V642" s="6"/>
      <c r="W642" s="6"/>
      <c r="X642" s="6"/>
      <c r="Y642" s="6"/>
      <c r="Z642" s="6"/>
      <c r="AA642" s="6"/>
      <c r="AB642" s="6"/>
      <c r="AC642" s="6"/>
      <c r="AD642" s="7"/>
    </row>
    <row r="643" spans="1:30" ht="15.6" x14ac:dyDescent="0.3">
      <c r="A643" s="4">
        <v>954</v>
      </c>
      <c r="B643" s="5" t="s">
        <v>5425</v>
      </c>
      <c r="C643" s="6" t="s">
        <v>1408</v>
      </c>
      <c r="D643" s="5" t="s">
        <v>5426</v>
      </c>
      <c r="E643" s="5" t="s">
        <v>33</v>
      </c>
      <c r="F643" s="6" t="s">
        <v>5427</v>
      </c>
      <c r="G643" s="6" t="s">
        <v>5428</v>
      </c>
      <c r="H643" s="8">
        <v>0</v>
      </c>
      <c r="I643" s="8">
        <v>-0.94</v>
      </c>
      <c r="J643" s="6" t="s">
        <v>225</v>
      </c>
      <c r="K643" s="6" t="s">
        <v>5429</v>
      </c>
      <c r="L643" s="6">
        <f>40%</f>
        <v>0.4</v>
      </c>
      <c r="M643" s="6" t="s">
        <v>5430</v>
      </c>
      <c r="N643" s="6">
        <f>40%</f>
        <v>0.4</v>
      </c>
      <c r="O643" s="6" t="s">
        <v>1594</v>
      </c>
      <c r="P643" s="6" t="s">
        <v>5431</v>
      </c>
      <c r="Q643" s="6" t="s">
        <v>217</v>
      </c>
      <c r="R643" s="6">
        <v>133</v>
      </c>
      <c r="S643" s="6">
        <v>0</v>
      </c>
      <c r="T643" s="6" t="s">
        <v>204</v>
      </c>
      <c r="U643" s="6">
        <f>3.7%</f>
        <v>3.7000000000000005E-2</v>
      </c>
      <c r="V643" s="6"/>
      <c r="W643" s="6"/>
      <c r="X643" s="6"/>
      <c r="Y643" s="6"/>
      <c r="Z643" s="6"/>
      <c r="AA643" s="6"/>
      <c r="AB643" s="6"/>
      <c r="AC643" s="6"/>
      <c r="AD643" s="7"/>
    </row>
    <row r="644" spans="1:30" ht="15.6" x14ac:dyDescent="0.3">
      <c r="A644" s="4">
        <v>955</v>
      </c>
      <c r="B644" s="5" t="s">
        <v>5432</v>
      </c>
      <c r="C644" s="6" t="s">
        <v>173</v>
      </c>
      <c r="D644" s="5" t="s">
        <v>5433</v>
      </c>
      <c r="E644" s="5" t="s">
        <v>48</v>
      </c>
      <c r="F644" s="6" t="s">
        <v>5434</v>
      </c>
      <c r="G644" s="6" t="s">
        <v>5435</v>
      </c>
      <c r="H644" s="8">
        <v>0</v>
      </c>
      <c r="I644" s="6">
        <f>390%</f>
        <v>3.9</v>
      </c>
      <c r="J644" s="6" t="s">
        <v>1071</v>
      </c>
      <c r="K644" s="6" t="s">
        <v>5436</v>
      </c>
      <c r="L644" s="8">
        <v>-0.83</v>
      </c>
      <c r="M644" s="6" t="s">
        <v>5437</v>
      </c>
      <c r="N644" s="6" t="s">
        <v>9262</v>
      </c>
      <c r="O644" s="6" t="s">
        <v>5438</v>
      </c>
      <c r="P644" s="6" t="s">
        <v>5439</v>
      </c>
      <c r="Q644" s="6" t="s">
        <v>217</v>
      </c>
      <c r="R644" s="6" t="s">
        <v>5440</v>
      </c>
      <c r="S644" s="6">
        <v>4</v>
      </c>
      <c r="T644" s="6">
        <v>791</v>
      </c>
      <c r="U644" s="6">
        <f>440%</f>
        <v>4.4000000000000004</v>
      </c>
      <c r="V644" s="6"/>
      <c r="W644" s="6"/>
      <c r="X644" s="6"/>
      <c r="Y644" s="6"/>
      <c r="Z644" s="6"/>
      <c r="AA644" s="6"/>
      <c r="AB644" s="6"/>
      <c r="AC644" s="6"/>
      <c r="AD644" s="7"/>
    </row>
    <row r="645" spans="1:30" ht="15.6" x14ac:dyDescent="0.3">
      <c r="A645" s="4">
        <v>956</v>
      </c>
      <c r="B645" s="5" t="s">
        <v>5441</v>
      </c>
      <c r="C645" s="6" t="s">
        <v>148</v>
      </c>
      <c r="D645" s="5" t="s">
        <v>5442</v>
      </c>
      <c r="E645" s="5" t="s">
        <v>48</v>
      </c>
      <c r="F645" s="6" t="s">
        <v>5443</v>
      </c>
      <c r="G645" s="6" t="s">
        <v>5444</v>
      </c>
      <c r="H645" s="8">
        <v>0</v>
      </c>
      <c r="I645" s="6" t="s">
        <v>710</v>
      </c>
      <c r="J645" s="6" t="s">
        <v>1600</v>
      </c>
      <c r="K645" s="6" t="s">
        <v>3578</v>
      </c>
      <c r="L645" s="6" t="s">
        <v>217</v>
      </c>
      <c r="M645" s="6" t="s">
        <v>3579</v>
      </c>
      <c r="N645" s="6" t="s">
        <v>4096</v>
      </c>
      <c r="O645" s="6" t="s">
        <v>3481</v>
      </c>
      <c r="P645" s="6" t="s">
        <v>217</v>
      </c>
      <c r="Q645" s="6" t="s">
        <v>217</v>
      </c>
      <c r="R645" s="6">
        <v>36</v>
      </c>
      <c r="S645" s="6">
        <v>0</v>
      </c>
      <c r="T645" s="6">
        <v>111</v>
      </c>
      <c r="U645" s="6" t="s">
        <v>217</v>
      </c>
      <c r="V645" s="6"/>
      <c r="W645" s="6"/>
      <c r="X645" s="6"/>
      <c r="Y645" s="6"/>
      <c r="Z645" s="6"/>
      <c r="AA645" s="6"/>
      <c r="AB645" s="6"/>
      <c r="AC645" s="6"/>
      <c r="AD645" s="7"/>
    </row>
    <row r="646" spans="1:30" ht="15.6" x14ac:dyDescent="0.3">
      <c r="A646" s="4">
        <v>957</v>
      </c>
      <c r="B646" s="5" t="s">
        <v>5445</v>
      </c>
      <c r="C646" s="6" t="s">
        <v>267</v>
      </c>
      <c r="D646" s="5" t="s">
        <v>5446</v>
      </c>
      <c r="E646" s="5" t="s">
        <v>48</v>
      </c>
      <c r="F646" s="6" t="s">
        <v>5447</v>
      </c>
      <c r="G646" s="6" t="s">
        <v>5448</v>
      </c>
      <c r="H646" s="8">
        <v>0</v>
      </c>
      <c r="I646" s="8">
        <v>-0.95</v>
      </c>
      <c r="J646" s="6" t="s">
        <v>984</v>
      </c>
      <c r="K646" s="6" t="s">
        <v>5449</v>
      </c>
      <c r="L646" s="8">
        <v>-0.17</v>
      </c>
      <c r="M646" s="6" t="s">
        <v>5450</v>
      </c>
      <c r="N646" s="8">
        <v>-0.17</v>
      </c>
      <c r="O646" s="6" t="s">
        <v>3056</v>
      </c>
      <c r="P646" s="6" t="s">
        <v>5451</v>
      </c>
      <c r="Q646" s="6" t="s">
        <v>217</v>
      </c>
      <c r="R646" s="6">
        <v>96</v>
      </c>
      <c r="S646" s="6">
        <v>0</v>
      </c>
      <c r="T646" s="6">
        <v>300</v>
      </c>
      <c r="U646" s="6">
        <f>1.7%</f>
        <v>1.7000000000000001E-2</v>
      </c>
      <c r="V646" s="6"/>
      <c r="W646" s="6"/>
      <c r="X646" s="6"/>
      <c r="Y646" s="6"/>
      <c r="Z646" s="6"/>
      <c r="AA646" s="6"/>
      <c r="AB646" s="6"/>
      <c r="AC646" s="6"/>
      <c r="AD646" s="7"/>
    </row>
    <row r="647" spans="1:30" ht="15.6" x14ac:dyDescent="0.3">
      <c r="A647" s="4">
        <v>958</v>
      </c>
      <c r="B647" s="5" t="s">
        <v>5452</v>
      </c>
      <c r="C647" s="6" t="s">
        <v>72</v>
      </c>
      <c r="D647" s="5" t="s">
        <v>5453</v>
      </c>
      <c r="E647" s="5" t="s">
        <v>33</v>
      </c>
      <c r="F647" s="6" t="s">
        <v>5454</v>
      </c>
      <c r="G647" s="6" t="s">
        <v>5455</v>
      </c>
      <c r="H647" s="8">
        <v>0</v>
      </c>
      <c r="I647" s="8">
        <v>-0.97</v>
      </c>
      <c r="J647" s="6" t="s">
        <v>506</v>
      </c>
      <c r="K647" s="6" t="s">
        <v>2721</v>
      </c>
      <c r="L647" s="8">
        <v>-0.56999999999999995</v>
      </c>
      <c r="M647" s="6" t="s">
        <v>5456</v>
      </c>
      <c r="N647" s="8">
        <v>-0.56999999999999995</v>
      </c>
      <c r="O647" s="6" t="s">
        <v>5457</v>
      </c>
      <c r="P647" s="6" t="s">
        <v>1653</v>
      </c>
      <c r="Q647" s="6" t="s">
        <v>217</v>
      </c>
      <c r="R647" s="6">
        <v>154</v>
      </c>
      <c r="S647" s="6">
        <v>1</v>
      </c>
      <c r="T647" s="6" t="s">
        <v>5458</v>
      </c>
      <c r="U647" s="6">
        <f>140%</f>
        <v>1.4</v>
      </c>
      <c r="V647" s="6"/>
      <c r="W647" s="6"/>
      <c r="X647" s="6"/>
      <c r="Y647" s="6"/>
      <c r="Z647" s="6"/>
      <c r="AA647" s="6"/>
      <c r="AB647" s="6"/>
      <c r="AC647" s="6"/>
      <c r="AD647" s="7"/>
    </row>
    <row r="648" spans="1:30" ht="15.6" x14ac:dyDescent="0.3">
      <c r="A648" s="4">
        <v>959</v>
      </c>
      <c r="B648" s="5" t="s">
        <v>5459</v>
      </c>
      <c r="C648" s="6" t="s">
        <v>173</v>
      </c>
      <c r="D648" s="5" t="s">
        <v>5460</v>
      </c>
      <c r="E648" s="5" t="s">
        <v>33</v>
      </c>
      <c r="F648" s="6" t="s">
        <v>5461</v>
      </c>
      <c r="G648" s="6" t="s">
        <v>5462</v>
      </c>
      <c r="H648" s="8">
        <v>0</v>
      </c>
      <c r="I648" s="8">
        <v>-1</v>
      </c>
      <c r="J648" s="6" t="s">
        <v>798</v>
      </c>
      <c r="K648" s="6" t="s">
        <v>5463</v>
      </c>
      <c r="L648" s="8">
        <v>-0.95</v>
      </c>
      <c r="M648" s="6" t="s">
        <v>5464</v>
      </c>
      <c r="N648" s="8">
        <v>-0.95</v>
      </c>
      <c r="O648" s="6" t="s">
        <v>2769</v>
      </c>
      <c r="P648" s="11">
        <v>45842</v>
      </c>
      <c r="Q648" s="6" t="s">
        <v>217</v>
      </c>
      <c r="R648" s="6">
        <v>69</v>
      </c>
      <c r="S648" s="6">
        <v>1</v>
      </c>
      <c r="T648" s="6" t="s">
        <v>5465</v>
      </c>
      <c r="U648" s="6" t="s">
        <v>9262</v>
      </c>
      <c r="V648" s="6"/>
      <c r="W648" s="6"/>
      <c r="X648" s="6"/>
      <c r="Y648" s="6"/>
      <c r="Z648" s="6"/>
      <c r="AA648" s="6"/>
      <c r="AB648" s="6"/>
      <c r="AC648" s="6"/>
      <c r="AD648" s="7"/>
    </row>
    <row r="649" spans="1:30" ht="15.6" x14ac:dyDescent="0.3">
      <c r="A649" s="4">
        <v>960</v>
      </c>
      <c r="B649" s="5" t="s">
        <v>5466</v>
      </c>
      <c r="C649" s="6" t="s">
        <v>304</v>
      </c>
      <c r="D649" s="5" t="s">
        <v>5467</v>
      </c>
      <c r="E649" s="5" t="s">
        <v>48</v>
      </c>
      <c r="F649" s="6" t="s">
        <v>5468</v>
      </c>
      <c r="G649" s="6" t="s">
        <v>5469</v>
      </c>
      <c r="H649" s="8">
        <v>0</v>
      </c>
      <c r="I649" s="8">
        <v>-0.74</v>
      </c>
      <c r="J649" s="6" t="s">
        <v>1609</v>
      </c>
      <c r="K649" s="6" t="s">
        <v>5470</v>
      </c>
      <c r="L649" s="6">
        <f>140%</f>
        <v>1.4</v>
      </c>
      <c r="M649" s="6" t="s">
        <v>5471</v>
      </c>
      <c r="N649" s="6" t="s">
        <v>9262</v>
      </c>
      <c r="O649" s="6" t="s">
        <v>3072</v>
      </c>
      <c r="P649" s="6" t="s">
        <v>5472</v>
      </c>
      <c r="Q649" s="6" t="s">
        <v>217</v>
      </c>
      <c r="R649" s="6">
        <v>344</v>
      </c>
      <c r="S649" s="6">
        <v>1</v>
      </c>
      <c r="T649" s="6">
        <v>900</v>
      </c>
      <c r="U649" s="6" t="s">
        <v>9262</v>
      </c>
      <c r="V649" s="6"/>
      <c r="W649" s="6"/>
      <c r="X649" s="6"/>
      <c r="Y649" s="6"/>
      <c r="Z649" s="6"/>
      <c r="AA649" s="6"/>
      <c r="AB649" s="6"/>
      <c r="AC649" s="6"/>
      <c r="AD649" s="7"/>
    </row>
    <row r="650" spans="1:30" ht="15.6" x14ac:dyDescent="0.3">
      <c r="A650" s="4">
        <v>961</v>
      </c>
      <c r="B650" s="5" t="s">
        <v>5473</v>
      </c>
      <c r="C650" s="6" t="s">
        <v>291</v>
      </c>
      <c r="D650" s="5" t="s">
        <v>5474</v>
      </c>
      <c r="E650" s="5" t="s">
        <v>48</v>
      </c>
      <c r="F650" s="6" t="s">
        <v>5475</v>
      </c>
      <c r="G650" s="6" t="s">
        <v>5476</v>
      </c>
      <c r="H650" s="8">
        <v>0</v>
      </c>
      <c r="I650" s="6" t="s">
        <v>1818</v>
      </c>
      <c r="J650" s="6" t="s">
        <v>596</v>
      </c>
      <c r="K650" s="6" t="s">
        <v>5477</v>
      </c>
      <c r="L650" s="6">
        <f>210%</f>
        <v>2.1</v>
      </c>
      <c r="M650" s="6" t="s">
        <v>5478</v>
      </c>
      <c r="N650" s="6">
        <f>210%</f>
        <v>2.1</v>
      </c>
      <c r="O650" s="6" t="s">
        <v>4528</v>
      </c>
      <c r="P650" s="6" t="s">
        <v>5479</v>
      </c>
      <c r="Q650" s="6" t="s">
        <v>217</v>
      </c>
      <c r="R650" s="6">
        <v>209</v>
      </c>
      <c r="S650" s="6">
        <v>2</v>
      </c>
      <c r="T650" s="6">
        <v>192</v>
      </c>
      <c r="U650" s="6" t="s">
        <v>9262</v>
      </c>
      <c r="V650" s="6"/>
      <c r="W650" s="6"/>
      <c r="X650" s="6"/>
      <c r="Y650" s="6"/>
      <c r="Z650" s="6"/>
      <c r="AA650" s="6"/>
      <c r="AB650" s="6"/>
      <c r="AC650" s="6"/>
      <c r="AD650" s="7"/>
    </row>
    <row r="651" spans="1:30" ht="15.6" x14ac:dyDescent="0.3">
      <c r="A651" s="4">
        <v>962</v>
      </c>
      <c r="B651" s="5" t="s">
        <v>5480</v>
      </c>
      <c r="C651" s="6" t="s">
        <v>1013</v>
      </c>
      <c r="D651" s="5" t="s">
        <v>5481</v>
      </c>
      <c r="E651" s="5" t="s">
        <v>48</v>
      </c>
      <c r="F651" s="6" t="s">
        <v>5482</v>
      </c>
      <c r="G651" s="6" t="s">
        <v>5483</v>
      </c>
      <c r="H651" s="8">
        <v>0</v>
      </c>
      <c r="I651" s="8">
        <v>-0.96</v>
      </c>
      <c r="J651" s="6" t="s">
        <v>647</v>
      </c>
      <c r="K651" s="6" t="s">
        <v>5484</v>
      </c>
      <c r="L651" s="8">
        <v>-0.6</v>
      </c>
      <c r="M651" s="6" t="s">
        <v>5485</v>
      </c>
      <c r="N651" s="8">
        <v>-0.6</v>
      </c>
      <c r="O651" s="6" t="s">
        <v>5486</v>
      </c>
      <c r="P651" s="6" t="s">
        <v>5487</v>
      </c>
      <c r="Q651" s="6" t="s">
        <v>217</v>
      </c>
      <c r="R651" s="6">
        <v>87</v>
      </c>
      <c r="S651" s="6">
        <v>1</v>
      </c>
      <c r="T651" s="6">
        <v>226</v>
      </c>
      <c r="U651" s="6" t="s">
        <v>9262</v>
      </c>
      <c r="V651" s="6"/>
      <c r="W651" s="6"/>
      <c r="X651" s="6"/>
      <c r="Y651" s="6"/>
      <c r="Z651" s="6"/>
      <c r="AA651" s="6"/>
      <c r="AB651" s="6"/>
      <c r="AC651" s="6"/>
      <c r="AD651" s="7"/>
    </row>
    <row r="652" spans="1:30" ht="15.6" x14ac:dyDescent="0.3">
      <c r="A652" s="4">
        <v>963</v>
      </c>
      <c r="B652" s="5" t="s">
        <v>5488</v>
      </c>
      <c r="C652" s="6" t="s">
        <v>114</v>
      </c>
      <c r="D652" s="5" t="s">
        <v>5489</v>
      </c>
      <c r="E652" s="5" t="s">
        <v>33</v>
      </c>
      <c r="F652" s="6" t="s">
        <v>5490</v>
      </c>
      <c r="G652" s="6" t="s">
        <v>5491</v>
      </c>
      <c r="H652" s="8">
        <v>0</v>
      </c>
      <c r="I652" s="6">
        <f>130%</f>
        <v>1.3</v>
      </c>
      <c r="J652" s="6" t="s">
        <v>2517</v>
      </c>
      <c r="K652" s="6" t="s">
        <v>5492</v>
      </c>
      <c r="L652" s="8">
        <v>-0.45</v>
      </c>
      <c r="M652" s="6" t="s">
        <v>5493</v>
      </c>
      <c r="N652" s="8">
        <v>-0.45</v>
      </c>
      <c r="O652" s="6" t="s">
        <v>5494</v>
      </c>
      <c r="P652" s="6" t="s">
        <v>5495</v>
      </c>
      <c r="Q652" s="6" t="s">
        <v>217</v>
      </c>
      <c r="R652" s="6">
        <v>127</v>
      </c>
      <c r="S652" s="6">
        <v>2</v>
      </c>
      <c r="T652" s="6" t="s">
        <v>5393</v>
      </c>
      <c r="U652" s="6">
        <f>66%</f>
        <v>0.66</v>
      </c>
      <c r="V652" s="6"/>
      <c r="W652" s="6"/>
      <c r="X652" s="6"/>
      <c r="Y652" s="6"/>
      <c r="Z652" s="6"/>
      <c r="AA652" s="6"/>
      <c r="AB652" s="6"/>
      <c r="AC652" s="6"/>
      <c r="AD652" s="7"/>
    </row>
    <row r="653" spans="1:30" ht="15.6" x14ac:dyDescent="0.3">
      <c r="A653" s="4">
        <v>965</v>
      </c>
      <c r="B653" s="5" t="s">
        <v>5496</v>
      </c>
      <c r="C653" s="6" t="s">
        <v>85</v>
      </c>
      <c r="D653" s="5" t="s">
        <v>5497</v>
      </c>
      <c r="E653" s="5" t="s">
        <v>33</v>
      </c>
      <c r="F653" s="6" t="s">
        <v>5498</v>
      </c>
      <c r="G653" s="6" t="s">
        <v>5499</v>
      </c>
      <c r="H653" s="8">
        <v>0</v>
      </c>
      <c r="I653" s="6" t="s">
        <v>217</v>
      </c>
      <c r="J653" s="6" t="s">
        <v>250</v>
      </c>
      <c r="K653" s="6" t="s">
        <v>285</v>
      </c>
      <c r="L653" s="8">
        <v>-0.31</v>
      </c>
      <c r="M653" s="6" t="s">
        <v>5500</v>
      </c>
      <c r="N653" s="8">
        <v>-0.31</v>
      </c>
      <c r="O653" s="6" t="s">
        <v>5501</v>
      </c>
      <c r="P653" s="6" t="s">
        <v>217</v>
      </c>
      <c r="Q653" s="6" t="s">
        <v>217</v>
      </c>
      <c r="R653" s="6">
        <v>3</v>
      </c>
      <c r="S653" s="6">
        <v>0</v>
      </c>
      <c r="T653" s="6">
        <v>123</v>
      </c>
      <c r="U653" s="6" t="s">
        <v>217</v>
      </c>
      <c r="V653" s="6"/>
      <c r="W653" s="6"/>
      <c r="X653" s="6"/>
      <c r="Y653" s="6"/>
      <c r="Z653" s="6"/>
      <c r="AA653" s="6"/>
      <c r="AB653" s="6"/>
      <c r="AC653" s="6"/>
      <c r="AD653" s="7"/>
    </row>
    <row r="654" spans="1:30" ht="15.6" x14ac:dyDescent="0.3">
      <c r="A654" s="4">
        <v>966</v>
      </c>
      <c r="B654" s="5" t="s">
        <v>5502</v>
      </c>
      <c r="C654" s="6" t="s">
        <v>126</v>
      </c>
      <c r="D654" s="5" t="s">
        <v>5503</v>
      </c>
      <c r="E654" s="5" t="s">
        <v>33</v>
      </c>
      <c r="F654" s="6" t="s">
        <v>5504</v>
      </c>
      <c r="G654" s="6" t="s">
        <v>5505</v>
      </c>
      <c r="H654" s="8">
        <v>0</v>
      </c>
      <c r="I654" s="8">
        <v>-1</v>
      </c>
      <c r="J654" s="6" t="s">
        <v>2713</v>
      </c>
      <c r="K654" s="6" t="s">
        <v>5506</v>
      </c>
      <c r="L654" s="6" t="s">
        <v>3167</v>
      </c>
      <c r="M654" s="6" t="s">
        <v>5507</v>
      </c>
      <c r="N654" s="6" t="s">
        <v>9262</v>
      </c>
      <c r="O654" s="6" t="s">
        <v>5508</v>
      </c>
      <c r="P654" s="6" t="s">
        <v>5509</v>
      </c>
      <c r="Q654" s="6" t="s">
        <v>217</v>
      </c>
      <c r="R654" s="6">
        <v>32</v>
      </c>
      <c r="S654" s="6">
        <v>0</v>
      </c>
      <c r="T654" s="6" t="s">
        <v>5510</v>
      </c>
      <c r="U654" s="6" t="s">
        <v>9262</v>
      </c>
      <c r="V654" s="6"/>
      <c r="W654" s="6"/>
      <c r="X654" s="6"/>
      <c r="Y654" s="6"/>
      <c r="Z654" s="6"/>
      <c r="AA654" s="6"/>
      <c r="AB654" s="6"/>
      <c r="AC654" s="6"/>
      <c r="AD654" s="7"/>
    </row>
    <row r="655" spans="1:30" ht="15.6" x14ac:dyDescent="0.3">
      <c r="A655" s="4">
        <v>967</v>
      </c>
      <c r="B655" s="5" t="s">
        <v>5511</v>
      </c>
      <c r="C655" s="6" t="s">
        <v>1244</v>
      </c>
      <c r="D655" s="5" t="s">
        <v>5512</v>
      </c>
      <c r="E655" s="5" t="s">
        <v>48</v>
      </c>
      <c r="F655" s="6" t="s">
        <v>5513</v>
      </c>
      <c r="G655" s="6" t="s">
        <v>5514</v>
      </c>
      <c r="H655" s="8">
        <v>0</v>
      </c>
      <c r="I655" s="8">
        <v>-1</v>
      </c>
      <c r="J655" s="6" t="s">
        <v>107</v>
      </c>
      <c r="K655" s="6" t="s">
        <v>5515</v>
      </c>
      <c r="L655" s="8">
        <v>-0.94</v>
      </c>
      <c r="M655" s="6" t="s">
        <v>4111</v>
      </c>
      <c r="N655" s="8">
        <v>-0.94</v>
      </c>
      <c r="O655" s="6" t="s">
        <v>4111</v>
      </c>
      <c r="P655" s="6" t="s">
        <v>5516</v>
      </c>
      <c r="Q655" s="6" t="s">
        <v>217</v>
      </c>
      <c r="R655" s="6">
        <v>29</v>
      </c>
      <c r="S655" s="6">
        <v>0</v>
      </c>
      <c r="T655" s="6">
        <v>58</v>
      </c>
      <c r="U655" s="6" t="s">
        <v>9262</v>
      </c>
      <c r="V655" s="6"/>
      <c r="W655" s="6"/>
      <c r="X655" s="6"/>
      <c r="Y655" s="6"/>
      <c r="Z655" s="6"/>
      <c r="AA655" s="6"/>
      <c r="AB655" s="6"/>
      <c r="AC655" s="6"/>
      <c r="AD655" s="7"/>
    </row>
    <row r="656" spans="1:30" ht="15.6" x14ac:dyDescent="0.3">
      <c r="A656" s="4">
        <v>968</v>
      </c>
      <c r="B656" s="5" t="s">
        <v>5517</v>
      </c>
      <c r="C656" s="6" t="s">
        <v>60</v>
      </c>
      <c r="D656" s="5" t="s">
        <v>5518</v>
      </c>
      <c r="E656" s="5" t="s">
        <v>48</v>
      </c>
      <c r="F656" s="6" t="s">
        <v>2035</v>
      </c>
      <c r="G656" s="6" t="s">
        <v>5519</v>
      </c>
      <c r="H656" s="8">
        <v>0</v>
      </c>
      <c r="I656" s="8">
        <v>-0.98</v>
      </c>
      <c r="J656" s="6" t="s">
        <v>647</v>
      </c>
      <c r="K656" s="6" t="s">
        <v>3813</v>
      </c>
      <c r="L656" s="8">
        <v>-0.83</v>
      </c>
      <c r="M656" s="6" t="s">
        <v>1311</v>
      </c>
      <c r="N656" s="8">
        <v>-0.83</v>
      </c>
      <c r="O656" s="6" t="s">
        <v>5520</v>
      </c>
      <c r="P656" s="6" t="s">
        <v>5521</v>
      </c>
      <c r="Q656" s="6" t="s">
        <v>217</v>
      </c>
      <c r="R656" s="6">
        <v>75</v>
      </c>
      <c r="S656" s="6">
        <v>0</v>
      </c>
      <c r="T656" s="6">
        <v>112</v>
      </c>
      <c r="U656" s="6" t="s">
        <v>9262</v>
      </c>
      <c r="V656" s="6"/>
      <c r="W656" s="6"/>
      <c r="X656" s="6"/>
      <c r="Y656" s="6"/>
      <c r="Z656" s="6"/>
      <c r="AA656" s="6"/>
      <c r="AB656" s="6"/>
      <c r="AC656" s="6"/>
      <c r="AD656" s="7"/>
    </row>
    <row r="657" spans="1:30" ht="15.6" x14ac:dyDescent="0.3">
      <c r="A657" s="4">
        <v>969</v>
      </c>
      <c r="B657" s="5" t="s">
        <v>5522</v>
      </c>
      <c r="C657" s="6" t="s">
        <v>406</v>
      </c>
      <c r="D657" s="5" t="s">
        <v>5523</v>
      </c>
      <c r="E657" s="5" t="s">
        <v>33</v>
      </c>
      <c r="F657" s="6" t="s">
        <v>5524</v>
      </c>
      <c r="G657" s="6" t="s">
        <v>5525</v>
      </c>
      <c r="H657" s="8">
        <v>0</v>
      </c>
      <c r="I657" s="8">
        <v>-0.91</v>
      </c>
      <c r="J657" s="6" t="s">
        <v>354</v>
      </c>
      <c r="K657" s="6" t="s">
        <v>1102</v>
      </c>
      <c r="L657" s="8">
        <v>-0.66</v>
      </c>
      <c r="M657" s="6" t="s">
        <v>5526</v>
      </c>
      <c r="N657" s="8">
        <v>-0.66</v>
      </c>
      <c r="O657" s="6" t="s">
        <v>5527</v>
      </c>
      <c r="P657" s="6" t="s">
        <v>5528</v>
      </c>
      <c r="Q657" s="6" t="s">
        <v>217</v>
      </c>
      <c r="R657" s="6" t="s">
        <v>5529</v>
      </c>
      <c r="S657" s="6">
        <v>216</v>
      </c>
      <c r="T657" s="6">
        <v>291</v>
      </c>
      <c r="U657" s="6" t="s">
        <v>9262</v>
      </c>
      <c r="V657" s="6"/>
      <c r="W657" s="6"/>
      <c r="X657" s="6"/>
      <c r="Y657" s="6"/>
      <c r="Z657" s="6"/>
      <c r="AA657" s="6"/>
      <c r="AB657" s="6"/>
      <c r="AC657" s="6"/>
      <c r="AD657" s="7"/>
    </row>
    <row r="658" spans="1:30" ht="15.6" x14ac:dyDescent="0.3">
      <c r="A658" s="4">
        <v>970</v>
      </c>
      <c r="B658" s="5" t="s">
        <v>5530</v>
      </c>
      <c r="C658" s="6" t="s">
        <v>185</v>
      </c>
      <c r="D658" s="5" t="s">
        <v>5531</v>
      </c>
      <c r="E658" s="5" t="s">
        <v>48</v>
      </c>
      <c r="F658" s="6" t="s">
        <v>5532</v>
      </c>
      <c r="G658" s="6" t="s">
        <v>5533</v>
      </c>
      <c r="H658" s="8">
        <v>0</v>
      </c>
      <c r="I658" s="6" t="s">
        <v>217</v>
      </c>
      <c r="J658" s="6" t="s">
        <v>596</v>
      </c>
      <c r="K658" s="6" t="s">
        <v>1965</v>
      </c>
      <c r="L658" s="8">
        <v>-0.21</v>
      </c>
      <c r="M658" s="6" t="s">
        <v>5534</v>
      </c>
      <c r="N658" s="8">
        <v>-0.21</v>
      </c>
      <c r="O658" s="6" t="s">
        <v>5535</v>
      </c>
      <c r="P658" s="6" t="s">
        <v>5536</v>
      </c>
      <c r="Q658" s="6" t="s">
        <v>217</v>
      </c>
      <c r="R658" s="6">
        <v>475</v>
      </c>
      <c r="S658" s="6">
        <v>3</v>
      </c>
      <c r="T658" s="6">
        <v>680</v>
      </c>
      <c r="U658" s="6" t="s">
        <v>9262</v>
      </c>
      <c r="V658" s="6"/>
      <c r="W658" s="6"/>
      <c r="X658" s="6"/>
      <c r="Y658" s="6"/>
      <c r="Z658" s="6"/>
      <c r="AA658" s="6"/>
      <c r="AB658" s="6"/>
      <c r="AC658" s="6"/>
      <c r="AD658" s="7"/>
    </row>
    <row r="659" spans="1:30" ht="15.6" x14ac:dyDescent="0.3">
      <c r="A659" s="4">
        <v>971</v>
      </c>
      <c r="B659" s="5" t="s">
        <v>5537</v>
      </c>
      <c r="C659" s="6" t="s">
        <v>85</v>
      </c>
      <c r="D659" s="5" t="s">
        <v>5538</v>
      </c>
      <c r="E659" s="5" t="s">
        <v>48</v>
      </c>
      <c r="F659" s="6" t="s">
        <v>5539</v>
      </c>
      <c r="G659" s="6" t="s">
        <v>5540</v>
      </c>
      <c r="H659" s="8">
        <v>0</v>
      </c>
      <c r="I659" s="6" t="s">
        <v>877</v>
      </c>
      <c r="J659" s="6" t="s">
        <v>2713</v>
      </c>
      <c r="K659" s="6" t="s">
        <v>5541</v>
      </c>
      <c r="L659" s="8">
        <v>-0.3</v>
      </c>
      <c r="M659" s="6" t="s">
        <v>5542</v>
      </c>
      <c r="N659" s="8">
        <v>-0.32</v>
      </c>
      <c r="O659" s="6" t="s">
        <v>1142</v>
      </c>
      <c r="P659" s="6" t="s">
        <v>5543</v>
      </c>
      <c r="Q659" s="8">
        <v>-0.22</v>
      </c>
      <c r="R659" s="6" t="s">
        <v>5544</v>
      </c>
      <c r="S659" s="6">
        <v>8</v>
      </c>
      <c r="T659" s="6" t="s">
        <v>2691</v>
      </c>
      <c r="U659" s="8">
        <v>-0.52</v>
      </c>
      <c r="V659" s="6"/>
      <c r="W659" s="6"/>
      <c r="X659" s="6"/>
      <c r="Y659" s="6"/>
      <c r="Z659" s="6"/>
      <c r="AA659" s="6"/>
      <c r="AB659" s="6"/>
      <c r="AC659" s="6"/>
      <c r="AD659" s="7"/>
    </row>
    <row r="660" spans="1:30" ht="15.6" x14ac:dyDescent="0.3">
      <c r="A660" s="4">
        <v>972</v>
      </c>
      <c r="B660" s="5" t="s">
        <v>5545</v>
      </c>
      <c r="C660" s="6" t="s">
        <v>173</v>
      </c>
      <c r="D660" s="5" t="s">
        <v>5546</v>
      </c>
      <c r="E660" s="6"/>
      <c r="F660" s="6" t="s">
        <v>5547</v>
      </c>
      <c r="G660" s="6" t="s">
        <v>5548</v>
      </c>
      <c r="H660" s="8">
        <v>0</v>
      </c>
      <c r="I660" s="8">
        <v>-0.21</v>
      </c>
      <c r="J660" s="6" t="s">
        <v>189</v>
      </c>
      <c r="K660" s="6" t="s">
        <v>799</v>
      </c>
      <c r="L660" s="6" t="s">
        <v>217</v>
      </c>
      <c r="M660" s="6" t="s">
        <v>800</v>
      </c>
      <c r="N660" s="6" t="s">
        <v>217</v>
      </c>
      <c r="O660" s="6" t="s">
        <v>800</v>
      </c>
      <c r="P660" s="6" t="s">
        <v>217</v>
      </c>
      <c r="Q660" s="6" t="s">
        <v>217</v>
      </c>
      <c r="R660" s="6">
        <v>683</v>
      </c>
      <c r="S660" s="6">
        <v>2</v>
      </c>
      <c r="T660" s="6" t="s">
        <v>217</v>
      </c>
      <c r="U660" s="6" t="s">
        <v>217</v>
      </c>
      <c r="V660" s="6"/>
      <c r="W660" s="6"/>
      <c r="X660" s="6"/>
      <c r="Y660" s="6"/>
      <c r="Z660" s="6"/>
      <c r="AA660" s="6"/>
      <c r="AB660" s="6"/>
      <c r="AC660" s="6"/>
      <c r="AD660" s="7"/>
    </row>
    <row r="661" spans="1:30" ht="15.6" x14ac:dyDescent="0.3">
      <c r="A661" s="4">
        <v>973</v>
      </c>
      <c r="B661" s="5" t="s">
        <v>5549</v>
      </c>
      <c r="C661" s="6" t="s">
        <v>60</v>
      </c>
      <c r="D661" s="5" t="s">
        <v>5550</v>
      </c>
      <c r="E661" s="5" t="s">
        <v>48</v>
      </c>
      <c r="F661" s="6" t="s">
        <v>5551</v>
      </c>
      <c r="G661" s="6" t="s">
        <v>5552</v>
      </c>
      <c r="H661" s="8">
        <v>0</v>
      </c>
      <c r="I661" s="6" t="s">
        <v>877</v>
      </c>
      <c r="J661" s="6" t="s">
        <v>1443</v>
      </c>
      <c r="K661" s="6" t="s">
        <v>5553</v>
      </c>
      <c r="L661" s="8">
        <v>-0.7</v>
      </c>
      <c r="M661" s="6" t="s">
        <v>5554</v>
      </c>
      <c r="N661" s="8">
        <v>-0.7</v>
      </c>
      <c r="O661" s="6" t="s">
        <v>5555</v>
      </c>
      <c r="P661" s="6" t="s">
        <v>5556</v>
      </c>
      <c r="Q661" s="8">
        <v>-0.6</v>
      </c>
      <c r="R661" s="6" t="s">
        <v>5557</v>
      </c>
      <c r="S661" s="6">
        <v>7</v>
      </c>
      <c r="T661" s="6">
        <v>611</v>
      </c>
      <c r="U661" s="8">
        <v>-0.69</v>
      </c>
      <c r="V661" s="6"/>
      <c r="W661" s="6"/>
      <c r="X661" s="6"/>
      <c r="Y661" s="6"/>
      <c r="Z661" s="6"/>
      <c r="AA661" s="6"/>
      <c r="AB661" s="6"/>
      <c r="AC661" s="6"/>
      <c r="AD661" s="7"/>
    </row>
    <row r="662" spans="1:30" ht="15.6" x14ac:dyDescent="0.3">
      <c r="A662" s="4">
        <v>974</v>
      </c>
      <c r="B662" s="5" t="s">
        <v>5558</v>
      </c>
      <c r="C662" s="6" t="s">
        <v>46</v>
      </c>
      <c r="D662" s="5" t="s">
        <v>5559</v>
      </c>
      <c r="E662" s="5" t="s">
        <v>48</v>
      </c>
      <c r="F662" s="6" t="s">
        <v>5560</v>
      </c>
      <c r="G662" s="6" t="s">
        <v>5561</v>
      </c>
      <c r="H662" s="8">
        <v>0</v>
      </c>
      <c r="I662" s="8">
        <v>-0.95</v>
      </c>
      <c r="J662" s="6" t="s">
        <v>118</v>
      </c>
      <c r="K662" s="6" t="s">
        <v>5562</v>
      </c>
      <c r="L662" s="8">
        <v>-0.62</v>
      </c>
      <c r="M662" s="6" t="s">
        <v>5563</v>
      </c>
      <c r="N662" s="8">
        <v>-0.62</v>
      </c>
      <c r="O662" s="6" t="s">
        <v>5564</v>
      </c>
      <c r="P662" s="6" t="s">
        <v>5565</v>
      </c>
      <c r="Q662" s="6" t="s">
        <v>217</v>
      </c>
      <c r="R662" s="6">
        <v>724</v>
      </c>
      <c r="S662" s="6">
        <v>5</v>
      </c>
      <c r="T662" s="6">
        <v>800</v>
      </c>
      <c r="U662" s="8">
        <v>-0.88</v>
      </c>
      <c r="V662" s="6"/>
      <c r="W662" s="6"/>
      <c r="X662" s="6"/>
      <c r="Y662" s="6"/>
      <c r="Z662" s="6"/>
      <c r="AA662" s="6"/>
      <c r="AB662" s="6"/>
      <c r="AC662" s="6"/>
      <c r="AD662" s="7"/>
    </row>
    <row r="663" spans="1:30" ht="15.6" x14ac:dyDescent="0.3">
      <c r="A663" s="4">
        <v>975</v>
      </c>
      <c r="B663" s="5" t="s">
        <v>5566</v>
      </c>
      <c r="C663" s="6" t="s">
        <v>126</v>
      </c>
      <c r="D663" s="5" t="s">
        <v>5567</v>
      </c>
      <c r="E663" s="6"/>
      <c r="F663" s="6" t="s">
        <v>5568</v>
      </c>
      <c r="G663" s="6" t="s">
        <v>5569</v>
      </c>
      <c r="H663" s="8">
        <v>0</v>
      </c>
      <c r="I663" s="6"/>
      <c r="J663" s="6" t="s">
        <v>769</v>
      </c>
      <c r="K663" s="6" t="s">
        <v>799</v>
      </c>
      <c r="L663" s="6" t="s">
        <v>217</v>
      </c>
      <c r="M663" s="6" t="s">
        <v>800</v>
      </c>
      <c r="N663" s="6" t="s">
        <v>217</v>
      </c>
      <c r="O663" s="6" t="s">
        <v>800</v>
      </c>
      <c r="P663" s="6" t="s">
        <v>217</v>
      </c>
      <c r="Q663" s="6" t="s">
        <v>217</v>
      </c>
      <c r="R663" s="6" t="s">
        <v>5570</v>
      </c>
      <c r="S663" s="6">
        <v>7</v>
      </c>
      <c r="T663" s="6" t="s">
        <v>217</v>
      </c>
      <c r="U663" s="6" t="s">
        <v>217</v>
      </c>
      <c r="V663" s="6"/>
      <c r="W663" s="6"/>
      <c r="X663" s="6"/>
      <c r="Y663" s="6"/>
      <c r="Z663" s="6"/>
      <c r="AA663" s="6"/>
      <c r="AB663" s="6"/>
      <c r="AC663" s="6"/>
      <c r="AD663" s="7"/>
    </row>
    <row r="664" spans="1:30" ht="15.6" x14ac:dyDescent="0.3">
      <c r="A664" s="4">
        <v>976</v>
      </c>
      <c r="B664" s="5" t="s">
        <v>5571</v>
      </c>
      <c r="C664" s="6" t="s">
        <v>466</v>
      </c>
      <c r="D664" s="5" t="s">
        <v>5572</v>
      </c>
      <c r="E664" s="6"/>
      <c r="F664" s="6" t="s">
        <v>5573</v>
      </c>
      <c r="G664" s="6" t="s">
        <v>5574</v>
      </c>
      <c r="H664" s="8">
        <v>0</v>
      </c>
      <c r="I664" s="8">
        <v>-0.19</v>
      </c>
      <c r="J664" s="6" t="s">
        <v>1649</v>
      </c>
      <c r="K664" s="6" t="s">
        <v>799</v>
      </c>
      <c r="L664" s="6" t="s">
        <v>217</v>
      </c>
      <c r="M664" s="6" t="s">
        <v>800</v>
      </c>
      <c r="N664" s="6" t="s">
        <v>217</v>
      </c>
      <c r="O664" s="6" t="s">
        <v>800</v>
      </c>
      <c r="P664" s="6" t="s">
        <v>217</v>
      </c>
      <c r="Q664" s="6" t="s">
        <v>217</v>
      </c>
      <c r="R664" s="6">
        <v>441</v>
      </c>
      <c r="S664" s="6">
        <v>2</v>
      </c>
      <c r="T664" s="6" t="s">
        <v>217</v>
      </c>
      <c r="U664" s="6" t="s">
        <v>217</v>
      </c>
      <c r="V664" s="6"/>
      <c r="W664" s="6"/>
      <c r="X664" s="6"/>
      <c r="Y664" s="6"/>
      <c r="Z664" s="6"/>
      <c r="AA664" s="6"/>
      <c r="AB664" s="6"/>
      <c r="AC664" s="6"/>
      <c r="AD664" s="7"/>
    </row>
    <row r="665" spans="1:30" ht="15.6" x14ac:dyDescent="0.3">
      <c r="A665" s="4">
        <v>977</v>
      </c>
      <c r="B665" s="5" t="s">
        <v>5575</v>
      </c>
      <c r="C665" s="6" t="s">
        <v>114</v>
      </c>
      <c r="D665" s="5" t="s">
        <v>5576</v>
      </c>
      <c r="E665" s="5" t="s">
        <v>48</v>
      </c>
      <c r="F665" s="6" t="s">
        <v>5577</v>
      </c>
      <c r="G665" s="6" t="s">
        <v>5578</v>
      </c>
      <c r="H665" s="8">
        <v>0</v>
      </c>
      <c r="I665" s="8">
        <v>-0.9</v>
      </c>
      <c r="J665" s="6" t="s">
        <v>1529</v>
      </c>
      <c r="K665" s="6" t="s">
        <v>1789</v>
      </c>
      <c r="L665" s="8">
        <v>-0.47</v>
      </c>
      <c r="M665" s="6" t="s">
        <v>5579</v>
      </c>
      <c r="N665" s="8">
        <v>-0.47</v>
      </c>
      <c r="O665" s="6" t="s">
        <v>5580</v>
      </c>
      <c r="P665" s="6" t="s">
        <v>5581</v>
      </c>
      <c r="Q665" s="6" t="s">
        <v>217</v>
      </c>
      <c r="R665" s="6" t="s">
        <v>5582</v>
      </c>
      <c r="S665" s="6">
        <v>24</v>
      </c>
      <c r="T665" s="6" t="s">
        <v>2151</v>
      </c>
      <c r="U665" s="8">
        <v>-0.46</v>
      </c>
      <c r="V665" s="6"/>
      <c r="W665" s="6"/>
      <c r="X665" s="6"/>
      <c r="Y665" s="6"/>
      <c r="Z665" s="6"/>
      <c r="AA665" s="6"/>
      <c r="AB665" s="6"/>
      <c r="AC665" s="6"/>
      <c r="AD665" s="7"/>
    </row>
    <row r="666" spans="1:30" ht="15.6" x14ac:dyDescent="0.3">
      <c r="A666" s="4">
        <v>978</v>
      </c>
      <c r="B666" s="5" t="s">
        <v>5583</v>
      </c>
      <c r="C666" s="6" t="s">
        <v>46</v>
      </c>
      <c r="D666" s="5" t="s">
        <v>5584</v>
      </c>
      <c r="E666" s="6"/>
      <c r="F666" s="6" t="s">
        <v>5585</v>
      </c>
      <c r="G666" s="6" t="s">
        <v>5586</v>
      </c>
      <c r="H666" s="8">
        <v>0</v>
      </c>
      <c r="I666" s="6" t="s">
        <v>877</v>
      </c>
      <c r="J666" s="6" t="s">
        <v>321</v>
      </c>
      <c r="K666" s="6" t="s">
        <v>799</v>
      </c>
      <c r="L666" s="6" t="s">
        <v>217</v>
      </c>
      <c r="M666" s="6" t="s">
        <v>800</v>
      </c>
      <c r="N666" s="6" t="s">
        <v>217</v>
      </c>
      <c r="O666" s="6" t="s">
        <v>800</v>
      </c>
      <c r="P666" s="6" t="s">
        <v>217</v>
      </c>
      <c r="Q666" s="6" t="s">
        <v>217</v>
      </c>
      <c r="R666" s="6" t="s">
        <v>2116</v>
      </c>
      <c r="S666" s="6">
        <v>15</v>
      </c>
      <c r="T666" s="6" t="s">
        <v>217</v>
      </c>
      <c r="U666" s="6" t="s">
        <v>217</v>
      </c>
      <c r="V666" s="6"/>
      <c r="W666" s="6"/>
      <c r="X666" s="6"/>
      <c r="Y666" s="6"/>
      <c r="Z666" s="6"/>
      <c r="AA666" s="6"/>
      <c r="AB666" s="6"/>
      <c r="AC666" s="6"/>
      <c r="AD666" s="7"/>
    </row>
    <row r="667" spans="1:30" ht="15.6" x14ac:dyDescent="0.3">
      <c r="A667" s="4">
        <v>979</v>
      </c>
      <c r="B667" s="5" t="s">
        <v>5587</v>
      </c>
      <c r="C667" s="6" t="s">
        <v>219</v>
      </c>
      <c r="D667" s="5" t="s">
        <v>5588</v>
      </c>
      <c r="E667" s="5" t="s">
        <v>48</v>
      </c>
      <c r="F667" s="6" t="s">
        <v>5589</v>
      </c>
      <c r="G667" s="6" t="s">
        <v>5590</v>
      </c>
      <c r="H667" s="8">
        <v>0</v>
      </c>
      <c r="I667" s="6" t="s">
        <v>1548</v>
      </c>
      <c r="J667" s="6" t="s">
        <v>596</v>
      </c>
      <c r="K667" s="6" t="s">
        <v>560</v>
      </c>
      <c r="L667" s="8">
        <v>-0.25</v>
      </c>
      <c r="M667" s="6" t="s">
        <v>561</v>
      </c>
      <c r="N667" s="8">
        <v>-0.18</v>
      </c>
      <c r="O667" s="6" t="s">
        <v>5591</v>
      </c>
      <c r="P667" s="6" t="s">
        <v>5592</v>
      </c>
      <c r="Q667" s="6">
        <f>48%</f>
        <v>0.48</v>
      </c>
      <c r="R667" s="6" t="s">
        <v>5593</v>
      </c>
      <c r="S667" s="6">
        <v>29</v>
      </c>
      <c r="T667" s="6" t="s">
        <v>5594</v>
      </c>
      <c r="U667" s="6">
        <f>45%</f>
        <v>0.45</v>
      </c>
      <c r="V667" s="6"/>
      <c r="W667" s="6"/>
      <c r="X667" s="6"/>
      <c r="Y667" s="6"/>
      <c r="Z667" s="6"/>
      <c r="AA667" s="6"/>
      <c r="AB667" s="6"/>
      <c r="AC667" s="6"/>
      <c r="AD667" s="7"/>
    </row>
    <row r="668" spans="1:30" ht="15.6" x14ac:dyDescent="0.3">
      <c r="A668" s="4">
        <v>980</v>
      </c>
      <c r="B668" s="5" t="s">
        <v>5595</v>
      </c>
      <c r="C668" s="6" t="s">
        <v>546</v>
      </c>
      <c r="D668" s="5" t="s">
        <v>5596</v>
      </c>
      <c r="E668" s="6"/>
      <c r="F668" s="6" t="s">
        <v>5597</v>
      </c>
      <c r="G668" s="6" t="s">
        <v>5598</v>
      </c>
      <c r="H668" s="8">
        <v>0</v>
      </c>
      <c r="I668" s="6">
        <f>490%</f>
        <v>4.9000000000000004</v>
      </c>
      <c r="J668" s="6" t="s">
        <v>517</v>
      </c>
      <c r="K668" s="6" t="s">
        <v>799</v>
      </c>
      <c r="L668" s="6" t="s">
        <v>217</v>
      </c>
      <c r="M668" s="6" t="s">
        <v>800</v>
      </c>
      <c r="N668" s="6" t="s">
        <v>217</v>
      </c>
      <c r="O668" s="6" t="s">
        <v>800</v>
      </c>
      <c r="P668" s="6" t="s">
        <v>217</v>
      </c>
      <c r="Q668" s="6" t="s">
        <v>217</v>
      </c>
      <c r="R668" s="6" t="s">
        <v>5599</v>
      </c>
      <c r="S668" s="6">
        <v>5</v>
      </c>
      <c r="T668" s="6" t="s">
        <v>217</v>
      </c>
      <c r="U668" s="6" t="s">
        <v>217</v>
      </c>
      <c r="V668" s="6"/>
      <c r="W668" s="6"/>
      <c r="X668" s="6"/>
      <c r="Y668" s="6"/>
      <c r="Z668" s="6"/>
      <c r="AA668" s="6"/>
      <c r="AB668" s="6"/>
      <c r="AC668" s="6"/>
      <c r="AD668" s="7"/>
    </row>
    <row r="669" spans="1:30" ht="15.6" x14ac:dyDescent="0.3">
      <c r="A669" s="4">
        <v>981</v>
      </c>
      <c r="B669" s="5" t="s">
        <v>5600</v>
      </c>
      <c r="C669" s="6" t="s">
        <v>85</v>
      </c>
      <c r="D669" s="5" t="s">
        <v>5601</v>
      </c>
      <c r="E669" s="5" t="s">
        <v>48</v>
      </c>
      <c r="F669" s="6" t="s">
        <v>5602</v>
      </c>
      <c r="G669" s="6" t="s">
        <v>5603</v>
      </c>
      <c r="H669" s="8">
        <v>0</v>
      </c>
      <c r="I669" s="8">
        <v>-0.7</v>
      </c>
      <c r="J669" s="6" t="s">
        <v>421</v>
      </c>
      <c r="K669" s="6" t="s">
        <v>5604</v>
      </c>
      <c r="L669" s="6">
        <f>10%</f>
        <v>0.1</v>
      </c>
      <c r="M669" s="6" t="s">
        <v>5605</v>
      </c>
      <c r="N669" s="6">
        <f>10%</f>
        <v>0.1</v>
      </c>
      <c r="O669" s="6" t="s">
        <v>5606</v>
      </c>
      <c r="P669" s="6" t="s">
        <v>5607</v>
      </c>
      <c r="Q669" s="6" t="s">
        <v>217</v>
      </c>
      <c r="R669" s="6" t="s">
        <v>1321</v>
      </c>
      <c r="S669" s="6">
        <v>13</v>
      </c>
      <c r="T669" s="6" t="s">
        <v>2618</v>
      </c>
      <c r="U669" s="8">
        <v>-0.27</v>
      </c>
      <c r="V669" s="6"/>
      <c r="W669" s="6"/>
      <c r="X669" s="6"/>
      <c r="Y669" s="6"/>
      <c r="Z669" s="6"/>
      <c r="AA669" s="6"/>
      <c r="AB669" s="6"/>
      <c r="AC669" s="6"/>
      <c r="AD669" s="7"/>
    </row>
    <row r="670" spans="1:30" ht="15.6" x14ac:dyDescent="0.3">
      <c r="A670" s="4">
        <v>982</v>
      </c>
      <c r="B670" s="5" t="s">
        <v>5608</v>
      </c>
      <c r="C670" s="6" t="s">
        <v>219</v>
      </c>
      <c r="D670" s="5" t="s">
        <v>5609</v>
      </c>
      <c r="E670" s="6"/>
      <c r="F670" s="6" t="s">
        <v>5610</v>
      </c>
      <c r="G670" s="6" t="s">
        <v>5611</v>
      </c>
      <c r="H670" s="8">
        <v>0</v>
      </c>
      <c r="I670" s="8">
        <v>-0.77</v>
      </c>
      <c r="J670" s="6" t="s">
        <v>454</v>
      </c>
      <c r="K670" s="6" t="s">
        <v>799</v>
      </c>
      <c r="L670" s="6" t="s">
        <v>217</v>
      </c>
      <c r="M670" s="6" t="s">
        <v>800</v>
      </c>
      <c r="N670" s="6" t="s">
        <v>217</v>
      </c>
      <c r="O670" s="6" t="s">
        <v>800</v>
      </c>
      <c r="P670" s="6" t="s">
        <v>217</v>
      </c>
      <c r="Q670" s="6" t="s">
        <v>217</v>
      </c>
      <c r="R670" s="6">
        <v>327</v>
      </c>
      <c r="S670" s="6">
        <v>3</v>
      </c>
      <c r="T670" s="6" t="s">
        <v>217</v>
      </c>
      <c r="U670" s="6" t="s">
        <v>217</v>
      </c>
      <c r="V670" s="6"/>
      <c r="W670" s="6"/>
      <c r="X670" s="6"/>
      <c r="Y670" s="6"/>
      <c r="Z670" s="6"/>
      <c r="AA670" s="6"/>
      <c r="AB670" s="6"/>
      <c r="AC670" s="6"/>
      <c r="AD670" s="7"/>
    </row>
    <row r="671" spans="1:30" ht="15.6" x14ac:dyDescent="0.3">
      <c r="A671" s="4">
        <v>983</v>
      </c>
      <c r="B671" s="5" t="s">
        <v>5612</v>
      </c>
      <c r="C671" s="6" t="s">
        <v>72</v>
      </c>
      <c r="D671" s="5" t="s">
        <v>5613</v>
      </c>
      <c r="E671" s="5" t="s">
        <v>48</v>
      </c>
      <c r="F671" s="6" t="s">
        <v>5614</v>
      </c>
      <c r="G671" s="6" t="s">
        <v>5615</v>
      </c>
      <c r="H671" s="8">
        <v>0</v>
      </c>
      <c r="I671" s="6" t="s">
        <v>877</v>
      </c>
      <c r="J671" s="6" t="s">
        <v>259</v>
      </c>
      <c r="K671" s="6" t="s">
        <v>5616</v>
      </c>
      <c r="L671" s="8">
        <v>-0.39</v>
      </c>
      <c r="M671" s="6" t="s">
        <v>5617</v>
      </c>
      <c r="N671" s="8">
        <v>-0.39</v>
      </c>
      <c r="O671" s="6" t="s">
        <v>5618</v>
      </c>
      <c r="P671" s="6" t="s">
        <v>5619</v>
      </c>
      <c r="Q671" s="8">
        <v>-0.36</v>
      </c>
      <c r="R671" s="6" t="s">
        <v>2976</v>
      </c>
      <c r="S671" s="6">
        <v>18</v>
      </c>
      <c r="T671" s="6" t="s">
        <v>5244</v>
      </c>
      <c r="U671" s="8">
        <v>-0.33</v>
      </c>
      <c r="V671" s="6"/>
      <c r="W671" s="6"/>
      <c r="X671" s="6"/>
      <c r="Y671" s="6"/>
      <c r="Z671" s="6"/>
      <c r="AA671" s="6"/>
      <c r="AB671" s="6"/>
      <c r="AC671" s="6"/>
      <c r="AD671" s="7"/>
    </row>
    <row r="672" spans="1:30" ht="15.6" x14ac:dyDescent="0.3">
      <c r="A672" s="4">
        <v>984</v>
      </c>
      <c r="B672" s="5" t="s">
        <v>5620</v>
      </c>
      <c r="C672" s="6" t="s">
        <v>304</v>
      </c>
      <c r="D672" s="5" t="s">
        <v>5621</v>
      </c>
      <c r="E672" s="5" t="s">
        <v>48</v>
      </c>
      <c r="F672" s="6" t="s">
        <v>5622</v>
      </c>
      <c r="G672" s="6" t="s">
        <v>5623</v>
      </c>
      <c r="H672" s="8">
        <v>0</v>
      </c>
      <c r="I672" s="8">
        <v>-0.91</v>
      </c>
      <c r="J672" s="6" t="s">
        <v>354</v>
      </c>
      <c r="K672" s="6" t="s">
        <v>5624</v>
      </c>
      <c r="L672" s="8">
        <v>-0.28000000000000003</v>
      </c>
      <c r="M672" s="6" t="s">
        <v>5625</v>
      </c>
      <c r="N672" s="8">
        <v>-0.28000000000000003</v>
      </c>
      <c r="O672" s="6" t="s">
        <v>2689</v>
      </c>
      <c r="P672" s="6" t="s">
        <v>5626</v>
      </c>
      <c r="Q672" s="6" t="s">
        <v>217</v>
      </c>
      <c r="R672" s="6">
        <v>304</v>
      </c>
      <c r="S672" s="6">
        <v>2</v>
      </c>
      <c r="T672" s="6">
        <v>265</v>
      </c>
      <c r="U672" s="8">
        <v>-0.92</v>
      </c>
      <c r="V672" s="6"/>
      <c r="W672" s="6"/>
      <c r="X672" s="6"/>
      <c r="Y672" s="6"/>
      <c r="Z672" s="6"/>
      <c r="AA672" s="6"/>
      <c r="AB672" s="6"/>
      <c r="AC672" s="6"/>
      <c r="AD672" s="7"/>
    </row>
    <row r="673" spans="1:30" ht="15.6" x14ac:dyDescent="0.3">
      <c r="A673" s="4">
        <v>985</v>
      </c>
      <c r="B673" s="5" t="s">
        <v>5627</v>
      </c>
      <c r="C673" s="6" t="s">
        <v>291</v>
      </c>
      <c r="D673" s="5" t="s">
        <v>5628</v>
      </c>
      <c r="E673" s="5" t="s">
        <v>48</v>
      </c>
      <c r="F673" s="6" t="s">
        <v>5629</v>
      </c>
      <c r="G673" s="6" t="s">
        <v>5630</v>
      </c>
      <c r="H673" s="8">
        <v>0</v>
      </c>
      <c r="I673" s="8">
        <v>-0.98</v>
      </c>
      <c r="J673" s="6" t="s">
        <v>454</v>
      </c>
      <c r="K673" s="6" t="s">
        <v>5631</v>
      </c>
      <c r="L673" s="8">
        <v>-0.32</v>
      </c>
      <c r="M673" s="6" t="s">
        <v>5632</v>
      </c>
      <c r="N673" s="8">
        <v>-0.32</v>
      </c>
      <c r="O673" s="6" t="s">
        <v>5633</v>
      </c>
      <c r="P673" s="6" t="s">
        <v>313</v>
      </c>
      <c r="Q673" s="6" t="s">
        <v>217</v>
      </c>
      <c r="R673" s="6">
        <v>351</v>
      </c>
      <c r="S673" s="6">
        <v>3</v>
      </c>
      <c r="T673" s="6">
        <v>377</v>
      </c>
      <c r="U673" s="6" t="s">
        <v>217</v>
      </c>
      <c r="V673" s="6"/>
      <c r="W673" s="6"/>
      <c r="X673" s="6"/>
      <c r="Y673" s="6"/>
      <c r="Z673" s="6"/>
      <c r="AA673" s="6"/>
      <c r="AB673" s="6"/>
      <c r="AC673" s="6"/>
      <c r="AD673" s="7"/>
    </row>
    <row r="674" spans="1:30" ht="15.6" x14ac:dyDescent="0.3">
      <c r="A674" s="4">
        <v>986</v>
      </c>
      <c r="B674" s="5" t="s">
        <v>5634</v>
      </c>
      <c r="C674" s="6" t="s">
        <v>31</v>
      </c>
      <c r="D674" s="5" t="s">
        <v>5635</v>
      </c>
      <c r="E674" s="5" t="s">
        <v>48</v>
      </c>
      <c r="F674" s="6" t="s">
        <v>5636</v>
      </c>
      <c r="G674" s="6" t="s">
        <v>5637</v>
      </c>
      <c r="H674" s="8">
        <v>0</v>
      </c>
      <c r="I674" s="8">
        <v>-0.34</v>
      </c>
      <c r="J674" s="6" t="s">
        <v>36</v>
      </c>
      <c r="K674" s="6" t="s">
        <v>5638</v>
      </c>
      <c r="L674" s="8">
        <v>-0.42</v>
      </c>
      <c r="M674" s="6" t="s">
        <v>5639</v>
      </c>
      <c r="N674" s="8">
        <v>-0.42</v>
      </c>
      <c r="O674" s="6" t="s">
        <v>5640</v>
      </c>
      <c r="P674" s="6" t="s">
        <v>5641</v>
      </c>
      <c r="Q674" s="6" t="s">
        <v>217</v>
      </c>
      <c r="R674" s="6" t="s">
        <v>5642</v>
      </c>
      <c r="S674" s="6">
        <v>2</v>
      </c>
      <c r="T674" s="6">
        <v>501</v>
      </c>
      <c r="U674" s="6">
        <f>4.8%</f>
        <v>4.8000000000000001E-2</v>
      </c>
      <c r="V674" s="6"/>
      <c r="W674" s="6"/>
      <c r="X674" s="6"/>
      <c r="Y674" s="6"/>
      <c r="Z674" s="6"/>
      <c r="AA674" s="6"/>
      <c r="AB674" s="6"/>
      <c r="AC674" s="6"/>
      <c r="AD674" s="7"/>
    </row>
    <row r="675" spans="1:30" ht="15.6" x14ac:dyDescent="0.3">
      <c r="A675" s="4">
        <v>987</v>
      </c>
      <c r="B675" s="5" t="s">
        <v>5643</v>
      </c>
      <c r="C675" s="6" t="s">
        <v>114</v>
      </c>
      <c r="D675" s="5" t="s">
        <v>5644</v>
      </c>
      <c r="E675" s="6"/>
      <c r="F675" s="6" t="s">
        <v>5645</v>
      </c>
      <c r="G675" s="6" t="s">
        <v>5646</v>
      </c>
      <c r="H675" s="8">
        <v>0</v>
      </c>
      <c r="I675" s="6" t="s">
        <v>877</v>
      </c>
      <c r="J675" s="6" t="s">
        <v>411</v>
      </c>
      <c r="K675" s="6" t="s">
        <v>799</v>
      </c>
      <c r="L675" s="6" t="s">
        <v>217</v>
      </c>
      <c r="M675" s="6" t="s">
        <v>800</v>
      </c>
      <c r="N675" s="6" t="s">
        <v>217</v>
      </c>
      <c r="O675" s="6" t="s">
        <v>800</v>
      </c>
      <c r="P675" s="6" t="s">
        <v>217</v>
      </c>
      <c r="Q675" s="6" t="s">
        <v>217</v>
      </c>
      <c r="R675" s="6" t="s">
        <v>5647</v>
      </c>
      <c r="S675" s="6">
        <v>16</v>
      </c>
      <c r="T675" s="6" t="s">
        <v>217</v>
      </c>
      <c r="U675" s="6" t="s">
        <v>217</v>
      </c>
      <c r="V675" s="6"/>
      <c r="W675" s="6"/>
      <c r="X675" s="6"/>
      <c r="Y675" s="6"/>
      <c r="Z675" s="6"/>
      <c r="AA675" s="6"/>
      <c r="AB675" s="6"/>
      <c r="AC675" s="6"/>
      <c r="AD675" s="7"/>
    </row>
    <row r="676" spans="1:30" ht="15.6" x14ac:dyDescent="0.3">
      <c r="A676" s="4">
        <v>988</v>
      </c>
      <c r="B676" s="5" t="s">
        <v>5648</v>
      </c>
      <c r="C676" s="6" t="s">
        <v>219</v>
      </c>
      <c r="D676" s="5" t="s">
        <v>5649</v>
      </c>
      <c r="E676" s="5" t="s">
        <v>48</v>
      </c>
      <c r="F676" s="6" t="s">
        <v>5650</v>
      </c>
      <c r="G676" s="6" t="s">
        <v>5651</v>
      </c>
      <c r="H676" s="8">
        <v>0</v>
      </c>
      <c r="I676" s="8">
        <v>-0.96</v>
      </c>
      <c r="J676" s="6" t="s">
        <v>421</v>
      </c>
      <c r="K676" s="6" t="s">
        <v>3457</v>
      </c>
      <c r="L676" s="8">
        <v>-0.33</v>
      </c>
      <c r="M676" s="6" t="s">
        <v>3458</v>
      </c>
      <c r="N676" s="8">
        <v>-0.33</v>
      </c>
      <c r="O676" s="6" t="s">
        <v>5652</v>
      </c>
      <c r="P676" s="6" t="s">
        <v>5653</v>
      </c>
      <c r="Q676" s="6" t="s">
        <v>217</v>
      </c>
      <c r="R676" s="6">
        <v>459</v>
      </c>
      <c r="S676" s="6">
        <v>2</v>
      </c>
      <c r="T676" s="6">
        <v>177</v>
      </c>
      <c r="U676" s="6">
        <f>22%</f>
        <v>0.22</v>
      </c>
      <c r="V676" s="6"/>
      <c r="W676" s="6"/>
      <c r="X676" s="6"/>
      <c r="Y676" s="6"/>
      <c r="Z676" s="6"/>
      <c r="AA676" s="6"/>
      <c r="AB676" s="6"/>
      <c r="AC676" s="6"/>
      <c r="AD676" s="7"/>
    </row>
    <row r="677" spans="1:30" ht="15.6" x14ac:dyDescent="0.3">
      <c r="A677" s="4">
        <v>989</v>
      </c>
      <c r="B677" s="5" t="s">
        <v>5654</v>
      </c>
      <c r="C677" s="6" t="s">
        <v>567</v>
      </c>
      <c r="D677" s="5" t="s">
        <v>5655</v>
      </c>
      <c r="E677" s="6"/>
      <c r="F677" s="6" t="s">
        <v>5656</v>
      </c>
      <c r="G677" s="6" t="s">
        <v>5657</v>
      </c>
      <c r="H677" s="8">
        <v>0</v>
      </c>
      <c r="I677" s="6" t="s">
        <v>5658</v>
      </c>
      <c r="J677" s="6" t="s">
        <v>118</v>
      </c>
      <c r="K677" s="6" t="s">
        <v>799</v>
      </c>
      <c r="L677" s="6" t="s">
        <v>217</v>
      </c>
      <c r="M677" s="6" t="s">
        <v>800</v>
      </c>
      <c r="N677" s="6" t="s">
        <v>217</v>
      </c>
      <c r="O677" s="6" t="s">
        <v>800</v>
      </c>
      <c r="P677" s="6" t="s">
        <v>217</v>
      </c>
      <c r="Q677" s="6" t="s">
        <v>217</v>
      </c>
      <c r="R677" s="6">
        <v>529</v>
      </c>
      <c r="S677" s="6">
        <v>5</v>
      </c>
      <c r="T677" s="6" t="s">
        <v>217</v>
      </c>
      <c r="U677" s="6" t="s">
        <v>217</v>
      </c>
      <c r="V677" s="6"/>
      <c r="W677" s="6"/>
      <c r="X677" s="6"/>
      <c r="Y677" s="6"/>
      <c r="Z677" s="6"/>
      <c r="AA677" s="6"/>
      <c r="AB677" s="6"/>
      <c r="AC677" s="6"/>
      <c r="AD677" s="7"/>
    </row>
    <row r="678" spans="1:30" ht="15.6" x14ac:dyDescent="0.3">
      <c r="A678" s="4">
        <v>991</v>
      </c>
      <c r="B678" s="5" t="s">
        <v>5659</v>
      </c>
      <c r="C678" s="6" t="s">
        <v>72</v>
      </c>
      <c r="D678" s="5" t="s">
        <v>5660</v>
      </c>
      <c r="E678" s="6"/>
      <c r="F678" s="6" t="s">
        <v>5661</v>
      </c>
      <c r="G678" s="6" t="s">
        <v>5662</v>
      </c>
      <c r="H678" s="8">
        <v>0</v>
      </c>
      <c r="I678" s="8">
        <v>-0.44</v>
      </c>
      <c r="J678" s="6" t="s">
        <v>2713</v>
      </c>
      <c r="K678" s="6" t="s">
        <v>799</v>
      </c>
      <c r="L678" s="6" t="s">
        <v>217</v>
      </c>
      <c r="M678" s="6" t="s">
        <v>800</v>
      </c>
      <c r="N678" s="6" t="s">
        <v>217</v>
      </c>
      <c r="O678" s="6" t="s">
        <v>800</v>
      </c>
      <c r="P678" s="6" t="s">
        <v>217</v>
      </c>
      <c r="Q678" s="6" t="s">
        <v>217</v>
      </c>
      <c r="R678" s="6" t="s">
        <v>5663</v>
      </c>
      <c r="S678" s="6">
        <v>35</v>
      </c>
      <c r="T678" s="6" t="s">
        <v>217</v>
      </c>
      <c r="U678" s="6" t="s">
        <v>217</v>
      </c>
      <c r="V678" s="6"/>
      <c r="W678" s="6"/>
      <c r="X678" s="6"/>
      <c r="Y678" s="6"/>
      <c r="Z678" s="6"/>
      <c r="AA678" s="6"/>
      <c r="AB678" s="6"/>
      <c r="AC678" s="6"/>
      <c r="AD678" s="7"/>
    </row>
    <row r="679" spans="1:30" ht="15.6" x14ac:dyDescent="0.3">
      <c r="A679" s="4">
        <v>992</v>
      </c>
      <c r="B679" s="5" t="s">
        <v>5664</v>
      </c>
      <c r="C679" s="6" t="s">
        <v>85</v>
      </c>
      <c r="D679" s="5" t="s">
        <v>5665</v>
      </c>
      <c r="E679" s="5" t="s">
        <v>48</v>
      </c>
      <c r="F679" s="6" t="s">
        <v>5666</v>
      </c>
      <c r="G679" s="6" t="s">
        <v>5667</v>
      </c>
      <c r="H679" s="8">
        <v>0</v>
      </c>
      <c r="I679" s="6" t="s">
        <v>9262</v>
      </c>
      <c r="J679" s="6" t="s">
        <v>2713</v>
      </c>
      <c r="K679" s="6" t="s">
        <v>1699</v>
      </c>
      <c r="L679" s="6">
        <f>100%</f>
        <v>1</v>
      </c>
      <c r="M679" s="6" t="s">
        <v>5668</v>
      </c>
      <c r="N679" s="6">
        <f>100%</f>
        <v>1</v>
      </c>
      <c r="O679" s="6" t="s">
        <v>5669</v>
      </c>
      <c r="P679" s="6" t="s">
        <v>5670</v>
      </c>
      <c r="Q679" s="6" t="s">
        <v>217</v>
      </c>
      <c r="R679" s="6" t="s">
        <v>5671</v>
      </c>
      <c r="S679" s="6">
        <v>3</v>
      </c>
      <c r="T679" s="6" t="s">
        <v>956</v>
      </c>
      <c r="U679" s="6">
        <f>42%</f>
        <v>0.42</v>
      </c>
      <c r="V679" s="6"/>
      <c r="W679" s="6"/>
      <c r="X679" s="6"/>
      <c r="Y679" s="6"/>
      <c r="Z679" s="6"/>
      <c r="AA679" s="6"/>
      <c r="AB679" s="6"/>
      <c r="AC679" s="6"/>
      <c r="AD679" s="7"/>
    </row>
    <row r="680" spans="1:30" ht="15.6" x14ac:dyDescent="0.3">
      <c r="A680" s="4">
        <v>993</v>
      </c>
      <c r="B680" s="5" t="s">
        <v>5672</v>
      </c>
      <c r="C680" s="6" t="s">
        <v>114</v>
      </c>
      <c r="D680" s="5" t="s">
        <v>5673</v>
      </c>
      <c r="E680" s="5" t="s">
        <v>48</v>
      </c>
      <c r="F680" s="6" t="s">
        <v>5674</v>
      </c>
      <c r="G680" s="6" t="s">
        <v>5675</v>
      </c>
      <c r="H680" s="8">
        <v>0</v>
      </c>
      <c r="I680" s="6" t="s">
        <v>617</v>
      </c>
      <c r="J680" s="6" t="s">
        <v>482</v>
      </c>
      <c r="K680" s="6" t="s">
        <v>5676</v>
      </c>
      <c r="L680" s="6" t="s">
        <v>2448</v>
      </c>
      <c r="M680" s="6" t="s">
        <v>5677</v>
      </c>
      <c r="N680" s="6" t="s">
        <v>2448</v>
      </c>
      <c r="O680" s="6" t="s">
        <v>5678</v>
      </c>
      <c r="P680" s="6" t="s">
        <v>5679</v>
      </c>
      <c r="Q680" s="8">
        <v>-0.55000000000000004</v>
      </c>
      <c r="R680" s="6" t="s">
        <v>5680</v>
      </c>
      <c r="S680" s="6">
        <v>55</v>
      </c>
      <c r="T680" s="6" t="s">
        <v>5681</v>
      </c>
      <c r="U680" s="8">
        <v>-0.81</v>
      </c>
      <c r="V680" s="6"/>
      <c r="W680" s="6"/>
      <c r="X680" s="6"/>
      <c r="Y680" s="6"/>
      <c r="Z680" s="6"/>
      <c r="AA680" s="6"/>
      <c r="AB680" s="6"/>
      <c r="AC680" s="6"/>
      <c r="AD680" s="7"/>
    </row>
    <row r="681" spans="1:30" ht="15.6" x14ac:dyDescent="0.3">
      <c r="A681" s="4">
        <v>994</v>
      </c>
      <c r="B681" s="5" t="s">
        <v>5682</v>
      </c>
      <c r="C681" s="6" t="s">
        <v>102</v>
      </c>
      <c r="D681" s="5" t="s">
        <v>5683</v>
      </c>
      <c r="E681" s="6"/>
      <c r="F681" s="6" t="s">
        <v>5684</v>
      </c>
      <c r="G681" s="6" t="s">
        <v>5685</v>
      </c>
      <c r="H681" s="8">
        <v>0</v>
      </c>
      <c r="I681" s="8">
        <v>-0.11</v>
      </c>
      <c r="J681" s="6" t="s">
        <v>1432</v>
      </c>
      <c r="K681" s="6" t="s">
        <v>799</v>
      </c>
      <c r="L681" s="6" t="s">
        <v>217</v>
      </c>
      <c r="M681" s="6" t="s">
        <v>800</v>
      </c>
      <c r="N681" s="6" t="s">
        <v>217</v>
      </c>
      <c r="O681" s="6" t="s">
        <v>800</v>
      </c>
      <c r="P681" s="6" t="s">
        <v>217</v>
      </c>
      <c r="Q681" s="6" t="s">
        <v>217</v>
      </c>
      <c r="R681" s="6">
        <v>985</v>
      </c>
      <c r="S681" s="6">
        <v>4</v>
      </c>
      <c r="T681" s="6" t="s">
        <v>217</v>
      </c>
      <c r="U681" s="6" t="s">
        <v>217</v>
      </c>
      <c r="V681" s="6"/>
      <c r="W681" s="6"/>
      <c r="X681" s="6"/>
      <c r="Y681" s="6"/>
      <c r="Z681" s="6"/>
      <c r="AA681" s="6"/>
      <c r="AB681" s="6"/>
      <c r="AC681" s="6"/>
      <c r="AD681" s="7"/>
    </row>
    <row r="682" spans="1:30" ht="15.6" x14ac:dyDescent="0.3">
      <c r="A682" s="4">
        <v>995</v>
      </c>
      <c r="B682" s="5" t="s">
        <v>5686</v>
      </c>
      <c r="C682" s="6" t="s">
        <v>114</v>
      </c>
      <c r="D682" s="5" t="s">
        <v>5687</v>
      </c>
      <c r="E682" s="6"/>
      <c r="F682" s="6" t="s">
        <v>5688</v>
      </c>
      <c r="G682" s="6" t="s">
        <v>5689</v>
      </c>
      <c r="H682" s="8">
        <v>0</v>
      </c>
      <c r="I682" s="6" t="s">
        <v>217</v>
      </c>
      <c r="J682" s="6" t="s">
        <v>36</v>
      </c>
      <c r="K682" s="6" t="s">
        <v>799</v>
      </c>
      <c r="L682" s="6" t="s">
        <v>217</v>
      </c>
      <c r="M682" s="6" t="s">
        <v>800</v>
      </c>
      <c r="N682" s="6" t="s">
        <v>217</v>
      </c>
      <c r="O682" s="6" t="s">
        <v>800</v>
      </c>
      <c r="P682" s="6" t="s">
        <v>217</v>
      </c>
      <c r="Q682" s="6" t="s">
        <v>217</v>
      </c>
      <c r="R682" s="6" t="s">
        <v>5690</v>
      </c>
      <c r="S682" s="6">
        <v>1</v>
      </c>
      <c r="T682" s="6" t="s">
        <v>217</v>
      </c>
      <c r="U682" s="6" t="s">
        <v>217</v>
      </c>
      <c r="V682" s="6"/>
      <c r="W682" s="6"/>
      <c r="X682" s="6"/>
      <c r="Y682" s="6"/>
      <c r="Z682" s="6"/>
      <c r="AA682" s="6"/>
      <c r="AB682" s="6"/>
      <c r="AC682" s="6"/>
      <c r="AD682" s="7"/>
    </row>
    <row r="683" spans="1:30" ht="15.6" x14ac:dyDescent="0.3">
      <c r="A683" s="4">
        <v>996</v>
      </c>
      <c r="B683" s="5" t="s">
        <v>5691</v>
      </c>
      <c r="C683" s="6" t="s">
        <v>219</v>
      </c>
      <c r="D683" s="5" t="s">
        <v>5692</v>
      </c>
      <c r="E683" s="6"/>
      <c r="F683" s="6" t="s">
        <v>5693</v>
      </c>
      <c r="G683" s="6" t="s">
        <v>5694</v>
      </c>
      <c r="H683" s="8">
        <v>0</v>
      </c>
      <c r="I683" s="6" t="s">
        <v>217</v>
      </c>
      <c r="J683" s="6" t="s">
        <v>888</v>
      </c>
      <c r="K683" s="6" t="s">
        <v>799</v>
      </c>
      <c r="L683" s="6" t="s">
        <v>217</v>
      </c>
      <c r="M683" s="6" t="s">
        <v>800</v>
      </c>
      <c r="N683" s="6" t="s">
        <v>217</v>
      </c>
      <c r="O683" s="6" t="s">
        <v>800</v>
      </c>
      <c r="P683" s="6" t="s">
        <v>217</v>
      </c>
      <c r="Q683" s="6" t="s">
        <v>217</v>
      </c>
      <c r="R683" s="6">
        <v>53</v>
      </c>
      <c r="S683" s="6">
        <v>0</v>
      </c>
      <c r="T683" s="6" t="s">
        <v>217</v>
      </c>
      <c r="U683" s="6" t="s">
        <v>217</v>
      </c>
      <c r="V683" s="6"/>
      <c r="W683" s="6"/>
      <c r="X683" s="6"/>
      <c r="Y683" s="6"/>
      <c r="Z683" s="6"/>
      <c r="AA683" s="6"/>
      <c r="AB683" s="6"/>
      <c r="AC683" s="6"/>
      <c r="AD683" s="7"/>
    </row>
    <row r="684" spans="1:30" ht="15.6" x14ac:dyDescent="0.3">
      <c r="A684" s="4">
        <v>997</v>
      </c>
      <c r="B684" s="5" t="s">
        <v>5695</v>
      </c>
      <c r="C684" s="6" t="s">
        <v>114</v>
      </c>
      <c r="D684" s="5" t="s">
        <v>5696</v>
      </c>
      <c r="E684" s="6"/>
      <c r="F684" s="6" t="s">
        <v>5697</v>
      </c>
      <c r="G684" s="6" t="s">
        <v>5698</v>
      </c>
      <c r="H684" s="8">
        <v>0</v>
      </c>
      <c r="I684" s="6" t="s">
        <v>5699</v>
      </c>
      <c r="J684" s="6" t="s">
        <v>1071</v>
      </c>
      <c r="K684" s="6" t="s">
        <v>799</v>
      </c>
      <c r="L684" s="6" t="s">
        <v>217</v>
      </c>
      <c r="M684" s="6" t="s">
        <v>800</v>
      </c>
      <c r="N684" s="6" t="s">
        <v>217</v>
      </c>
      <c r="O684" s="6" t="s">
        <v>800</v>
      </c>
      <c r="P684" s="6" t="s">
        <v>217</v>
      </c>
      <c r="Q684" s="6" t="s">
        <v>217</v>
      </c>
      <c r="R684" s="6">
        <v>336</v>
      </c>
      <c r="S684" s="6">
        <v>1</v>
      </c>
      <c r="T684" s="6" t="s">
        <v>217</v>
      </c>
      <c r="U684" s="6" t="s">
        <v>217</v>
      </c>
      <c r="V684" s="6"/>
      <c r="W684" s="6"/>
      <c r="X684" s="6"/>
      <c r="Y684" s="6"/>
      <c r="Z684" s="6"/>
      <c r="AA684" s="6"/>
      <c r="AB684" s="6"/>
      <c r="AC684" s="6"/>
      <c r="AD684" s="7"/>
    </row>
    <row r="685" spans="1:30" ht="15.6" x14ac:dyDescent="0.3">
      <c r="A685" s="4">
        <v>998</v>
      </c>
      <c r="B685" s="5" t="s">
        <v>5700</v>
      </c>
      <c r="C685" s="6" t="s">
        <v>291</v>
      </c>
      <c r="D685" s="5" t="s">
        <v>5701</v>
      </c>
      <c r="E685" s="6"/>
      <c r="F685" s="6" t="s">
        <v>5702</v>
      </c>
      <c r="G685" s="6" t="s">
        <v>5703</v>
      </c>
      <c r="H685" s="8">
        <v>0</v>
      </c>
      <c r="I685" s="6" t="s">
        <v>217</v>
      </c>
      <c r="J685" s="6" t="s">
        <v>1432</v>
      </c>
      <c r="K685" s="6" t="s">
        <v>799</v>
      </c>
      <c r="L685" s="6" t="s">
        <v>217</v>
      </c>
      <c r="M685" s="6" t="s">
        <v>800</v>
      </c>
      <c r="N685" s="6" t="s">
        <v>217</v>
      </c>
      <c r="O685" s="6" t="s">
        <v>800</v>
      </c>
      <c r="P685" s="6" t="s">
        <v>217</v>
      </c>
      <c r="Q685" s="6" t="s">
        <v>217</v>
      </c>
      <c r="R685" s="6">
        <v>196</v>
      </c>
      <c r="S685" s="6">
        <v>1</v>
      </c>
      <c r="T685" s="6" t="s">
        <v>217</v>
      </c>
      <c r="U685" s="6" t="s">
        <v>217</v>
      </c>
      <c r="V685" s="6"/>
      <c r="W685" s="6"/>
      <c r="X685" s="6"/>
      <c r="Y685" s="6"/>
      <c r="Z685" s="6"/>
      <c r="AA685" s="6"/>
      <c r="AB685" s="6"/>
      <c r="AC685" s="6"/>
      <c r="AD685" s="7"/>
    </row>
    <row r="686" spans="1:30" ht="15.6" x14ac:dyDescent="0.3">
      <c r="A686" s="4">
        <v>999</v>
      </c>
      <c r="B686" s="5" t="s">
        <v>5704</v>
      </c>
      <c r="C686" s="6" t="s">
        <v>114</v>
      </c>
      <c r="D686" s="5" t="s">
        <v>5705</v>
      </c>
      <c r="E686" s="6"/>
      <c r="F686" s="5" t="s">
        <v>5706</v>
      </c>
      <c r="G686" s="6" t="s">
        <v>5707</v>
      </c>
      <c r="H686" s="8">
        <v>0</v>
      </c>
      <c r="I686" s="6" t="s">
        <v>9262</v>
      </c>
      <c r="J686" s="6" t="s">
        <v>2776</v>
      </c>
      <c r="K686" s="6" t="s">
        <v>799</v>
      </c>
      <c r="L686" s="6" t="s">
        <v>217</v>
      </c>
      <c r="M686" s="6" t="s">
        <v>800</v>
      </c>
      <c r="N686" s="6" t="s">
        <v>217</v>
      </c>
      <c r="O686" s="6" t="s">
        <v>800</v>
      </c>
      <c r="P686" s="6" t="s">
        <v>217</v>
      </c>
      <c r="Q686" s="6" t="s">
        <v>217</v>
      </c>
      <c r="R686" s="6">
        <v>269</v>
      </c>
      <c r="S686" s="6">
        <v>1</v>
      </c>
      <c r="T686" s="6" t="s">
        <v>217</v>
      </c>
      <c r="U686" s="6" t="s">
        <v>217</v>
      </c>
      <c r="V686" s="6"/>
      <c r="W686" s="6"/>
      <c r="X686" s="6"/>
      <c r="Y686" s="6"/>
      <c r="Z686" s="6"/>
      <c r="AA686" s="6"/>
      <c r="AB686" s="6"/>
      <c r="AC686" s="6"/>
      <c r="AD686" s="7"/>
    </row>
    <row r="687" spans="1:30" ht="15.6" x14ac:dyDescent="0.3">
      <c r="A687" s="4">
        <v>1000</v>
      </c>
      <c r="B687" s="5" t="s">
        <v>5708</v>
      </c>
      <c r="C687" s="6" t="s">
        <v>126</v>
      </c>
      <c r="D687" s="5" t="s">
        <v>5709</v>
      </c>
      <c r="E687" s="6"/>
      <c r="F687" s="6" t="s">
        <v>5710</v>
      </c>
      <c r="G687" s="6" t="s">
        <v>5711</v>
      </c>
      <c r="H687" s="8">
        <v>0</v>
      </c>
      <c r="I687" s="8">
        <v>-0.45</v>
      </c>
      <c r="J687" s="6" t="s">
        <v>64</v>
      </c>
      <c r="K687" s="6" t="s">
        <v>799</v>
      </c>
      <c r="L687" s="6" t="s">
        <v>217</v>
      </c>
      <c r="M687" s="6" t="s">
        <v>800</v>
      </c>
      <c r="N687" s="6" t="s">
        <v>217</v>
      </c>
      <c r="O687" s="6" t="s">
        <v>800</v>
      </c>
      <c r="P687" s="6" t="s">
        <v>217</v>
      </c>
      <c r="Q687" s="6" t="s">
        <v>217</v>
      </c>
      <c r="R687" s="6">
        <v>42</v>
      </c>
      <c r="S687" s="6">
        <v>0</v>
      </c>
      <c r="T687" s="6" t="s">
        <v>217</v>
      </c>
      <c r="U687" s="6" t="s">
        <v>217</v>
      </c>
      <c r="V687" s="6"/>
      <c r="W687" s="6"/>
      <c r="X687" s="6"/>
      <c r="Y687" s="6"/>
      <c r="Z687" s="6"/>
      <c r="AA687" s="6"/>
      <c r="AB687" s="6"/>
      <c r="AC687" s="6"/>
      <c r="AD687" s="7"/>
    </row>
    <row r="688" spans="1:30" ht="15.6" x14ac:dyDescent="0.3">
      <c r="A688" s="4">
        <v>1001</v>
      </c>
      <c r="B688" s="5" t="s">
        <v>5712</v>
      </c>
      <c r="C688" s="6" t="s">
        <v>567</v>
      </c>
      <c r="D688" s="5" t="s">
        <v>5713</v>
      </c>
      <c r="E688" s="6"/>
      <c r="F688" s="6" t="s">
        <v>5714</v>
      </c>
      <c r="G688" s="6" t="s">
        <v>5715</v>
      </c>
      <c r="H688" s="8">
        <v>0</v>
      </c>
      <c r="I688" s="8">
        <v>-0.53</v>
      </c>
      <c r="J688" s="6" t="s">
        <v>2517</v>
      </c>
      <c r="K688" s="6" t="s">
        <v>799</v>
      </c>
      <c r="L688" s="6" t="s">
        <v>217</v>
      </c>
      <c r="M688" s="6" t="s">
        <v>800</v>
      </c>
      <c r="N688" s="6" t="s">
        <v>217</v>
      </c>
      <c r="O688" s="6" t="s">
        <v>800</v>
      </c>
      <c r="P688" s="6" t="s">
        <v>217</v>
      </c>
      <c r="Q688" s="6" t="s">
        <v>217</v>
      </c>
      <c r="R688" s="6">
        <v>245</v>
      </c>
      <c r="S688" s="6">
        <v>0</v>
      </c>
      <c r="T688" s="6" t="s">
        <v>217</v>
      </c>
      <c r="U688" s="6" t="s">
        <v>217</v>
      </c>
      <c r="V688" s="6"/>
      <c r="W688" s="6"/>
      <c r="X688" s="6"/>
      <c r="Y688" s="6"/>
      <c r="Z688" s="6"/>
      <c r="AA688" s="6"/>
      <c r="AB688" s="6"/>
      <c r="AC688" s="6"/>
      <c r="AD688" s="7"/>
    </row>
    <row r="689" spans="1:30" ht="15.6" x14ac:dyDescent="0.3">
      <c r="A689" s="4">
        <v>1002</v>
      </c>
      <c r="B689" s="5" t="s">
        <v>5716</v>
      </c>
      <c r="C689" s="6" t="s">
        <v>126</v>
      </c>
      <c r="D689" s="5" t="s">
        <v>5717</v>
      </c>
      <c r="E689" s="6"/>
      <c r="F689" s="6" t="s">
        <v>5718</v>
      </c>
      <c r="G689" s="6" t="s">
        <v>5719</v>
      </c>
      <c r="H689" s="8">
        <v>0</v>
      </c>
      <c r="I689" s="6" t="s">
        <v>217</v>
      </c>
      <c r="J689" s="6" t="s">
        <v>824</v>
      </c>
      <c r="K689" s="6" t="s">
        <v>799</v>
      </c>
      <c r="L689" s="6" t="s">
        <v>217</v>
      </c>
      <c r="M689" s="6" t="s">
        <v>800</v>
      </c>
      <c r="N689" s="6" t="s">
        <v>217</v>
      </c>
      <c r="O689" s="6" t="s">
        <v>800</v>
      </c>
      <c r="P689" s="6" t="s">
        <v>217</v>
      </c>
      <c r="Q689" s="6" t="s">
        <v>217</v>
      </c>
      <c r="R689" s="6">
        <v>108</v>
      </c>
      <c r="S689" s="6">
        <v>0</v>
      </c>
      <c r="T689" s="6" t="s">
        <v>217</v>
      </c>
      <c r="U689" s="6" t="s">
        <v>217</v>
      </c>
      <c r="V689" s="6"/>
      <c r="W689" s="6"/>
      <c r="X689" s="6"/>
      <c r="Y689" s="6"/>
      <c r="Z689" s="6"/>
      <c r="AA689" s="6"/>
      <c r="AB689" s="6"/>
      <c r="AC689" s="6"/>
      <c r="AD689" s="7"/>
    </row>
    <row r="690" spans="1:30" ht="15.6" x14ac:dyDescent="0.3">
      <c r="A690" s="4">
        <v>1003</v>
      </c>
      <c r="B690" s="5" t="s">
        <v>5720</v>
      </c>
      <c r="C690" s="6" t="s">
        <v>126</v>
      </c>
      <c r="D690" s="5" t="s">
        <v>5721</v>
      </c>
      <c r="E690" s="6"/>
      <c r="F690" s="6" t="s">
        <v>5722</v>
      </c>
      <c r="G690" s="6" t="s">
        <v>5723</v>
      </c>
      <c r="H690" s="8">
        <v>0</v>
      </c>
      <c r="I690" s="6" t="s">
        <v>1195</v>
      </c>
      <c r="J690" s="6" t="s">
        <v>698</v>
      </c>
      <c r="K690" s="6" t="s">
        <v>799</v>
      </c>
      <c r="L690" s="6" t="s">
        <v>217</v>
      </c>
      <c r="M690" s="6" t="s">
        <v>800</v>
      </c>
      <c r="N690" s="6" t="s">
        <v>217</v>
      </c>
      <c r="O690" s="6" t="s">
        <v>800</v>
      </c>
      <c r="P690" s="6" t="s">
        <v>217</v>
      </c>
      <c r="Q690" s="6" t="s">
        <v>217</v>
      </c>
      <c r="R690" s="6">
        <v>536</v>
      </c>
      <c r="S690" s="6">
        <v>1</v>
      </c>
      <c r="T690" s="6" t="s">
        <v>217</v>
      </c>
      <c r="U690" s="6" t="s">
        <v>217</v>
      </c>
      <c r="V690" s="6"/>
      <c r="W690" s="6"/>
      <c r="X690" s="6"/>
      <c r="Y690" s="6"/>
      <c r="Z690" s="6"/>
      <c r="AA690" s="6"/>
      <c r="AB690" s="6"/>
      <c r="AC690" s="6"/>
      <c r="AD690" s="7"/>
    </row>
    <row r="691" spans="1:30" ht="15.6" x14ac:dyDescent="0.3">
      <c r="A691" s="4">
        <v>1004</v>
      </c>
      <c r="B691" s="5" t="s">
        <v>5724</v>
      </c>
      <c r="C691" s="6" t="s">
        <v>126</v>
      </c>
      <c r="D691" s="5" t="s">
        <v>5725</v>
      </c>
      <c r="E691" s="6"/>
      <c r="F691" s="6" t="s">
        <v>5726</v>
      </c>
      <c r="G691" s="6" t="s">
        <v>5727</v>
      </c>
      <c r="H691" s="8">
        <v>0</v>
      </c>
      <c r="I691" s="8">
        <v>-1</v>
      </c>
      <c r="J691" s="6" t="s">
        <v>397</v>
      </c>
      <c r="K691" s="6" t="s">
        <v>799</v>
      </c>
      <c r="L691" s="6" t="s">
        <v>217</v>
      </c>
      <c r="M691" s="6" t="s">
        <v>800</v>
      </c>
      <c r="N691" s="6" t="s">
        <v>217</v>
      </c>
      <c r="O691" s="6" t="s">
        <v>800</v>
      </c>
      <c r="P691" s="6" t="s">
        <v>217</v>
      </c>
      <c r="Q691" s="6" t="s">
        <v>217</v>
      </c>
      <c r="R691" s="6">
        <v>498</v>
      </c>
      <c r="S691" s="6">
        <v>2</v>
      </c>
      <c r="T691" s="6" t="s">
        <v>217</v>
      </c>
      <c r="U691" s="6" t="s">
        <v>217</v>
      </c>
      <c r="V691" s="6"/>
      <c r="W691" s="6"/>
      <c r="X691" s="6"/>
      <c r="Y691" s="6"/>
      <c r="Z691" s="6"/>
      <c r="AA691" s="6"/>
      <c r="AB691" s="6"/>
      <c r="AC691" s="6"/>
      <c r="AD691" s="7"/>
    </row>
    <row r="692" spans="1:30" ht="15.6" x14ac:dyDescent="0.3">
      <c r="A692" s="4">
        <v>1005</v>
      </c>
      <c r="B692" s="5" t="s">
        <v>5728</v>
      </c>
      <c r="C692" s="6" t="s">
        <v>304</v>
      </c>
      <c r="D692" s="5" t="s">
        <v>5729</v>
      </c>
      <c r="E692" s="6"/>
      <c r="F692" s="6" t="s">
        <v>5730</v>
      </c>
      <c r="G692" s="6" t="s">
        <v>5731</v>
      </c>
      <c r="H692" s="8">
        <v>0</v>
      </c>
      <c r="I692" s="6"/>
      <c r="J692" s="6" t="s">
        <v>3975</v>
      </c>
      <c r="K692" s="6" t="s">
        <v>799</v>
      </c>
      <c r="L692" s="6" t="s">
        <v>217</v>
      </c>
      <c r="M692" s="6" t="s">
        <v>800</v>
      </c>
      <c r="N692" s="6" t="s">
        <v>217</v>
      </c>
      <c r="O692" s="6" t="s">
        <v>800</v>
      </c>
      <c r="P692" s="6" t="s">
        <v>217</v>
      </c>
      <c r="Q692" s="6" t="s">
        <v>217</v>
      </c>
      <c r="R692" s="6">
        <v>135</v>
      </c>
      <c r="S692" s="6">
        <v>1</v>
      </c>
      <c r="T692" s="6" t="s">
        <v>217</v>
      </c>
      <c r="U692" s="6" t="s">
        <v>217</v>
      </c>
      <c r="V692" s="6"/>
      <c r="W692" s="6"/>
      <c r="X692" s="6"/>
      <c r="Y692" s="6"/>
      <c r="Z692" s="6"/>
      <c r="AA692" s="6"/>
      <c r="AB692" s="6"/>
      <c r="AC692" s="6"/>
      <c r="AD692" s="7"/>
    </row>
    <row r="693" spans="1:30" ht="15.6" x14ac:dyDescent="0.3">
      <c r="A693" s="4">
        <v>1006</v>
      </c>
      <c r="B693" s="5" t="s">
        <v>5732</v>
      </c>
      <c r="C693" s="6" t="s">
        <v>126</v>
      </c>
      <c r="D693" s="5" t="s">
        <v>5733</v>
      </c>
      <c r="E693" s="6"/>
      <c r="F693" s="6" t="s">
        <v>5734</v>
      </c>
      <c r="G693" s="6" t="s">
        <v>5735</v>
      </c>
      <c r="H693" s="8">
        <v>0</v>
      </c>
      <c r="I693" s="8">
        <v>-0.3</v>
      </c>
      <c r="J693" s="6" t="s">
        <v>1600</v>
      </c>
      <c r="K693" s="6" t="s">
        <v>799</v>
      </c>
      <c r="L693" s="6" t="s">
        <v>217</v>
      </c>
      <c r="M693" s="6" t="s">
        <v>800</v>
      </c>
      <c r="N693" s="6" t="s">
        <v>217</v>
      </c>
      <c r="O693" s="6" t="s">
        <v>800</v>
      </c>
      <c r="P693" s="6" t="s">
        <v>217</v>
      </c>
      <c r="Q693" s="6" t="s">
        <v>217</v>
      </c>
      <c r="R693" s="6">
        <v>308</v>
      </c>
      <c r="S693" s="6">
        <v>1</v>
      </c>
      <c r="T693" s="6" t="s">
        <v>217</v>
      </c>
      <c r="U693" s="6" t="s">
        <v>217</v>
      </c>
      <c r="V693" s="6"/>
      <c r="W693" s="6"/>
      <c r="X693" s="6"/>
      <c r="Y693" s="6"/>
      <c r="Z693" s="6"/>
      <c r="AA693" s="6"/>
      <c r="AB693" s="6"/>
      <c r="AC693" s="6"/>
      <c r="AD693" s="7"/>
    </row>
    <row r="694" spans="1:30" ht="15.6" x14ac:dyDescent="0.3">
      <c r="A694" s="4">
        <v>1007</v>
      </c>
      <c r="B694" s="5" t="s">
        <v>5736</v>
      </c>
      <c r="C694" s="6" t="s">
        <v>567</v>
      </c>
      <c r="D694" s="5" t="s">
        <v>5737</v>
      </c>
      <c r="E694" s="6"/>
      <c r="F694" s="6" t="s">
        <v>5738</v>
      </c>
      <c r="G694" s="6" t="s">
        <v>5739</v>
      </c>
      <c r="H694" s="8">
        <v>0</v>
      </c>
      <c r="I694" s="6" t="s">
        <v>4525</v>
      </c>
      <c r="J694" s="6" t="s">
        <v>1443</v>
      </c>
      <c r="K694" s="6" t="s">
        <v>799</v>
      </c>
      <c r="L694" s="6" t="s">
        <v>217</v>
      </c>
      <c r="M694" s="6" t="s">
        <v>800</v>
      </c>
      <c r="N694" s="6" t="s">
        <v>217</v>
      </c>
      <c r="O694" s="6" t="s">
        <v>800</v>
      </c>
      <c r="P694" s="6" t="s">
        <v>217</v>
      </c>
      <c r="Q694" s="6" t="s">
        <v>217</v>
      </c>
      <c r="R694" s="6" t="s">
        <v>5740</v>
      </c>
      <c r="S694" s="6">
        <v>27</v>
      </c>
      <c r="T694" s="6" t="s">
        <v>217</v>
      </c>
      <c r="U694" s="6" t="s">
        <v>217</v>
      </c>
      <c r="V694" s="6"/>
      <c r="W694" s="6"/>
      <c r="X694" s="6"/>
      <c r="Y694" s="6"/>
      <c r="Z694" s="6"/>
      <c r="AA694" s="6"/>
      <c r="AB694" s="6"/>
      <c r="AC694" s="6"/>
      <c r="AD694" s="7"/>
    </row>
    <row r="695" spans="1:30" ht="15.6" x14ac:dyDescent="0.3">
      <c r="A695" s="4">
        <v>1008</v>
      </c>
      <c r="B695" s="5" t="s">
        <v>5741</v>
      </c>
      <c r="C695" s="6" t="s">
        <v>291</v>
      </c>
      <c r="D695" s="5" t="s">
        <v>5742</v>
      </c>
      <c r="E695" s="5" t="s">
        <v>48</v>
      </c>
      <c r="F695" s="6" t="s">
        <v>5743</v>
      </c>
      <c r="G695" s="6" t="s">
        <v>5744</v>
      </c>
      <c r="H695" s="8">
        <v>0</v>
      </c>
      <c r="I695" s="8">
        <v>-0.89</v>
      </c>
      <c r="J695" s="6" t="s">
        <v>36</v>
      </c>
      <c r="K695" s="6" t="s">
        <v>4071</v>
      </c>
      <c r="L695" s="8">
        <v>-0.45</v>
      </c>
      <c r="M695" s="6" t="s">
        <v>5745</v>
      </c>
      <c r="N695" s="8">
        <v>-0.45</v>
      </c>
      <c r="O695" s="6" t="s">
        <v>5746</v>
      </c>
      <c r="P695" s="6" t="s">
        <v>5747</v>
      </c>
      <c r="Q695" s="6" t="s">
        <v>217</v>
      </c>
      <c r="R695" s="6">
        <v>326</v>
      </c>
      <c r="S695" s="6">
        <v>5</v>
      </c>
      <c r="T695" s="6">
        <v>103</v>
      </c>
      <c r="U695" s="6" t="s">
        <v>217</v>
      </c>
      <c r="V695" s="6"/>
      <c r="W695" s="6"/>
      <c r="X695" s="6"/>
      <c r="Y695" s="6"/>
      <c r="Z695" s="6"/>
      <c r="AA695" s="6"/>
      <c r="AB695" s="6"/>
      <c r="AC695" s="6"/>
      <c r="AD695" s="7"/>
    </row>
    <row r="696" spans="1:30" ht="15.6" x14ac:dyDescent="0.3">
      <c r="A696" s="4">
        <v>1009</v>
      </c>
      <c r="B696" s="5" t="s">
        <v>5748</v>
      </c>
      <c r="C696" s="6" t="s">
        <v>60</v>
      </c>
      <c r="D696" s="5" t="s">
        <v>5749</v>
      </c>
      <c r="E696" s="6"/>
      <c r="F696" s="6" t="s">
        <v>5750</v>
      </c>
      <c r="G696" s="6" t="s">
        <v>5751</v>
      </c>
      <c r="H696" s="8">
        <v>0</v>
      </c>
      <c r="I696" s="8">
        <v>-1</v>
      </c>
      <c r="J696" s="6" t="s">
        <v>118</v>
      </c>
      <c r="K696" s="6" t="s">
        <v>799</v>
      </c>
      <c r="L696" s="6" t="s">
        <v>217</v>
      </c>
      <c r="M696" s="6" t="s">
        <v>800</v>
      </c>
      <c r="N696" s="6" t="s">
        <v>217</v>
      </c>
      <c r="O696" s="6" t="s">
        <v>800</v>
      </c>
      <c r="P696" s="6" t="s">
        <v>217</v>
      </c>
      <c r="Q696" s="6" t="s">
        <v>217</v>
      </c>
      <c r="R696" s="6">
        <v>746</v>
      </c>
      <c r="S696" s="6">
        <v>6</v>
      </c>
      <c r="T696" s="6" t="s">
        <v>217</v>
      </c>
      <c r="U696" s="6" t="s">
        <v>217</v>
      </c>
      <c r="V696" s="6"/>
      <c r="W696" s="6"/>
      <c r="X696" s="6"/>
      <c r="Y696" s="6"/>
      <c r="Z696" s="6"/>
      <c r="AA696" s="6"/>
      <c r="AB696" s="6"/>
      <c r="AC696" s="6"/>
      <c r="AD696" s="7"/>
    </row>
    <row r="697" spans="1:30" ht="15.6" x14ac:dyDescent="0.3">
      <c r="A697" s="4">
        <v>1010</v>
      </c>
      <c r="B697" s="5" t="s">
        <v>5752</v>
      </c>
      <c r="C697" s="6" t="s">
        <v>126</v>
      </c>
      <c r="D697" s="5" t="s">
        <v>5753</v>
      </c>
      <c r="E697" s="6"/>
      <c r="F697" s="6" t="s">
        <v>5754</v>
      </c>
      <c r="G697" s="6" t="s">
        <v>5755</v>
      </c>
      <c r="H697" s="8">
        <v>0</v>
      </c>
      <c r="I697" s="6" t="s">
        <v>217</v>
      </c>
      <c r="J697" s="6" t="s">
        <v>596</v>
      </c>
      <c r="K697" s="6" t="s">
        <v>799</v>
      </c>
      <c r="L697" s="6" t="s">
        <v>217</v>
      </c>
      <c r="M697" s="6" t="s">
        <v>800</v>
      </c>
      <c r="N697" s="6" t="s">
        <v>217</v>
      </c>
      <c r="O697" s="6" t="s">
        <v>800</v>
      </c>
      <c r="P697" s="6" t="s">
        <v>217</v>
      </c>
      <c r="Q697" s="6" t="s">
        <v>217</v>
      </c>
      <c r="R697" s="6">
        <v>303</v>
      </c>
      <c r="S697" s="6">
        <v>0</v>
      </c>
      <c r="T697" s="6" t="s">
        <v>217</v>
      </c>
      <c r="U697" s="6" t="s">
        <v>217</v>
      </c>
      <c r="V697" s="6"/>
      <c r="W697" s="6"/>
      <c r="X697" s="6"/>
      <c r="Y697" s="6"/>
      <c r="Z697" s="6"/>
      <c r="AA697" s="6"/>
      <c r="AB697" s="6"/>
      <c r="AC697" s="6"/>
      <c r="AD697" s="7"/>
    </row>
    <row r="698" spans="1:30" ht="15.6" x14ac:dyDescent="0.3">
      <c r="A698" s="4">
        <v>1011</v>
      </c>
      <c r="B698" s="5" t="s">
        <v>5756</v>
      </c>
      <c r="C698" s="6" t="s">
        <v>148</v>
      </c>
      <c r="D698" s="5" t="s">
        <v>5757</v>
      </c>
      <c r="E698" s="5" t="s">
        <v>48</v>
      </c>
      <c r="F698" s="6" t="s">
        <v>5758</v>
      </c>
      <c r="G698" s="6" t="s">
        <v>5759</v>
      </c>
      <c r="H698" s="8">
        <v>0</v>
      </c>
      <c r="I698" s="8">
        <v>-0.87</v>
      </c>
      <c r="J698" s="6" t="s">
        <v>3618</v>
      </c>
      <c r="K698" s="6" t="s">
        <v>5760</v>
      </c>
      <c r="L698" s="8">
        <v>-0.16</v>
      </c>
      <c r="M698" s="6" t="s">
        <v>5761</v>
      </c>
      <c r="N698" s="8">
        <v>-0.16</v>
      </c>
      <c r="O698" s="6" t="s">
        <v>5762</v>
      </c>
      <c r="P698" s="6" t="s">
        <v>5763</v>
      </c>
      <c r="Q698" s="6" t="s">
        <v>217</v>
      </c>
      <c r="R698" s="6">
        <v>558</v>
      </c>
      <c r="S698" s="6">
        <v>0</v>
      </c>
      <c r="T698" s="6">
        <v>810</v>
      </c>
      <c r="U698" s="8">
        <v>-0.97</v>
      </c>
      <c r="V698" s="6"/>
      <c r="W698" s="6"/>
      <c r="X698" s="6"/>
      <c r="Y698" s="6"/>
      <c r="Z698" s="6"/>
      <c r="AA698" s="6"/>
      <c r="AB698" s="6"/>
      <c r="AC698" s="6"/>
      <c r="AD698" s="7"/>
    </row>
    <row r="699" spans="1:30" ht="15.6" x14ac:dyDescent="0.3">
      <c r="A699" s="4">
        <v>1012</v>
      </c>
      <c r="B699" s="5" t="s">
        <v>5764</v>
      </c>
      <c r="C699" s="6" t="s">
        <v>304</v>
      </c>
      <c r="D699" s="5" t="s">
        <v>5765</v>
      </c>
      <c r="E699" s="6"/>
      <c r="F699" s="6" t="s">
        <v>5766</v>
      </c>
      <c r="G699" s="6" t="s">
        <v>5767</v>
      </c>
      <c r="H699" s="8">
        <v>0</v>
      </c>
      <c r="I699" s="6" t="s">
        <v>2350</v>
      </c>
      <c r="J699" s="6" t="s">
        <v>1851</v>
      </c>
      <c r="K699" s="6" t="s">
        <v>799</v>
      </c>
      <c r="L699" s="6" t="s">
        <v>217</v>
      </c>
      <c r="M699" s="6" t="s">
        <v>800</v>
      </c>
      <c r="N699" s="6" t="s">
        <v>217</v>
      </c>
      <c r="O699" s="6" t="s">
        <v>800</v>
      </c>
      <c r="P699" s="6" t="s">
        <v>217</v>
      </c>
      <c r="Q699" s="6" t="s">
        <v>217</v>
      </c>
      <c r="R699" s="6" t="s">
        <v>5768</v>
      </c>
      <c r="S699" s="6">
        <v>3</v>
      </c>
      <c r="T699" s="6" t="s">
        <v>217</v>
      </c>
      <c r="U699" s="6" t="s">
        <v>217</v>
      </c>
      <c r="V699" s="6"/>
      <c r="W699" s="6"/>
      <c r="X699" s="6"/>
      <c r="Y699" s="6"/>
      <c r="Z699" s="6"/>
      <c r="AA699" s="6"/>
      <c r="AB699" s="6"/>
      <c r="AC699" s="6"/>
      <c r="AD699" s="7"/>
    </row>
    <row r="700" spans="1:30" ht="15.6" x14ac:dyDescent="0.3">
      <c r="A700" s="4">
        <v>1013</v>
      </c>
      <c r="B700" s="5" t="s">
        <v>5769</v>
      </c>
      <c r="C700" s="6" t="s">
        <v>291</v>
      </c>
      <c r="D700" s="5" t="s">
        <v>5770</v>
      </c>
      <c r="E700" s="6"/>
      <c r="F700" s="6" t="s">
        <v>5771</v>
      </c>
      <c r="G700" s="6" t="s">
        <v>5772</v>
      </c>
      <c r="H700" s="8">
        <v>0</v>
      </c>
      <c r="I700" s="8">
        <v>-1</v>
      </c>
      <c r="J700" s="6" t="s">
        <v>321</v>
      </c>
      <c r="K700" s="6" t="s">
        <v>799</v>
      </c>
      <c r="L700" s="6" t="s">
        <v>217</v>
      </c>
      <c r="M700" s="6" t="s">
        <v>800</v>
      </c>
      <c r="N700" s="6" t="s">
        <v>217</v>
      </c>
      <c r="O700" s="6" t="s">
        <v>800</v>
      </c>
      <c r="P700" s="6" t="s">
        <v>217</v>
      </c>
      <c r="Q700" s="6" t="s">
        <v>217</v>
      </c>
      <c r="R700" s="6" t="s">
        <v>5773</v>
      </c>
      <c r="S700" s="6">
        <v>11</v>
      </c>
      <c r="T700" s="6" t="s">
        <v>217</v>
      </c>
      <c r="U700" s="6" t="s">
        <v>217</v>
      </c>
      <c r="V700" s="6"/>
      <c r="W700" s="6"/>
      <c r="X700" s="6"/>
      <c r="Y700" s="6"/>
      <c r="Z700" s="6"/>
      <c r="AA700" s="6"/>
      <c r="AB700" s="6"/>
      <c r="AC700" s="6"/>
      <c r="AD700" s="7"/>
    </row>
    <row r="701" spans="1:30" ht="15.6" x14ac:dyDescent="0.3">
      <c r="A701" s="4">
        <v>1014</v>
      </c>
      <c r="B701" s="5" t="s">
        <v>5774</v>
      </c>
      <c r="C701" s="6" t="s">
        <v>148</v>
      </c>
      <c r="D701" s="5" t="s">
        <v>5775</v>
      </c>
      <c r="E701" s="6"/>
      <c r="F701" s="6" t="s">
        <v>5776</v>
      </c>
      <c r="G701" s="6" t="s">
        <v>5777</v>
      </c>
      <c r="H701" s="8">
        <v>0</v>
      </c>
      <c r="I701" s="6" t="s">
        <v>217</v>
      </c>
      <c r="J701" s="6" t="s">
        <v>596</v>
      </c>
      <c r="K701" s="6" t="s">
        <v>799</v>
      </c>
      <c r="L701" s="6" t="s">
        <v>217</v>
      </c>
      <c r="M701" s="6" t="s">
        <v>800</v>
      </c>
      <c r="N701" s="6" t="s">
        <v>217</v>
      </c>
      <c r="O701" s="6" t="s">
        <v>800</v>
      </c>
      <c r="P701" s="6" t="s">
        <v>217</v>
      </c>
      <c r="Q701" s="6" t="s">
        <v>217</v>
      </c>
      <c r="R701" s="6">
        <v>258</v>
      </c>
      <c r="S701" s="6">
        <v>1</v>
      </c>
      <c r="T701" s="6" t="s">
        <v>217</v>
      </c>
      <c r="U701" s="6" t="s">
        <v>217</v>
      </c>
      <c r="V701" s="6"/>
      <c r="W701" s="6"/>
      <c r="X701" s="6"/>
      <c r="Y701" s="6"/>
      <c r="Z701" s="6"/>
      <c r="AA701" s="6"/>
      <c r="AB701" s="6"/>
      <c r="AC701" s="6"/>
      <c r="AD701" s="7"/>
    </row>
    <row r="702" spans="1:30" ht="15.6" x14ac:dyDescent="0.3">
      <c r="A702" s="4">
        <v>1015</v>
      </c>
      <c r="B702" s="5" t="s">
        <v>5778</v>
      </c>
      <c r="C702" s="6" t="s">
        <v>304</v>
      </c>
      <c r="D702" s="5" t="s">
        <v>5779</v>
      </c>
      <c r="E702" s="6"/>
      <c r="F702" s="6" t="s">
        <v>5780</v>
      </c>
      <c r="G702" s="6" t="s">
        <v>5781</v>
      </c>
      <c r="H702" s="8">
        <v>0</v>
      </c>
      <c r="I702" s="8">
        <v>-0.78</v>
      </c>
      <c r="J702" s="6" t="s">
        <v>540</v>
      </c>
      <c r="K702" s="6" t="s">
        <v>799</v>
      </c>
      <c r="L702" s="6" t="s">
        <v>217</v>
      </c>
      <c r="M702" s="6" t="s">
        <v>800</v>
      </c>
      <c r="N702" s="6" t="s">
        <v>217</v>
      </c>
      <c r="O702" s="6" t="s">
        <v>800</v>
      </c>
      <c r="P702" s="6" t="s">
        <v>217</v>
      </c>
      <c r="Q702" s="6" t="s">
        <v>217</v>
      </c>
      <c r="R702" s="6">
        <v>927</v>
      </c>
      <c r="S702" s="6">
        <v>3</v>
      </c>
      <c r="T702" s="6" t="s">
        <v>217</v>
      </c>
      <c r="U702" s="6" t="s">
        <v>217</v>
      </c>
      <c r="V702" s="6"/>
      <c r="W702" s="6"/>
      <c r="X702" s="6"/>
      <c r="Y702" s="6"/>
      <c r="Z702" s="6"/>
      <c r="AA702" s="6"/>
      <c r="AB702" s="6"/>
      <c r="AC702" s="6"/>
      <c r="AD702" s="7"/>
    </row>
    <row r="703" spans="1:30" ht="15.6" x14ac:dyDescent="0.3">
      <c r="A703" s="4">
        <v>1016</v>
      </c>
      <c r="B703" s="5" t="s">
        <v>5782</v>
      </c>
      <c r="C703" s="6">
        <v>8</v>
      </c>
      <c r="D703" s="5" t="s">
        <v>5783</v>
      </c>
      <c r="E703" s="6"/>
      <c r="F703" s="6" t="s">
        <v>5784</v>
      </c>
      <c r="G703" s="6" t="s">
        <v>5785</v>
      </c>
      <c r="H703" s="8">
        <v>0</v>
      </c>
      <c r="I703" s="8">
        <v>-0.5</v>
      </c>
      <c r="J703" s="6" t="s">
        <v>2517</v>
      </c>
      <c r="K703" s="6" t="s">
        <v>799</v>
      </c>
      <c r="L703" s="6" t="s">
        <v>217</v>
      </c>
      <c r="M703" s="6" t="s">
        <v>800</v>
      </c>
      <c r="N703" s="6" t="s">
        <v>217</v>
      </c>
      <c r="O703" s="6" t="s">
        <v>800</v>
      </c>
      <c r="P703" s="6" t="s">
        <v>217</v>
      </c>
      <c r="Q703" s="6" t="s">
        <v>217</v>
      </c>
      <c r="R703" s="6">
        <v>718</v>
      </c>
      <c r="S703" s="6">
        <v>2</v>
      </c>
      <c r="T703" s="6" t="s">
        <v>217</v>
      </c>
      <c r="U703" s="6" t="s">
        <v>217</v>
      </c>
      <c r="V703" s="6"/>
      <c r="W703" s="6"/>
      <c r="X703" s="6"/>
      <c r="Y703" s="6"/>
      <c r="Z703" s="6"/>
      <c r="AA703" s="6"/>
      <c r="AB703" s="6"/>
      <c r="AC703" s="6"/>
      <c r="AD703" s="7"/>
    </row>
    <row r="704" spans="1:30" ht="15.6" x14ac:dyDescent="0.3">
      <c r="A704" s="4">
        <v>1017</v>
      </c>
      <c r="B704" s="5" t="s">
        <v>5786</v>
      </c>
      <c r="C704" s="6" t="s">
        <v>114</v>
      </c>
      <c r="D704" s="5" t="s">
        <v>5787</v>
      </c>
      <c r="E704" s="5" t="s">
        <v>48</v>
      </c>
      <c r="F704" s="6" t="s">
        <v>5788</v>
      </c>
      <c r="G704" s="6" t="s">
        <v>5789</v>
      </c>
      <c r="H704" s="8">
        <v>0</v>
      </c>
      <c r="I704" s="6" t="s">
        <v>1548</v>
      </c>
      <c r="J704" s="6" t="s">
        <v>385</v>
      </c>
      <c r="K704" s="6" t="s">
        <v>5790</v>
      </c>
      <c r="L704" s="8">
        <v>-0.24</v>
      </c>
      <c r="M704" s="6" t="s">
        <v>5791</v>
      </c>
      <c r="N704" s="8">
        <v>-0.2</v>
      </c>
      <c r="O704" s="6" t="s">
        <v>5792</v>
      </c>
      <c r="P704" s="6" t="s">
        <v>5793</v>
      </c>
      <c r="Q704" s="8">
        <v>-0.97</v>
      </c>
      <c r="R704" s="6" t="s">
        <v>5794</v>
      </c>
      <c r="S704" s="6">
        <v>19</v>
      </c>
      <c r="T704" s="6" t="s">
        <v>5795</v>
      </c>
      <c r="U704" s="8">
        <v>-1</v>
      </c>
      <c r="V704" s="6"/>
      <c r="W704" s="6"/>
      <c r="X704" s="6"/>
      <c r="Y704" s="6"/>
      <c r="Z704" s="6"/>
      <c r="AA704" s="6"/>
      <c r="AB704" s="6"/>
      <c r="AC704" s="6"/>
      <c r="AD704" s="7"/>
    </row>
    <row r="705" spans="1:30" ht="15.6" x14ac:dyDescent="0.3">
      <c r="A705" s="4">
        <v>1018</v>
      </c>
      <c r="B705" s="5" t="s">
        <v>5796</v>
      </c>
      <c r="C705" s="6" t="s">
        <v>72</v>
      </c>
      <c r="D705" s="5" t="s">
        <v>5797</v>
      </c>
      <c r="E705" s="6"/>
      <c r="F705" s="6" t="s">
        <v>5798</v>
      </c>
      <c r="G705" s="6" t="s">
        <v>5799</v>
      </c>
      <c r="H705" s="8">
        <v>0</v>
      </c>
      <c r="I705" s="6" t="s">
        <v>217</v>
      </c>
      <c r="J705" s="6" t="s">
        <v>374</v>
      </c>
      <c r="K705" s="6" t="s">
        <v>799</v>
      </c>
      <c r="L705" s="6" t="s">
        <v>217</v>
      </c>
      <c r="M705" s="6" t="s">
        <v>800</v>
      </c>
      <c r="N705" s="6" t="s">
        <v>217</v>
      </c>
      <c r="O705" s="6" t="s">
        <v>800</v>
      </c>
      <c r="P705" s="6" t="s">
        <v>217</v>
      </c>
      <c r="Q705" s="6" t="s">
        <v>217</v>
      </c>
      <c r="R705" s="6" t="s">
        <v>5800</v>
      </c>
      <c r="S705" s="6">
        <v>9</v>
      </c>
      <c r="T705" s="6" t="s">
        <v>217</v>
      </c>
      <c r="U705" s="6" t="s">
        <v>217</v>
      </c>
      <c r="V705" s="6"/>
      <c r="W705" s="6"/>
      <c r="X705" s="6"/>
      <c r="Y705" s="6"/>
      <c r="Z705" s="6"/>
      <c r="AA705" s="6"/>
      <c r="AB705" s="6"/>
      <c r="AC705" s="6"/>
      <c r="AD705" s="7"/>
    </row>
    <row r="706" spans="1:30" ht="15.6" x14ac:dyDescent="0.3">
      <c r="A706" s="4">
        <v>1019</v>
      </c>
      <c r="B706" s="5" t="s">
        <v>5801</v>
      </c>
      <c r="C706" s="6" t="s">
        <v>72</v>
      </c>
      <c r="D706" s="5" t="s">
        <v>5802</v>
      </c>
      <c r="E706" s="6"/>
      <c r="F706" s="6" t="s">
        <v>5803</v>
      </c>
      <c r="G706" s="6" t="s">
        <v>5804</v>
      </c>
      <c r="H706" s="8">
        <v>0</v>
      </c>
      <c r="I706" s="8">
        <v>-0.4</v>
      </c>
      <c r="J706" s="6" t="s">
        <v>1649</v>
      </c>
      <c r="K706" s="6" t="s">
        <v>799</v>
      </c>
      <c r="L706" s="6" t="s">
        <v>217</v>
      </c>
      <c r="M706" s="6" t="s">
        <v>800</v>
      </c>
      <c r="N706" s="6" t="s">
        <v>217</v>
      </c>
      <c r="O706" s="6" t="s">
        <v>800</v>
      </c>
      <c r="P706" s="6" t="s">
        <v>217</v>
      </c>
      <c r="Q706" s="6" t="s">
        <v>217</v>
      </c>
      <c r="R706" s="6" t="s">
        <v>5805</v>
      </c>
      <c r="S706" s="6">
        <v>14</v>
      </c>
      <c r="T706" s="6" t="s">
        <v>217</v>
      </c>
      <c r="U706" s="6" t="s">
        <v>217</v>
      </c>
      <c r="V706" s="6"/>
      <c r="W706" s="6"/>
      <c r="X706" s="6"/>
      <c r="Y706" s="6"/>
      <c r="Z706" s="6"/>
      <c r="AA706" s="6"/>
      <c r="AB706" s="6"/>
      <c r="AC706" s="6"/>
      <c r="AD706" s="7"/>
    </row>
    <row r="707" spans="1:30" ht="15.6" x14ac:dyDescent="0.3">
      <c r="A707" s="4">
        <v>1020</v>
      </c>
      <c r="B707" s="5" t="s">
        <v>5806</v>
      </c>
      <c r="C707" s="6" t="s">
        <v>1408</v>
      </c>
      <c r="D707" s="5" t="s">
        <v>407</v>
      </c>
      <c r="E707" s="6"/>
      <c r="F707" s="5" t="s">
        <v>5807</v>
      </c>
      <c r="G707" s="6" t="s">
        <v>5808</v>
      </c>
      <c r="H707" s="8">
        <v>0</v>
      </c>
      <c r="I707" s="6"/>
      <c r="J707" s="6" t="s">
        <v>296</v>
      </c>
      <c r="K707" s="6" t="s">
        <v>799</v>
      </c>
      <c r="L707" s="6" t="s">
        <v>217</v>
      </c>
      <c r="M707" s="6" t="s">
        <v>800</v>
      </c>
      <c r="N707" s="6" t="s">
        <v>217</v>
      </c>
      <c r="O707" s="6" t="s">
        <v>800</v>
      </c>
      <c r="P707" s="6" t="s">
        <v>217</v>
      </c>
      <c r="Q707" s="6" t="s">
        <v>217</v>
      </c>
      <c r="R707" s="6">
        <v>81</v>
      </c>
      <c r="S707" s="6">
        <v>0</v>
      </c>
      <c r="T707" s="6" t="s">
        <v>217</v>
      </c>
      <c r="U707" s="6" t="s">
        <v>217</v>
      </c>
      <c r="V707" s="6"/>
      <c r="W707" s="6"/>
      <c r="X707" s="6"/>
      <c r="Y707" s="6"/>
      <c r="Z707" s="6"/>
      <c r="AA707" s="6"/>
      <c r="AB707" s="6"/>
      <c r="AC707" s="6"/>
      <c r="AD707" s="7"/>
    </row>
    <row r="708" spans="1:30" ht="15.6" x14ac:dyDescent="0.3">
      <c r="A708" s="4">
        <v>1021</v>
      </c>
      <c r="B708" s="5" t="s">
        <v>5809</v>
      </c>
      <c r="C708" s="6" t="s">
        <v>1408</v>
      </c>
      <c r="D708" s="5" t="s">
        <v>5810</v>
      </c>
      <c r="E708" s="6"/>
      <c r="F708" s="6" t="s">
        <v>5811</v>
      </c>
      <c r="G708" s="6" t="s">
        <v>5812</v>
      </c>
      <c r="H708" s="8">
        <v>0</v>
      </c>
      <c r="I708" s="8">
        <v>-0.73</v>
      </c>
      <c r="J708" s="6" t="s">
        <v>824</v>
      </c>
      <c r="K708" s="6" t="s">
        <v>799</v>
      </c>
      <c r="L708" s="6" t="s">
        <v>217</v>
      </c>
      <c r="M708" s="6" t="s">
        <v>800</v>
      </c>
      <c r="N708" s="6" t="s">
        <v>217</v>
      </c>
      <c r="O708" s="6" t="s">
        <v>800</v>
      </c>
      <c r="P708" s="6" t="s">
        <v>217</v>
      </c>
      <c r="Q708" s="6" t="s">
        <v>217</v>
      </c>
      <c r="R708" s="6">
        <v>632</v>
      </c>
      <c r="S708" s="6">
        <v>1</v>
      </c>
      <c r="T708" s="6" t="s">
        <v>217</v>
      </c>
      <c r="U708" s="6" t="s">
        <v>217</v>
      </c>
      <c r="V708" s="6"/>
      <c r="W708" s="6"/>
      <c r="X708" s="6"/>
      <c r="Y708" s="6"/>
      <c r="Z708" s="6"/>
      <c r="AA708" s="6"/>
      <c r="AB708" s="6"/>
      <c r="AC708" s="6"/>
      <c r="AD708" s="7"/>
    </row>
    <row r="709" spans="1:30" ht="15.6" x14ac:dyDescent="0.3">
      <c r="A709" s="4">
        <v>1022</v>
      </c>
      <c r="B709" s="5" t="s">
        <v>5813</v>
      </c>
      <c r="C709" s="6" t="s">
        <v>1408</v>
      </c>
      <c r="D709" s="5" t="s">
        <v>5814</v>
      </c>
      <c r="E709" s="6"/>
      <c r="F709" s="6" t="s">
        <v>5815</v>
      </c>
      <c r="G709" s="6" t="s">
        <v>5816</v>
      </c>
      <c r="H709" s="8">
        <v>0</v>
      </c>
      <c r="I709" s="8">
        <v>-0.14000000000000001</v>
      </c>
      <c r="J709" s="6" t="s">
        <v>411</v>
      </c>
      <c r="K709" s="6" t="s">
        <v>799</v>
      </c>
      <c r="L709" s="6" t="s">
        <v>217</v>
      </c>
      <c r="M709" s="6" t="s">
        <v>800</v>
      </c>
      <c r="N709" s="6" t="s">
        <v>217</v>
      </c>
      <c r="O709" s="6" t="s">
        <v>800</v>
      </c>
      <c r="P709" s="6" t="s">
        <v>217</v>
      </c>
      <c r="Q709" s="6" t="s">
        <v>217</v>
      </c>
      <c r="R709" s="6">
        <v>308</v>
      </c>
      <c r="S709" s="6">
        <v>3</v>
      </c>
      <c r="T709" s="6" t="s">
        <v>217</v>
      </c>
      <c r="U709" s="6" t="s">
        <v>217</v>
      </c>
      <c r="V709" s="6"/>
      <c r="W709" s="6"/>
      <c r="X709" s="6"/>
      <c r="Y709" s="6"/>
      <c r="Z709" s="6"/>
      <c r="AA709" s="6"/>
      <c r="AB709" s="6"/>
      <c r="AC709" s="6"/>
      <c r="AD709" s="7"/>
    </row>
    <row r="710" spans="1:30" ht="15.6" x14ac:dyDescent="0.3">
      <c r="A710" s="4">
        <v>1023</v>
      </c>
      <c r="B710" s="5" t="s">
        <v>5817</v>
      </c>
      <c r="C710" s="6" t="s">
        <v>185</v>
      </c>
      <c r="D710" s="5" t="s">
        <v>5818</v>
      </c>
      <c r="E710" s="6"/>
      <c r="F710" s="5" t="s">
        <v>5819</v>
      </c>
      <c r="G710" s="6" t="s">
        <v>5820</v>
      </c>
      <c r="H710" s="8">
        <v>0</v>
      </c>
      <c r="I710" s="8">
        <v>-0.26</v>
      </c>
      <c r="J710" s="6" t="s">
        <v>397</v>
      </c>
      <c r="K710" s="6" t="s">
        <v>799</v>
      </c>
      <c r="L710" s="6" t="s">
        <v>217</v>
      </c>
      <c r="M710" s="6" t="s">
        <v>800</v>
      </c>
      <c r="N710" s="6" t="s">
        <v>217</v>
      </c>
      <c r="O710" s="6" t="s">
        <v>800</v>
      </c>
      <c r="P710" s="6" t="s">
        <v>217</v>
      </c>
      <c r="Q710" s="6" t="s">
        <v>217</v>
      </c>
      <c r="R710" s="6" t="s">
        <v>5821</v>
      </c>
      <c r="S710" s="6">
        <v>6</v>
      </c>
      <c r="T710" s="6" t="s">
        <v>217</v>
      </c>
      <c r="U710" s="6" t="s">
        <v>217</v>
      </c>
      <c r="V710" s="6"/>
      <c r="W710" s="6"/>
      <c r="X710" s="6"/>
      <c r="Y710" s="6"/>
      <c r="Z710" s="6"/>
      <c r="AA710" s="6"/>
      <c r="AB710" s="6"/>
      <c r="AC710" s="6"/>
      <c r="AD710" s="7"/>
    </row>
    <row r="711" spans="1:30" ht="15.6" x14ac:dyDescent="0.3">
      <c r="A711" s="4">
        <v>1024</v>
      </c>
      <c r="B711" s="5" t="s">
        <v>5822</v>
      </c>
      <c r="C711" s="6" t="s">
        <v>185</v>
      </c>
      <c r="D711" s="5" t="s">
        <v>5823</v>
      </c>
      <c r="E711" s="6"/>
      <c r="F711" s="6" t="s">
        <v>5824</v>
      </c>
      <c r="G711" s="6" t="s">
        <v>5825</v>
      </c>
      <c r="H711" s="8">
        <v>0</v>
      </c>
      <c r="I711" s="6">
        <f>950%</f>
        <v>9.5</v>
      </c>
      <c r="J711" s="6" t="s">
        <v>667</v>
      </c>
      <c r="K711" s="6" t="s">
        <v>799</v>
      </c>
      <c r="L711" s="6" t="s">
        <v>217</v>
      </c>
      <c r="M711" s="6" t="s">
        <v>800</v>
      </c>
      <c r="N711" s="6" t="s">
        <v>217</v>
      </c>
      <c r="O711" s="6" t="s">
        <v>800</v>
      </c>
      <c r="P711" s="6" t="s">
        <v>217</v>
      </c>
      <c r="Q711" s="6" t="s">
        <v>217</v>
      </c>
      <c r="R711" s="6">
        <v>285</v>
      </c>
      <c r="S711" s="6">
        <v>1</v>
      </c>
      <c r="T711" s="6" t="s">
        <v>217</v>
      </c>
      <c r="U711" s="6" t="s">
        <v>217</v>
      </c>
      <c r="V711" s="6"/>
      <c r="W711" s="6"/>
      <c r="X711" s="6"/>
      <c r="Y711" s="6"/>
      <c r="Z711" s="6"/>
      <c r="AA711" s="6"/>
      <c r="AB711" s="6"/>
      <c r="AC711" s="6"/>
      <c r="AD711" s="7"/>
    </row>
    <row r="712" spans="1:30" ht="15.6" x14ac:dyDescent="0.3">
      <c r="A712" s="4">
        <v>1025</v>
      </c>
      <c r="B712" s="5" t="s">
        <v>5826</v>
      </c>
      <c r="C712" s="6" t="s">
        <v>185</v>
      </c>
      <c r="D712" s="5" t="s">
        <v>5827</v>
      </c>
      <c r="E712" s="6"/>
      <c r="F712" s="5" t="s">
        <v>5828</v>
      </c>
      <c r="G712" s="6" t="s">
        <v>5829</v>
      </c>
      <c r="H712" s="8">
        <v>0</v>
      </c>
      <c r="I712" s="6">
        <f>140%</f>
        <v>1.4</v>
      </c>
      <c r="J712" s="6" t="s">
        <v>442</v>
      </c>
      <c r="K712" s="6" t="s">
        <v>799</v>
      </c>
      <c r="L712" s="6" t="s">
        <v>217</v>
      </c>
      <c r="M712" s="6" t="s">
        <v>800</v>
      </c>
      <c r="N712" s="6" t="s">
        <v>217</v>
      </c>
      <c r="O712" s="6" t="s">
        <v>800</v>
      </c>
      <c r="P712" s="6" t="s">
        <v>217</v>
      </c>
      <c r="Q712" s="6" t="s">
        <v>217</v>
      </c>
      <c r="R712" s="6">
        <v>302</v>
      </c>
      <c r="S712" s="6">
        <v>0</v>
      </c>
      <c r="T712" s="6" t="s">
        <v>217</v>
      </c>
      <c r="U712" s="6" t="s">
        <v>217</v>
      </c>
      <c r="V712" s="6"/>
      <c r="W712" s="6"/>
      <c r="X712" s="6"/>
      <c r="Y712" s="6"/>
      <c r="Z712" s="6"/>
      <c r="AA712" s="6"/>
      <c r="AB712" s="6"/>
      <c r="AC712" s="6"/>
      <c r="AD712" s="7"/>
    </row>
    <row r="713" spans="1:30" ht="15.6" x14ac:dyDescent="0.3">
      <c r="A713" s="4">
        <v>1026</v>
      </c>
      <c r="B713" s="5" t="s">
        <v>5830</v>
      </c>
      <c r="C713" s="6" t="s">
        <v>72</v>
      </c>
      <c r="D713" s="5" t="s">
        <v>5831</v>
      </c>
      <c r="E713" s="5" t="s">
        <v>48</v>
      </c>
      <c r="F713" s="6" t="s">
        <v>5832</v>
      </c>
      <c r="G713" s="6" t="s">
        <v>5833</v>
      </c>
      <c r="H713" s="8">
        <v>0</v>
      </c>
      <c r="I713" s="8">
        <v>-0.41</v>
      </c>
      <c r="J713" s="6" t="s">
        <v>698</v>
      </c>
      <c r="K713" s="6" t="s">
        <v>5834</v>
      </c>
      <c r="L713" s="8">
        <v>-0.48</v>
      </c>
      <c r="M713" s="6" t="s">
        <v>5835</v>
      </c>
      <c r="N713" s="8">
        <v>-0.48</v>
      </c>
      <c r="O713" s="6" t="s">
        <v>5836</v>
      </c>
      <c r="P713" s="6" t="s">
        <v>5837</v>
      </c>
      <c r="Q713" s="6" t="s">
        <v>217</v>
      </c>
      <c r="R713" s="6" t="s">
        <v>5838</v>
      </c>
      <c r="S713" s="6">
        <v>2</v>
      </c>
      <c r="T713" s="6" t="s">
        <v>642</v>
      </c>
      <c r="U713" s="8">
        <v>-0.87</v>
      </c>
      <c r="V713" s="6"/>
      <c r="W713" s="6"/>
      <c r="X713" s="6"/>
      <c r="Y713" s="6"/>
      <c r="Z713" s="6"/>
      <c r="AA713" s="6"/>
      <c r="AB713" s="6"/>
      <c r="AC713" s="6"/>
      <c r="AD713" s="7"/>
    </row>
    <row r="714" spans="1:30" ht="15.6" x14ac:dyDescent="0.3">
      <c r="A714" s="4">
        <v>1027</v>
      </c>
      <c r="B714" s="5" t="s">
        <v>5839</v>
      </c>
      <c r="C714" s="6" t="s">
        <v>173</v>
      </c>
      <c r="D714" s="5" t="s">
        <v>5840</v>
      </c>
      <c r="E714" s="6"/>
      <c r="F714" s="6" t="s">
        <v>5841</v>
      </c>
      <c r="G714" s="6" t="s">
        <v>5842</v>
      </c>
      <c r="H714" s="8">
        <v>0</v>
      </c>
      <c r="I714" s="6" t="s">
        <v>217</v>
      </c>
      <c r="J714" s="6" t="s">
        <v>1048</v>
      </c>
      <c r="K714" s="6" t="s">
        <v>799</v>
      </c>
      <c r="L714" s="6" t="s">
        <v>217</v>
      </c>
      <c r="M714" s="6" t="s">
        <v>800</v>
      </c>
      <c r="N714" s="6" t="s">
        <v>217</v>
      </c>
      <c r="O714" s="6" t="s">
        <v>800</v>
      </c>
      <c r="P714" s="6" t="s">
        <v>217</v>
      </c>
      <c r="Q714" s="6" t="s">
        <v>217</v>
      </c>
      <c r="R714" s="6" t="s">
        <v>5843</v>
      </c>
      <c r="S714" s="6">
        <v>74</v>
      </c>
      <c r="T714" s="6" t="s">
        <v>217</v>
      </c>
      <c r="U714" s="6" t="s">
        <v>217</v>
      </c>
      <c r="V714" s="6"/>
      <c r="W714" s="6"/>
      <c r="X714" s="6"/>
      <c r="Y714" s="6"/>
      <c r="Z714" s="6"/>
      <c r="AA714" s="6"/>
      <c r="AB714" s="6"/>
      <c r="AC714" s="6"/>
      <c r="AD714" s="7"/>
    </row>
    <row r="715" spans="1:30" ht="15.6" x14ac:dyDescent="0.3">
      <c r="A715" s="4">
        <v>1028</v>
      </c>
      <c r="B715" s="5" t="s">
        <v>5844</v>
      </c>
      <c r="C715" s="6" t="s">
        <v>31</v>
      </c>
      <c r="D715" s="5" t="s">
        <v>407</v>
      </c>
      <c r="E715" s="6"/>
      <c r="F715" s="6" t="s">
        <v>5845</v>
      </c>
      <c r="G715" s="6" t="s">
        <v>5846</v>
      </c>
      <c r="H715" s="8">
        <v>0</v>
      </c>
      <c r="I715" s="6">
        <f>200%</f>
        <v>2</v>
      </c>
      <c r="J715" s="6" t="s">
        <v>824</v>
      </c>
      <c r="K715" s="6" t="s">
        <v>799</v>
      </c>
      <c r="L715" s="6" t="s">
        <v>217</v>
      </c>
      <c r="M715" s="6" t="s">
        <v>800</v>
      </c>
      <c r="N715" s="6" t="s">
        <v>217</v>
      </c>
      <c r="O715" s="6" t="s">
        <v>800</v>
      </c>
      <c r="P715" s="6" t="s">
        <v>217</v>
      </c>
      <c r="Q715" s="6" t="s">
        <v>217</v>
      </c>
      <c r="R715" s="6">
        <v>208</v>
      </c>
      <c r="S715" s="6">
        <v>0</v>
      </c>
      <c r="T715" s="6" t="s">
        <v>217</v>
      </c>
      <c r="U715" s="6" t="s">
        <v>217</v>
      </c>
      <c r="V715" s="6"/>
      <c r="W715" s="6"/>
      <c r="X715" s="6"/>
      <c r="Y715" s="6"/>
      <c r="Z715" s="6"/>
      <c r="AA715" s="6"/>
      <c r="AB715" s="6"/>
      <c r="AC715" s="6"/>
      <c r="AD715" s="7"/>
    </row>
    <row r="716" spans="1:30" ht="15.6" x14ac:dyDescent="0.3">
      <c r="A716" s="4">
        <v>1030</v>
      </c>
      <c r="B716" s="5" t="s">
        <v>5847</v>
      </c>
      <c r="C716" s="6" t="s">
        <v>72</v>
      </c>
      <c r="D716" s="5" t="s">
        <v>5848</v>
      </c>
      <c r="E716" s="6"/>
      <c r="F716" s="6" t="s">
        <v>5849</v>
      </c>
      <c r="G716" s="6" t="s">
        <v>5850</v>
      </c>
      <c r="H716" s="8">
        <v>0</v>
      </c>
      <c r="I716" s="6" t="s">
        <v>217</v>
      </c>
      <c r="J716" s="6" t="s">
        <v>1354</v>
      </c>
      <c r="K716" s="6" t="s">
        <v>799</v>
      </c>
      <c r="L716" s="6" t="s">
        <v>217</v>
      </c>
      <c r="M716" s="6" t="s">
        <v>800</v>
      </c>
      <c r="N716" s="6" t="s">
        <v>217</v>
      </c>
      <c r="O716" s="6" t="s">
        <v>800</v>
      </c>
      <c r="P716" s="6" t="s">
        <v>217</v>
      </c>
      <c r="Q716" s="6" t="s">
        <v>217</v>
      </c>
      <c r="R716" s="6">
        <v>404</v>
      </c>
      <c r="S716" s="6">
        <v>0</v>
      </c>
      <c r="T716" s="6" t="s">
        <v>217</v>
      </c>
      <c r="U716" s="6" t="s">
        <v>217</v>
      </c>
      <c r="V716" s="6"/>
      <c r="W716" s="6"/>
      <c r="X716" s="6"/>
      <c r="Y716" s="6"/>
      <c r="Z716" s="6"/>
      <c r="AA716" s="6"/>
      <c r="AB716" s="6"/>
      <c r="AC716" s="6"/>
      <c r="AD716" s="7"/>
    </row>
    <row r="717" spans="1:30" ht="15.6" x14ac:dyDescent="0.3">
      <c r="A717" s="4">
        <v>1031</v>
      </c>
      <c r="B717" s="5" t="s">
        <v>5851</v>
      </c>
      <c r="C717" s="6" t="s">
        <v>72</v>
      </c>
      <c r="D717" s="5" t="s">
        <v>5852</v>
      </c>
      <c r="E717" s="6"/>
      <c r="F717" s="6" t="s">
        <v>5853</v>
      </c>
      <c r="G717" s="6" t="s">
        <v>5854</v>
      </c>
      <c r="H717" s="8">
        <v>0</v>
      </c>
      <c r="I717" s="8">
        <v>-1</v>
      </c>
      <c r="J717" s="6" t="s">
        <v>846</v>
      </c>
      <c r="K717" s="6" t="s">
        <v>799</v>
      </c>
      <c r="L717" s="6" t="s">
        <v>217</v>
      </c>
      <c r="M717" s="6" t="s">
        <v>800</v>
      </c>
      <c r="N717" s="6" t="s">
        <v>217</v>
      </c>
      <c r="O717" s="6" t="s">
        <v>800</v>
      </c>
      <c r="P717" s="6" t="s">
        <v>217</v>
      </c>
      <c r="Q717" s="6" t="s">
        <v>217</v>
      </c>
      <c r="R717" s="6">
        <v>447</v>
      </c>
      <c r="S717" s="6">
        <v>1</v>
      </c>
      <c r="T717" s="6" t="s">
        <v>217</v>
      </c>
      <c r="U717" s="6" t="s">
        <v>217</v>
      </c>
      <c r="V717" s="6"/>
      <c r="W717" s="6"/>
      <c r="X717" s="6"/>
      <c r="Y717" s="6"/>
      <c r="Z717" s="6"/>
      <c r="AA717" s="6"/>
      <c r="AB717" s="6"/>
      <c r="AC717" s="6"/>
      <c r="AD717" s="7"/>
    </row>
    <row r="718" spans="1:30" ht="15.6" x14ac:dyDescent="0.3">
      <c r="A718" s="4">
        <v>1032</v>
      </c>
      <c r="B718" s="5" t="s">
        <v>5855</v>
      </c>
      <c r="C718" s="6" t="s">
        <v>72</v>
      </c>
      <c r="D718" s="5" t="s">
        <v>5856</v>
      </c>
      <c r="E718" s="6"/>
      <c r="F718" s="6" t="s">
        <v>5857</v>
      </c>
      <c r="G718" s="6" t="s">
        <v>5858</v>
      </c>
      <c r="H718" s="8">
        <v>0</v>
      </c>
      <c r="I718" s="6" t="s">
        <v>217</v>
      </c>
      <c r="J718" s="8">
        <v>0</v>
      </c>
      <c r="K718" s="6" t="s">
        <v>799</v>
      </c>
      <c r="L718" s="6" t="s">
        <v>217</v>
      </c>
      <c r="M718" s="6" t="s">
        <v>800</v>
      </c>
      <c r="N718" s="6" t="s">
        <v>217</v>
      </c>
      <c r="O718" s="6" t="s">
        <v>800</v>
      </c>
      <c r="P718" s="6" t="s">
        <v>217</v>
      </c>
      <c r="Q718" s="6" t="s">
        <v>217</v>
      </c>
      <c r="R718" s="6" t="s">
        <v>5859</v>
      </c>
      <c r="S718" s="6">
        <v>386</v>
      </c>
      <c r="T718" s="6" t="s">
        <v>217</v>
      </c>
      <c r="U718" s="6" t="s">
        <v>217</v>
      </c>
      <c r="V718" s="6"/>
      <c r="W718" s="6"/>
      <c r="X718" s="6"/>
      <c r="Y718" s="6"/>
      <c r="Z718" s="6"/>
      <c r="AA718" s="6"/>
      <c r="AB718" s="6"/>
      <c r="AC718" s="6"/>
      <c r="AD718" s="7"/>
    </row>
    <row r="719" spans="1:30" ht="15.6" x14ac:dyDescent="0.3">
      <c r="A719" s="4">
        <v>1033</v>
      </c>
      <c r="B719" s="5" t="s">
        <v>5860</v>
      </c>
      <c r="C719" s="6" t="s">
        <v>72</v>
      </c>
      <c r="D719" s="5" t="s">
        <v>5861</v>
      </c>
      <c r="E719" s="6"/>
      <c r="F719" s="6" t="s">
        <v>5862</v>
      </c>
      <c r="G719" s="6" t="s">
        <v>5863</v>
      </c>
      <c r="H719" s="8">
        <v>0</v>
      </c>
      <c r="I719" s="6">
        <f>32%</f>
        <v>0.32</v>
      </c>
      <c r="J719" s="6" t="s">
        <v>667</v>
      </c>
      <c r="K719" s="6" t="s">
        <v>799</v>
      </c>
      <c r="L719" s="6" t="s">
        <v>217</v>
      </c>
      <c r="M719" s="6" t="s">
        <v>800</v>
      </c>
      <c r="N719" s="6" t="s">
        <v>217</v>
      </c>
      <c r="O719" s="6" t="s">
        <v>800</v>
      </c>
      <c r="P719" s="6" t="s">
        <v>217</v>
      </c>
      <c r="Q719" s="6" t="s">
        <v>217</v>
      </c>
      <c r="R719" s="6">
        <v>593</v>
      </c>
      <c r="S719" s="6">
        <v>1</v>
      </c>
      <c r="T719" s="6" t="s">
        <v>217</v>
      </c>
      <c r="U719" s="6" t="s">
        <v>217</v>
      </c>
      <c r="V719" s="6"/>
      <c r="W719" s="6"/>
      <c r="X719" s="6"/>
      <c r="Y719" s="6"/>
      <c r="Z719" s="6"/>
      <c r="AA719" s="6"/>
      <c r="AB719" s="6"/>
      <c r="AC719" s="6"/>
      <c r="AD719" s="7"/>
    </row>
    <row r="720" spans="1:30" ht="15.6" x14ac:dyDescent="0.3">
      <c r="A720" s="4">
        <v>1034</v>
      </c>
      <c r="B720" s="5" t="s">
        <v>5864</v>
      </c>
      <c r="C720" s="6" t="s">
        <v>72</v>
      </c>
      <c r="D720" s="5" t="s">
        <v>5865</v>
      </c>
      <c r="E720" s="6"/>
      <c r="F720" s="6" t="s">
        <v>5866</v>
      </c>
      <c r="G720" s="6" t="s">
        <v>5867</v>
      </c>
      <c r="H720" s="8">
        <v>0</v>
      </c>
      <c r="I720" s="6" t="s">
        <v>217</v>
      </c>
      <c r="J720" s="6" t="s">
        <v>973</v>
      </c>
      <c r="K720" s="6" t="s">
        <v>799</v>
      </c>
      <c r="L720" s="6" t="s">
        <v>217</v>
      </c>
      <c r="M720" s="6" t="s">
        <v>800</v>
      </c>
      <c r="N720" s="6" t="s">
        <v>217</v>
      </c>
      <c r="O720" s="6" t="s">
        <v>800</v>
      </c>
      <c r="P720" s="6" t="s">
        <v>217</v>
      </c>
      <c r="Q720" s="6" t="s">
        <v>217</v>
      </c>
      <c r="R720" s="6">
        <v>248</v>
      </c>
      <c r="S720" s="6">
        <v>1</v>
      </c>
      <c r="T720" s="6" t="s">
        <v>217</v>
      </c>
      <c r="U720" s="6" t="s">
        <v>217</v>
      </c>
      <c r="V720" s="6"/>
      <c r="W720" s="6"/>
      <c r="X720" s="6"/>
      <c r="Y720" s="6"/>
      <c r="Z720" s="6"/>
      <c r="AA720" s="6"/>
      <c r="AB720" s="6"/>
      <c r="AC720" s="6"/>
      <c r="AD720" s="7"/>
    </row>
    <row r="721" spans="1:30" ht="15.6" x14ac:dyDescent="0.3">
      <c r="A721" s="4">
        <v>1035</v>
      </c>
      <c r="B721" s="5" t="s">
        <v>5868</v>
      </c>
      <c r="C721" s="6" t="s">
        <v>72</v>
      </c>
      <c r="D721" s="5" t="s">
        <v>5869</v>
      </c>
      <c r="E721" s="6"/>
      <c r="F721" s="6" t="s">
        <v>5870</v>
      </c>
      <c r="G721" s="6" t="s">
        <v>5871</v>
      </c>
      <c r="H721" s="8">
        <v>0</v>
      </c>
      <c r="I721" s="8">
        <v>-0.75</v>
      </c>
      <c r="J721" s="6" t="s">
        <v>950</v>
      </c>
      <c r="K721" s="6" t="s">
        <v>799</v>
      </c>
      <c r="L721" s="6" t="s">
        <v>217</v>
      </c>
      <c r="M721" s="6" t="s">
        <v>800</v>
      </c>
      <c r="N721" s="6" t="s">
        <v>217</v>
      </c>
      <c r="O721" s="6" t="s">
        <v>800</v>
      </c>
      <c r="P721" s="6" t="s">
        <v>217</v>
      </c>
      <c r="Q721" s="6" t="s">
        <v>217</v>
      </c>
      <c r="R721" s="6" t="s">
        <v>5872</v>
      </c>
      <c r="S721" s="6">
        <v>9</v>
      </c>
      <c r="T721" s="6" t="s">
        <v>217</v>
      </c>
      <c r="U721" s="6" t="s">
        <v>217</v>
      </c>
      <c r="V721" s="6"/>
      <c r="W721" s="6"/>
      <c r="X721" s="6"/>
      <c r="Y721" s="6"/>
      <c r="Z721" s="6"/>
      <c r="AA721" s="6"/>
      <c r="AB721" s="6"/>
      <c r="AC721" s="6"/>
      <c r="AD721" s="7"/>
    </row>
    <row r="722" spans="1:30" ht="15.6" x14ac:dyDescent="0.3">
      <c r="A722" s="4">
        <v>1036</v>
      </c>
      <c r="B722" s="5" t="s">
        <v>5873</v>
      </c>
      <c r="C722" s="6" t="s">
        <v>820</v>
      </c>
      <c r="D722" s="5" t="s">
        <v>5874</v>
      </c>
      <c r="E722" s="6"/>
      <c r="F722" s="6" t="s">
        <v>5875</v>
      </c>
      <c r="G722" s="6" t="s">
        <v>5876</v>
      </c>
      <c r="H722" s="8">
        <v>0</v>
      </c>
      <c r="I722" s="8">
        <v>-1</v>
      </c>
      <c r="J722" s="6" t="s">
        <v>211</v>
      </c>
      <c r="K722" s="6" t="s">
        <v>799</v>
      </c>
      <c r="L722" s="6" t="s">
        <v>217</v>
      </c>
      <c r="M722" s="6" t="s">
        <v>800</v>
      </c>
      <c r="N722" s="6" t="s">
        <v>217</v>
      </c>
      <c r="O722" s="6" t="s">
        <v>800</v>
      </c>
      <c r="P722" s="6" t="s">
        <v>217</v>
      </c>
      <c r="Q722" s="6" t="s">
        <v>217</v>
      </c>
      <c r="R722" s="6">
        <v>327</v>
      </c>
      <c r="S722" s="6">
        <v>0</v>
      </c>
      <c r="T722" s="6" t="s">
        <v>217</v>
      </c>
      <c r="U722" s="6" t="s">
        <v>217</v>
      </c>
      <c r="V722" s="6"/>
      <c r="W722" s="6"/>
      <c r="X722" s="6"/>
      <c r="Y722" s="6"/>
      <c r="Z722" s="6"/>
      <c r="AA722" s="6"/>
      <c r="AB722" s="6"/>
      <c r="AC722" s="6"/>
      <c r="AD722" s="7"/>
    </row>
    <row r="723" spans="1:30" ht="15.6" x14ac:dyDescent="0.3">
      <c r="A723" s="4">
        <v>1037</v>
      </c>
      <c r="B723" s="5" t="s">
        <v>5877</v>
      </c>
      <c r="C723" s="6" t="s">
        <v>820</v>
      </c>
      <c r="D723" s="5" t="s">
        <v>5878</v>
      </c>
      <c r="E723" s="6"/>
      <c r="F723" s="6" t="s">
        <v>5879</v>
      </c>
      <c r="G723" s="6" t="s">
        <v>5880</v>
      </c>
      <c r="H723" s="8">
        <v>0</v>
      </c>
      <c r="I723" s="8">
        <v>-1</v>
      </c>
      <c r="J723" s="6" t="s">
        <v>1491</v>
      </c>
      <c r="K723" s="6" t="s">
        <v>799</v>
      </c>
      <c r="L723" s="6" t="s">
        <v>217</v>
      </c>
      <c r="M723" s="6" t="s">
        <v>800</v>
      </c>
      <c r="N723" s="6" t="s">
        <v>217</v>
      </c>
      <c r="O723" s="6" t="s">
        <v>800</v>
      </c>
      <c r="P723" s="6" t="s">
        <v>217</v>
      </c>
      <c r="Q723" s="6" t="s">
        <v>217</v>
      </c>
      <c r="R723" s="6" t="s">
        <v>5881</v>
      </c>
      <c r="S723" s="6">
        <v>8</v>
      </c>
      <c r="T723" s="6" t="s">
        <v>217</v>
      </c>
      <c r="U723" s="6" t="s">
        <v>217</v>
      </c>
      <c r="V723" s="6"/>
      <c r="W723" s="6"/>
      <c r="X723" s="6"/>
      <c r="Y723" s="6"/>
      <c r="Z723" s="6"/>
      <c r="AA723" s="6"/>
      <c r="AB723" s="6"/>
      <c r="AC723" s="6"/>
      <c r="AD723" s="7"/>
    </row>
    <row r="724" spans="1:30" ht="15.6" x14ac:dyDescent="0.3">
      <c r="A724" s="4">
        <v>1038</v>
      </c>
      <c r="B724" s="5" t="s">
        <v>5882</v>
      </c>
      <c r="C724" s="6" t="s">
        <v>185</v>
      </c>
      <c r="D724" s="5" t="s">
        <v>5883</v>
      </c>
      <c r="E724" s="6"/>
      <c r="F724" s="6" t="s">
        <v>5884</v>
      </c>
      <c r="G724" s="6" t="s">
        <v>5885</v>
      </c>
      <c r="H724" s="8">
        <v>0</v>
      </c>
      <c r="I724" s="8">
        <v>-0.3</v>
      </c>
      <c r="J724" s="6" t="s">
        <v>309</v>
      </c>
      <c r="K724" s="6" t="s">
        <v>799</v>
      </c>
      <c r="L724" s="6" t="s">
        <v>217</v>
      </c>
      <c r="M724" s="6" t="s">
        <v>800</v>
      </c>
      <c r="N724" s="6" t="s">
        <v>217</v>
      </c>
      <c r="O724" s="6" t="s">
        <v>800</v>
      </c>
      <c r="P724" s="6" t="s">
        <v>217</v>
      </c>
      <c r="Q724" s="6" t="s">
        <v>217</v>
      </c>
      <c r="R724" s="6">
        <v>467</v>
      </c>
      <c r="S724" s="6">
        <v>4</v>
      </c>
      <c r="T724" s="6" t="s">
        <v>217</v>
      </c>
      <c r="U724" s="6" t="s">
        <v>217</v>
      </c>
      <c r="V724" s="6"/>
      <c r="W724" s="6"/>
      <c r="X724" s="6"/>
      <c r="Y724" s="6"/>
      <c r="Z724" s="6"/>
      <c r="AA724" s="6"/>
      <c r="AB724" s="6"/>
      <c r="AC724" s="6"/>
      <c r="AD724" s="7"/>
    </row>
    <row r="725" spans="1:30" ht="15.6" x14ac:dyDescent="0.3">
      <c r="A725" s="4">
        <v>1039</v>
      </c>
      <c r="B725" s="5" t="s">
        <v>5886</v>
      </c>
      <c r="C725" s="6" t="s">
        <v>304</v>
      </c>
      <c r="D725" s="5" t="s">
        <v>5887</v>
      </c>
      <c r="E725" s="6"/>
      <c r="F725" s="6" t="s">
        <v>5888</v>
      </c>
      <c r="G725" s="6" t="s">
        <v>5889</v>
      </c>
      <c r="H725" s="8">
        <v>0</v>
      </c>
      <c r="I725" s="6">
        <f>53%</f>
        <v>0.53</v>
      </c>
      <c r="J725" s="6" t="s">
        <v>321</v>
      </c>
      <c r="K725" s="6" t="s">
        <v>799</v>
      </c>
      <c r="L725" s="6" t="s">
        <v>217</v>
      </c>
      <c r="M725" s="6" t="s">
        <v>800</v>
      </c>
      <c r="N725" s="6" t="s">
        <v>217</v>
      </c>
      <c r="O725" s="6" t="s">
        <v>800</v>
      </c>
      <c r="P725" s="6" t="s">
        <v>217</v>
      </c>
      <c r="Q725" s="6" t="s">
        <v>217</v>
      </c>
      <c r="R725" s="6">
        <v>234</v>
      </c>
      <c r="S725" s="6">
        <v>0</v>
      </c>
      <c r="T725" s="6" t="s">
        <v>217</v>
      </c>
      <c r="U725" s="6" t="s">
        <v>217</v>
      </c>
      <c r="V725" s="6"/>
      <c r="W725" s="6"/>
      <c r="X725" s="6"/>
      <c r="Y725" s="6"/>
      <c r="Z725" s="6"/>
      <c r="AA725" s="6"/>
      <c r="AB725" s="6"/>
      <c r="AC725" s="6"/>
      <c r="AD725" s="7"/>
    </row>
    <row r="726" spans="1:30" ht="15.6" x14ac:dyDescent="0.3">
      <c r="A726" s="4">
        <v>1040</v>
      </c>
      <c r="B726" s="5" t="s">
        <v>5890</v>
      </c>
      <c r="C726" s="6" t="s">
        <v>46</v>
      </c>
      <c r="D726" s="5" t="s">
        <v>5891</v>
      </c>
      <c r="E726" s="6"/>
      <c r="F726" s="6" t="s">
        <v>5892</v>
      </c>
      <c r="G726" s="6" t="s">
        <v>5893</v>
      </c>
      <c r="H726" s="8">
        <v>0</v>
      </c>
      <c r="I726" s="6">
        <f>100%</f>
        <v>1</v>
      </c>
      <c r="J726" s="6" t="s">
        <v>769</v>
      </c>
      <c r="K726" s="6" t="s">
        <v>799</v>
      </c>
      <c r="L726" s="6" t="s">
        <v>217</v>
      </c>
      <c r="M726" s="6" t="s">
        <v>800</v>
      </c>
      <c r="N726" s="6" t="s">
        <v>217</v>
      </c>
      <c r="O726" s="6" t="s">
        <v>800</v>
      </c>
      <c r="P726" s="6" t="s">
        <v>217</v>
      </c>
      <c r="Q726" s="6" t="s">
        <v>217</v>
      </c>
      <c r="R726" s="6">
        <v>48</v>
      </c>
      <c r="S726" s="6">
        <v>0</v>
      </c>
      <c r="T726" s="6" t="s">
        <v>217</v>
      </c>
      <c r="U726" s="6" t="s">
        <v>217</v>
      </c>
      <c r="V726" s="6"/>
      <c r="W726" s="6"/>
      <c r="X726" s="6"/>
      <c r="Y726" s="6"/>
      <c r="Z726" s="6"/>
      <c r="AA726" s="6"/>
      <c r="AB726" s="6"/>
      <c r="AC726" s="6"/>
      <c r="AD726" s="7"/>
    </row>
    <row r="727" spans="1:30" ht="15.6" x14ac:dyDescent="0.3">
      <c r="A727" s="4">
        <v>1041</v>
      </c>
      <c r="B727" s="5" t="s">
        <v>5894</v>
      </c>
      <c r="C727" s="6" t="s">
        <v>46</v>
      </c>
      <c r="D727" s="5" t="s">
        <v>5895</v>
      </c>
      <c r="E727" s="6"/>
      <c r="F727" s="6" t="s">
        <v>5896</v>
      </c>
      <c r="G727" s="6" t="s">
        <v>5897</v>
      </c>
      <c r="H727" s="8">
        <v>0</v>
      </c>
      <c r="I727" s="6" t="s">
        <v>152</v>
      </c>
      <c r="J727" s="6" t="s">
        <v>321</v>
      </c>
      <c r="K727" s="6" t="s">
        <v>799</v>
      </c>
      <c r="L727" s="6" t="s">
        <v>217</v>
      </c>
      <c r="M727" s="6" t="s">
        <v>800</v>
      </c>
      <c r="N727" s="6" t="s">
        <v>217</v>
      </c>
      <c r="O727" s="6" t="s">
        <v>800</v>
      </c>
      <c r="P727" s="6" t="s">
        <v>217</v>
      </c>
      <c r="Q727" s="6" t="s">
        <v>217</v>
      </c>
      <c r="R727" s="6" t="s">
        <v>5898</v>
      </c>
      <c r="S727" s="6">
        <v>75</v>
      </c>
      <c r="T727" s="6" t="s">
        <v>217</v>
      </c>
      <c r="U727" s="6" t="s">
        <v>217</v>
      </c>
      <c r="V727" s="6"/>
      <c r="W727" s="6"/>
      <c r="X727" s="6"/>
      <c r="Y727" s="6"/>
      <c r="Z727" s="6"/>
      <c r="AA727" s="6"/>
      <c r="AB727" s="6"/>
      <c r="AC727" s="6"/>
      <c r="AD727" s="7"/>
    </row>
    <row r="728" spans="1:30" ht="15.6" x14ac:dyDescent="0.3">
      <c r="A728" s="4">
        <v>1042</v>
      </c>
      <c r="B728" s="5" t="s">
        <v>5899</v>
      </c>
      <c r="C728" s="6" t="s">
        <v>173</v>
      </c>
      <c r="D728" s="5" t="s">
        <v>5900</v>
      </c>
      <c r="E728" s="6"/>
      <c r="F728" s="6" t="s">
        <v>5901</v>
      </c>
      <c r="G728" s="6" t="s">
        <v>5902</v>
      </c>
      <c r="H728" s="8">
        <v>0</v>
      </c>
      <c r="I728" s="8">
        <v>-0.44</v>
      </c>
      <c r="J728" s="6" t="s">
        <v>259</v>
      </c>
      <c r="K728" s="6" t="s">
        <v>799</v>
      </c>
      <c r="L728" s="6" t="s">
        <v>217</v>
      </c>
      <c r="M728" s="6" t="s">
        <v>800</v>
      </c>
      <c r="N728" s="6" t="s">
        <v>217</v>
      </c>
      <c r="O728" s="6" t="s">
        <v>800</v>
      </c>
      <c r="P728" s="6" t="s">
        <v>217</v>
      </c>
      <c r="Q728" s="6" t="s">
        <v>217</v>
      </c>
      <c r="R728" s="6">
        <v>815</v>
      </c>
      <c r="S728" s="6">
        <v>14</v>
      </c>
      <c r="T728" s="6" t="s">
        <v>217</v>
      </c>
      <c r="U728" s="6" t="s">
        <v>217</v>
      </c>
      <c r="V728" s="6"/>
      <c r="W728" s="6"/>
      <c r="X728" s="6"/>
      <c r="Y728" s="6"/>
      <c r="Z728" s="6"/>
      <c r="AA728" s="6"/>
      <c r="AB728" s="6"/>
      <c r="AC728" s="6"/>
      <c r="AD728" s="7"/>
    </row>
    <row r="729" spans="1:30" ht="15.6" x14ac:dyDescent="0.3">
      <c r="A729" s="4">
        <v>1043</v>
      </c>
      <c r="B729" s="5" t="s">
        <v>5903</v>
      </c>
      <c r="C729" s="6" t="s">
        <v>173</v>
      </c>
      <c r="D729" s="5" t="s">
        <v>5904</v>
      </c>
      <c r="E729" s="6"/>
      <c r="F729" s="6" t="s">
        <v>5905</v>
      </c>
      <c r="G729" s="6" t="s">
        <v>5906</v>
      </c>
      <c r="H729" s="8">
        <v>0</v>
      </c>
      <c r="I729" s="6" t="s">
        <v>217</v>
      </c>
      <c r="J729" s="6" t="s">
        <v>166</v>
      </c>
      <c r="K729" s="6" t="s">
        <v>799</v>
      </c>
      <c r="L729" s="6" t="s">
        <v>217</v>
      </c>
      <c r="M729" s="6" t="s">
        <v>800</v>
      </c>
      <c r="N729" s="6" t="s">
        <v>217</v>
      </c>
      <c r="O729" s="6" t="s">
        <v>800</v>
      </c>
      <c r="P729" s="6" t="s">
        <v>217</v>
      </c>
      <c r="Q729" s="6" t="s">
        <v>217</v>
      </c>
      <c r="R729" s="6">
        <v>204</v>
      </c>
      <c r="S729" s="6">
        <v>0</v>
      </c>
      <c r="T729" s="6" t="s">
        <v>217</v>
      </c>
      <c r="U729" s="6" t="s">
        <v>217</v>
      </c>
      <c r="V729" s="6"/>
      <c r="W729" s="6"/>
      <c r="X729" s="6"/>
      <c r="Y729" s="6"/>
      <c r="Z729" s="6"/>
      <c r="AA729" s="6"/>
      <c r="AB729" s="6"/>
      <c r="AC729" s="6"/>
      <c r="AD729" s="7"/>
    </row>
    <row r="730" spans="1:30" ht="15.6" x14ac:dyDescent="0.3">
      <c r="A730" s="4">
        <v>1044</v>
      </c>
      <c r="B730" s="5" t="s">
        <v>5907</v>
      </c>
      <c r="C730" s="6" t="s">
        <v>173</v>
      </c>
      <c r="D730" s="5" t="s">
        <v>5908</v>
      </c>
      <c r="E730" s="6"/>
      <c r="F730" s="6" t="s">
        <v>5909</v>
      </c>
      <c r="G730" s="6" t="s">
        <v>5910</v>
      </c>
      <c r="H730" s="8">
        <v>0</v>
      </c>
      <c r="I730" s="8">
        <v>-0.5</v>
      </c>
      <c r="J730" s="6" t="s">
        <v>1071</v>
      </c>
      <c r="K730" s="6" t="s">
        <v>799</v>
      </c>
      <c r="L730" s="6" t="s">
        <v>217</v>
      </c>
      <c r="M730" s="6" t="s">
        <v>800</v>
      </c>
      <c r="N730" s="6" t="s">
        <v>217</v>
      </c>
      <c r="O730" s="6" t="s">
        <v>800</v>
      </c>
      <c r="P730" s="6" t="s">
        <v>217</v>
      </c>
      <c r="Q730" s="6" t="s">
        <v>217</v>
      </c>
      <c r="R730" s="6">
        <v>241</v>
      </c>
      <c r="S730" s="6">
        <v>0</v>
      </c>
      <c r="T730" s="6" t="s">
        <v>217</v>
      </c>
      <c r="U730" s="6" t="s">
        <v>217</v>
      </c>
      <c r="V730" s="6"/>
      <c r="W730" s="6"/>
      <c r="X730" s="6"/>
      <c r="Y730" s="6"/>
      <c r="Z730" s="6"/>
      <c r="AA730" s="6"/>
      <c r="AB730" s="6"/>
      <c r="AC730" s="6"/>
      <c r="AD730" s="7"/>
    </row>
    <row r="731" spans="1:30" ht="15.6" x14ac:dyDescent="0.3">
      <c r="A731" s="4">
        <v>1045</v>
      </c>
      <c r="B731" s="5" t="s">
        <v>5911</v>
      </c>
      <c r="C731" s="6" t="s">
        <v>304</v>
      </c>
      <c r="D731" s="5" t="s">
        <v>5912</v>
      </c>
      <c r="E731" s="6"/>
      <c r="F731" s="6" t="s">
        <v>5913</v>
      </c>
      <c r="G731" s="6" t="s">
        <v>5914</v>
      </c>
      <c r="H731" s="8">
        <v>0</v>
      </c>
      <c r="I731" s="8">
        <v>-0.3</v>
      </c>
      <c r="J731" s="6" t="s">
        <v>421</v>
      </c>
      <c r="K731" s="6" t="s">
        <v>799</v>
      </c>
      <c r="L731" s="6" t="s">
        <v>217</v>
      </c>
      <c r="M731" s="6" t="s">
        <v>800</v>
      </c>
      <c r="N731" s="6" t="s">
        <v>217</v>
      </c>
      <c r="O731" s="6" t="s">
        <v>800</v>
      </c>
      <c r="P731" s="6" t="s">
        <v>217</v>
      </c>
      <c r="Q731" s="6" t="s">
        <v>217</v>
      </c>
      <c r="R731" s="6" t="s">
        <v>5915</v>
      </c>
      <c r="S731" s="6">
        <v>28</v>
      </c>
      <c r="T731" s="6" t="s">
        <v>217</v>
      </c>
      <c r="U731" s="6" t="s">
        <v>217</v>
      </c>
      <c r="V731" s="6"/>
      <c r="W731" s="6"/>
      <c r="X731" s="6"/>
      <c r="Y731" s="6"/>
      <c r="Z731" s="6"/>
      <c r="AA731" s="6"/>
      <c r="AB731" s="6"/>
      <c r="AC731" s="6"/>
      <c r="AD731" s="7"/>
    </row>
    <row r="732" spans="1:30" ht="15.6" x14ac:dyDescent="0.3">
      <c r="A732" s="4">
        <v>1046</v>
      </c>
      <c r="B732" s="5" t="s">
        <v>5916</v>
      </c>
      <c r="C732" s="6" t="s">
        <v>304</v>
      </c>
      <c r="D732" s="5" t="s">
        <v>5917</v>
      </c>
      <c r="E732" s="6"/>
      <c r="F732" s="6" t="s">
        <v>5918</v>
      </c>
      <c r="G732" s="6" t="s">
        <v>5919</v>
      </c>
      <c r="H732" s="8">
        <v>0</v>
      </c>
      <c r="I732" s="8">
        <v>-0.81</v>
      </c>
      <c r="J732" s="6" t="s">
        <v>494</v>
      </c>
      <c r="K732" s="6" t="s">
        <v>799</v>
      </c>
      <c r="L732" s="6" t="s">
        <v>217</v>
      </c>
      <c r="M732" s="6" t="s">
        <v>800</v>
      </c>
      <c r="N732" s="6" t="s">
        <v>217</v>
      </c>
      <c r="O732" s="6" t="s">
        <v>800</v>
      </c>
      <c r="P732" s="6" t="s">
        <v>217</v>
      </c>
      <c r="Q732" s="6" t="s">
        <v>217</v>
      </c>
      <c r="R732" s="6">
        <v>380</v>
      </c>
      <c r="S732" s="6">
        <v>1</v>
      </c>
      <c r="T732" s="6" t="s">
        <v>217</v>
      </c>
      <c r="U732" s="6" t="s">
        <v>217</v>
      </c>
      <c r="V732" s="6"/>
      <c r="W732" s="6"/>
      <c r="X732" s="6"/>
      <c r="Y732" s="6"/>
      <c r="Z732" s="6"/>
      <c r="AA732" s="6"/>
      <c r="AB732" s="6"/>
      <c r="AC732" s="6"/>
      <c r="AD732" s="7"/>
    </row>
    <row r="733" spans="1:30" ht="15.6" x14ac:dyDescent="0.3">
      <c r="A733" s="4">
        <v>1047</v>
      </c>
      <c r="B733" s="5" t="s">
        <v>5920</v>
      </c>
      <c r="C733" s="6" t="s">
        <v>304</v>
      </c>
      <c r="D733" s="5" t="s">
        <v>5921</v>
      </c>
      <c r="E733" s="6"/>
      <c r="F733" s="6" t="s">
        <v>5922</v>
      </c>
      <c r="G733" s="6" t="s">
        <v>5923</v>
      </c>
      <c r="H733" s="8">
        <v>0</v>
      </c>
      <c r="I733" s="6" t="s">
        <v>217</v>
      </c>
      <c r="J733" s="6" t="s">
        <v>596</v>
      </c>
      <c r="K733" s="6" t="s">
        <v>799</v>
      </c>
      <c r="L733" s="6" t="s">
        <v>217</v>
      </c>
      <c r="M733" s="6" t="s">
        <v>800</v>
      </c>
      <c r="N733" s="6" t="s">
        <v>217</v>
      </c>
      <c r="O733" s="6" t="s">
        <v>800</v>
      </c>
      <c r="P733" s="6" t="s">
        <v>217</v>
      </c>
      <c r="Q733" s="6" t="s">
        <v>217</v>
      </c>
      <c r="R733" s="6">
        <v>207</v>
      </c>
      <c r="S733" s="6">
        <v>0</v>
      </c>
      <c r="T733" s="6" t="s">
        <v>217</v>
      </c>
      <c r="U733" s="6" t="s">
        <v>217</v>
      </c>
      <c r="V733" s="6"/>
      <c r="W733" s="6"/>
      <c r="X733" s="6"/>
      <c r="Y733" s="6"/>
      <c r="Z733" s="6"/>
      <c r="AA733" s="6"/>
      <c r="AB733" s="6"/>
      <c r="AC733" s="6"/>
      <c r="AD733" s="7"/>
    </row>
    <row r="734" spans="1:30" ht="15.6" x14ac:dyDescent="0.3">
      <c r="A734" s="4">
        <v>1048</v>
      </c>
      <c r="B734" s="5" t="s">
        <v>5924</v>
      </c>
      <c r="C734" s="6" t="s">
        <v>114</v>
      </c>
      <c r="D734" s="5" t="s">
        <v>407</v>
      </c>
      <c r="E734" s="6"/>
      <c r="F734" s="6" t="s">
        <v>5925</v>
      </c>
      <c r="G734" s="6" t="s">
        <v>5926</v>
      </c>
      <c r="H734" s="8">
        <v>0</v>
      </c>
      <c r="I734" s="6" t="s">
        <v>217</v>
      </c>
      <c r="J734" s="6" t="s">
        <v>411</v>
      </c>
      <c r="K734" s="6" t="s">
        <v>799</v>
      </c>
      <c r="L734" s="6" t="s">
        <v>217</v>
      </c>
      <c r="M734" s="6" t="s">
        <v>800</v>
      </c>
      <c r="N734" s="6" t="s">
        <v>217</v>
      </c>
      <c r="O734" s="6" t="s">
        <v>800</v>
      </c>
      <c r="P734" s="6" t="s">
        <v>217</v>
      </c>
      <c r="Q734" s="6" t="s">
        <v>217</v>
      </c>
      <c r="R734" s="6">
        <v>31</v>
      </c>
      <c r="S734" s="6">
        <v>0</v>
      </c>
      <c r="T734" s="6" t="s">
        <v>217</v>
      </c>
      <c r="U734" s="6" t="s">
        <v>217</v>
      </c>
      <c r="V734" s="6"/>
      <c r="W734" s="6"/>
      <c r="X734" s="6"/>
      <c r="Y734" s="6"/>
      <c r="Z734" s="6"/>
      <c r="AA734" s="6"/>
      <c r="AB734" s="6"/>
      <c r="AC734" s="6"/>
      <c r="AD734" s="7"/>
    </row>
    <row r="735" spans="1:30" ht="15.6" x14ac:dyDescent="0.3">
      <c r="A735" s="4">
        <v>1049</v>
      </c>
      <c r="B735" s="5" t="s">
        <v>5927</v>
      </c>
      <c r="C735" s="6" t="s">
        <v>114</v>
      </c>
      <c r="D735" s="5" t="s">
        <v>5928</v>
      </c>
      <c r="E735" s="6"/>
      <c r="F735" s="6" t="s">
        <v>5929</v>
      </c>
      <c r="G735" s="6" t="s">
        <v>5930</v>
      </c>
      <c r="H735" s="8">
        <v>0</v>
      </c>
      <c r="I735" s="6">
        <f>22%</f>
        <v>0.22</v>
      </c>
      <c r="J735" s="6" t="s">
        <v>846</v>
      </c>
      <c r="K735" s="6" t="s">
        <v>799</v>
      </c>
      <c r="L735" s="6" t="s">
        <v>217</v>
      </c>
      <c r="M735" s="6" t="s">
        <v>800</v>
      </c>
      <c r="N735" s="6" t="s">
        <v>217</v>
      </c>
      <c r="O735" s="6" t="s">
        <v>800</v>
      </c>
      <c r="P735" s="6" t="s">
        <v>217</v>
      </c>
      <c r="Q735" s="6" t="s">
        <v>217</v>
      </c>
      <c r="R735" s="6">
        <v>250</v>
      </c>
      <c r="S735" s="6">
        <v>0</v>
      </c>
      <c r="T735" s="6" t="s">
        <v>217</v>
      </c>
      <c r="U735" s="6" t="s">
        <v>217</v>
      </c>
      <c r="V735" s="6"/>
      <c r="W735" s="6"/>
      <c r="X735" s="6"/>
      <c r="Y735" s="6"/>
      <c r="Z735" s="6"/>
      <c r="AA735" s="6"/>
      <c r="AB735" s="6"/>
      <c r="AC735" s="6"/>
      <c r="AD735" s="7"/>
    </row>
    <row r="736" spans="1:30" ht="15.6" x14ac:dyDescent="0.3">
      <c r="A736" s="4">
        <v>1050</v>
      </c>
      <c r="B736" s="5" t="s">
        <v>5931</v>
      </c>
      <c r="C736" s="6" t="s">
        <v>114</v>
      </c>
      <c r="D736" s="5" t="s">
        <v>5932</v>
      </c>
      <c r="E736" s="6"/>
      <c r="F736" s="6" t="s">
        <v>5933</v>
      </c>
      <c r="G736" s="6" t="s">
        <v>5934</v>
      </c>
      <c r="H736" s="8">
        <v>0</v>
      </c>
      <c r="I736" s="8">
        <v>-0.5</v>
      </c>
      <c r="J736" s="6" t="s">
        <v>77</v>
      </c>
      <c r="K736" s="6" t="s">
        <v>799</v>
      </c>
      <c r="L736" s="6" t="s">
        <v>217</v>
      </c>
      <c r="M736" s="6" t="s">
        <v>800</v>
      </c>
      <c r="N736" s="6" t="s">
        <v>217</v>
      </c>
      <c r="O736" s="6" t="s">
        <v>800</v>
      </c>
      <c r="P736" s="6" t="s">
        <v>217</v>
      </c>
      <c r="Q736" s="6" t="s">
        <v>217</v>
      </c>
      <c r="R736" s="6">
        <v>646</v>
      </c>
      <c r="S736" s="6">
        <v>1</v>
      </c>
      <c r="T736" s="6" t="s">
        <v>217</v>
      </c>
      <c r="U736" s="6" t="s">
        <v>217</v>
      </c>
      <c r="V736" s="6"/>
      <c r="W736" s="6"/>
      <c r="X736" s="6"/>
      <c r="Y736" s="6"/>
      <c r="Z736" s="6"/>
      <c r="AA736" s="6"/>
      <c r="AB736" s="6"/>
      <c r="AC736" s="6"/>
      <c r="AD736" s="7"/>
    </row>
    <row r="737" spans="1:30" ht="15.6" x14ac:dyDescent="0.3">
      <c r="A737" s="4">
        <v>1051</v>
      </c>
      <c r="B737" s="5" t="s">
        <v>5935</v>
      </c>
      <c r="C737" s="6" t="s">
        <v>60</v>
      </c>
      <c r="D737" s="5" t="s">
        <v>407</v>
      </c>
      <c r="E737" s="6"/>
      <c r="F737" s="5" t="s">
        <v>5936</v>
      </c>
      <c r="G737" s="6" t="s">
        <v>5937</v>
      </c>
      <c r="H737" s="8">
        <v>0</v>
      </c>
      <c r="I737" s="6" t="s">
        <v>217</v>
      </c>
      <c r="J737" s="6" t="s">
        <v>506</v>
      </c>
      <c r="K737" s="6" t="s">
        <v>799</v>
      </c>
      <c r="L737" s="6" t="s">
        <v>217</v>
      </c>
      <c r="M737" s="6" t="s">
        <v>800</v>
      </c>
      <c r="N737" s="6" t="s">
        <v>217</v>
      </c>
      <c r="O737" s="6" t="s">
        <v>800</v>
      </c>
      <c r="P737" s="6" t="s">
        <v>217</v>
      </c>
      <c r="Q737" s="6" t="s">
        <v>217</v>
      </c>
      <c r="R737" s="6">
        <v>64</v>
      </c>
      <c r="S737" s="6">
        <v>0</v>
      </c>
      <c r="T737" s="6" t="s">
        <v>217</v>
      </c>
      <c r="U737" s="6" t="s">
        <v>217</v>
      </c>
      <c r="V737" s="6"/>
      <c r="W737" s="6"/>
      <c r="X737" s="6"/>
      <c r="Y737" s="6"/>
      <c r="Z737" s="6"/>
      <c r="AA737" s="6"/>
      <c r="AB737" s="6"/>
      <c r="AC737" s="6"/>
      <c r="AD737" s="7"/>
    </row>
    <row r="738" spans="1:30" ht="15.6" x14ac:dyDescent="0.3">
      <c r="A738" s="4">
        <v>1052</v>
      </c>
      <c r="B738" s="5" t="s">
        <v>5938</v>
      </c>
      <c r="C738" s="6" t="s">
        <v>114</v>
      </c>
      <c r="D738" s="5" t="s">
        <v>5939</v>
      </c>
      <c r="E738" s="6"/>
      <c r="F738" s="6" t="s">
        <v>5940</v>
      </c>
      <c r="G738" s="6" t="s">
        <v>5941</v>
      </c>
      <c r="H738" s="8">
        <v>0</v>
      </c>
      <c r="I738" s="6" t="s">
        <v>217</v>
      </c>
      <c r="J738" s="6" t="s">
        <v>411</v>
      </c>
      <c r="K738" s="6" t="s">
        <v>799</v>
      </c>
      <c r="L738" s="6" t="s">
        <v>217</v>
      </c>
      <c r="M738" s="6" t="s">
        <v>800</v>
      </c>
      <c r="N738" s="6" t="s">
        <v>217</v>
      </c>
      <c r="O738" s="6" t="s">
        <v>800</v>
      </c>
      <c r="P738" s="6" t="s">
        <v>217</v>
      </c>
      <c r="Q738" s="6" t="s">
        <v>217</v>
      </c>
      <c r="R738" s="6" t="s">
        <v>5942</v>
      </c>
      <c r="S738" s="6">
        <v>2</v>
      </c>
      <c r="T738" s="6" t="s">
        <v>217</v>
      </c>
      <c r="U738" s="6" t="s">
        <v>217</v>
      </c>
      <c r="V738" s="6"/>
      <c r="W738" s="6"/>
      <c r="X738" s="6"/>
      <c r="Y738" s="6"/>
      <c r="Z738" s="6"/>
      <c r="AA738" s="6"/>
      <c r="AB738" s="6"/>
      <c r="AC738" s="6"/>
      <c r="AD738" s="7"/>
    </row>
    <row r="739" spans="1:30" ht="15.6" x14ac:dyDescent="0.3">
      <c r="A739" s="4">
        <v>1053</v>
      </c>
      <c r="B739" s="5" t="s">
        <v>5943</v>
      </c>
      <c r="C739" s="6" t="s">
        <v>60</v>
      </c>
      <c r="D739" s="5" t="s">
        <v>5944</v>
      </c>
      <c r="E739" s="6"/>
      <c r="F739" s="6" t="s">
        <v>5945</v>
      </c>
      <c r="G739" s="6" t="s">
        <v>5946</v>
      </c>
      <c r="H739" s="8">
        <v>0</v>
      </c>
      <c r="I739" s="6" t="s">
        <v>1195</v>
      </c>
      <c r="J739" s="6" t="s">
        <v>647</v>
      </c>
      <c r="K739" s="6" t="s">
        <v>799</v>
      </c>
      <c r="L739" s="6" t="s">
        <v>217</v>
      </c>
      <c r="M739" s="6" t="s">
        <v>800</v>
      </c>
      <c r="N739" s="6" t="s">
        <v>217</v>
      </c>
      <c r="O739" s="6" t="s">
        <v>800</v>
      </c>
      <c r="P739" s="6" t="s">
        <v>217</v>
      </c>
      <c r="Q739" s="6" t="s">
        <v>217</v>
      </c>
      <c r="R739" s="6" t="s">
        <v>5947</v>
      </c>
      <c r="S739" s="6">
        <v>51</v>
      </c>
      <c r="T739" s="6" t="s">
        <v>217</v>
      </c>
      <c r="U739" s="6" t="s">
        <v>217</v>
      </c>
      <c r="V739" s="6"/>
      <c r="W739" s="6"/>
      <c r="X739" s="6"/>
      <c r="Y739" s="6"/>
      <c r="Z739" s="6"/>
      <c r="AA739" s="6"/>
      <c r="AB739" s="6"/>
      <c r="AC739" s="6"/>
      <c r="AD739" s="7"/>
    </row>
    <row r="740" spans="1:30" ht="15.6" x14ac:dyDescent="0.3">
      <c r="A740" s="4">
        <v>1054</v>
      </c>
      <c r="B740" s="5" t="s">
        <v>5948</v>
      </c>
      <c r="C740" s="6" t="s">
        <v>114</v>
      </c>
      <c r="D740" s="5" t="s">
        <v>5949</v>
      </c>
      <c r="E740" s="6"/>
      <c r="F740" s="6" t="s">
        <v>5950</v>
      </c>
      <c r="G740" s="6" t="s">
        <v>5951</v>
      </c>
      <c r="H740" s="8">
        <v>0</v>
      </c>
      <c r="I740" s="8">
        <v>-1</v>
      </c>
      <c r="J740" s="6" t="s">
        <v>4325</v>
      </c>
      <c r="K740" s="6" t="s">
        <v>799</v>
      </c>
      <c r="L740" s="6" t="s">
        <v>217</v>
      </c>
      <c r="M740" s="6" t="s">
        <v>800</v>
      </c>
      <c r="N740" s="6" t="s">
        <v>217</v>
      </c>
      <c r="O740" s="6" t="s">
        <v>800</v>
      </c>
      <c r="P740" s="6" t="s">
        <v>217</v>
      </c>
      <c r="Q740" s="6" t="s">
        <v>217</v>
      </c>
      <c r="R740" s="6" t="s">
        <v>5952</v>
      </c>
      <c r="S740" s="6">
        <v>0</v>
      </c>
      <c r="T740" s="6" t="s">
        <v>217</v>
      </c>
      <c r="U740" s="6" t="s">
        <v>217</v>
      </c>
      <c r="V740" s="6"/>
      <c r="W740" s="6"/>
      <c r="X740" s="6"/>
      <c r="Y740" s="6"/>
      <c r="Z740" s="6"/>
      <c r="AA740" s="6"/>
      <c r="AB740" s="6"/>
      <c r="AC740" s="6"/>
      <c r="AD740" s="7"/>
    </row>
    <row r="741" spans="1:30" ht="15.6" x14ac:dyDescent="0.3">
      <c r="A741" s="4">
        <v>1055</v>
      </c>
      <c r="B741" s="5" t="s">
        <v>5953</v>
      </c>
      <c r="C741" s="6" t="s">
        <v>304</v>
      </c>
      <c r="D741" s="5" t="s">
        <v>5954</v>
      </c>
      <c r="E741" s="6"/>
      <c r="F741" s="5" t="s">
        <v>5955</v>
      </c>
      <c r="G741" s="6" t="s">
        <v>5956</v>
      </c>
      <c r="H741" s="8">
        <v>0</v>
      </c>
      <c r="I741" s="8">
        <v>-0.22</v>
      </c>
      <c r="J741" s="6" t="s">
        <v>494</v>
      </c>
      <c r="K741" s="6" t="s">
        <v>799</v>
      </c>
      <c r="L741" s="6" t="s">
        <v>217</v>
      </c>
      <c r="M741" s="6" t="s">
        <v>800</v>
      </c>
      <c r="N741" s="6" t="s">
        <v>217</v>
      </c>
      <c r="O741" s="6" t="s">
        <v>800</v>
      </c>
      <c r="P741" s="6" t="s">
        <v>217</v>
      </c>
      <c r="Q741" s="6" t="s">
        <v>217</v>
      </c>
      <c r="R741" s="6">
        <v>431</v>
      </c>
      <c r="S741" s="6">
        <v>2</v>
      </c>
      <c r="T741" s="6" t="s">
        <v>217</v>
      </c>
      <c r="U741" s="6" t="s">
        <v>217</v>
      </c>
      <c r="V741" s="6"/>
      <c r="W741" s="6"/>
      <c r="X741" s="6"/>
      <c r="Y741" s="6"/>
      <c r="Z741" s="6"/>
      <c r="AA741" s="6"/>
      <c r="AB741" s="6"/>
      <c r="AC741" s="6"/>
      <c r="AD741" s="7"/>
    </row>
    <row r="742" spans="1:30" ht="15.6" x14ac:dyDescent="0.3">
      <c r="A742" s="4">
        <v>1056</v>
      </c>
      <c r="B742" s="5" t="s">
        <v>5957</v>
      </c>
      <c r="C742" s="6" t="s">
        <v>304</v>
      </c>
      <c r="D742" s="5" t="s">
        <v>5958</v>
      </c>
      <c r="E742" s="6"/>
      <c r="F742" s="6" t="s">
        <v>5959</v>
      </c>
      <c r="G742" s="6" t="s">
        <v>5960</v>
      </c>
      <c r="H742" s="8">
        <v>0</v>
      </c>
      <c r="I742" s="6" t="s">
        <v>217</v>
      </c>
      <c r="J742" s="6" t="s">
        <v>211</v>
      </c>
      <c r="K742" s="6" t="s">
        <v>799</v>
      </c>
      <c r="L742" s="6" t="s">
        <v>217</v>
      </c>
      <c r="M742" s="6" t="s">
        <v>800</v>
      </c>
      <c r="N742" s="6" t="s">
        <v>217</v>
      </c>
      <c r="O742" s="6" t="s">
        <v>800</v>
      </c>
      <c r="P742" s="6" t="s">
        <v>217</v>
      </c>
      <c r="Q742" s="6" t="s">
        <v>217</v>
      </c>
      <c r="R742" s="6">
        <v>321</v>
      </c>
      <c r="S742" s="6">
        <v>0</v>
      </c>
      <c r="T742" s="6" t="s">
        <v>217</v>
      </c>
      <c r="U742" s="6" t="s">
        <v>217</v>
      </c>
      <c r="V742" s="6"/>
      <c r="W742" s="6"/>
      <c r="X742" s="6"/>
      <c r="Y742" s="6"/>
      <c r="Z742" s="6"/>
      <c r="AA742" s="6"/>
      <c r="AB742" s="6"/>
      <c r="AC742" s="6"/>
      <c r="AD742" s="7"/>
    </row>
    <row r="743" spans="1:30" ht="15.6" x14ac:dyDescent="0.3">
      <c r="A743" s="4">
        <v>1057</v>
      </c>
      <c r="B743" s="5" t="s">
        <v>5961</v>
      </c>
      <c r="C743" s="6" t="s">
        <v>219</v>
      </c>
      <c r="D743" s="5" t="s">
        <v>5962</v>
      </c>
      <c r="E743" s="6"/>
      <c r="F743" s="6" t="s">
        <v>5963</v>
      </c>
      <c r="G743" s="6" t="s">
        <v>5964</v>
      </c>
      <c r="H743" s="8">
        <v>0</v>
      </c>
      <c r="I743" s="8">
        <v>-0.7</v>
      </c>
      <c r="J743" s="6" t="s">
        <v>1491</v>
      </c>
      <c r="K743" s="6" t="s">
        <v>799</v>
      </c>
      <c r="L743" s="6" t="s">
        <v>217</v>
      </c>
      <c r="M743" s="6" t="s">
        <v>800</v>
      </c>
      <c r="N743" s="6" t="s">
        <v>217</v>
      </c>
      <c r="O743" s="6" t="s">
        <v>800</v>
      </c>
      <c r="P743" s="6" t="s">
        <v>217</v>
      </c>
      <c r="Q743" s="6" t="s">
        <v>217</v>
      </c>
      <c r="R743" s="6">
        <v>234</v>
      </c>
      <c r="S743" s="6">
        <v>2</v>
      </c>
      <c r="T743" s="6" t="s">
        <v>217</v>
      </c>
      <c r="U743" s="6" t="s">
        <v>217</v>
      </c>
      <c r="V743" s="6"/>
      <c r="W743" s="6"/>
      <c r="X743" s="6"/>
      <c r="Y743" s="6"/>
      <c r="Z743" s="6"/>
      <c r="AA743" s="6"/>
      <c r="AB743" s="6"/>
      <c r="AC743" s="6"/>
      <c r="AD743" s="7"/>
    </row>
    <row r="744" spans="1:30" ht="15.6" x14ac:dyDescent="0.3">
      <c r="A744" s="4">
        <v>1058</v>
      </c>
      <c r="B744" s="5" t="s">
        <v>5965</v>
      </c>
      <c r="C744" s="6" t="s">
        <v>291</v>
      </c>
      <c r="D744" s="5" t="s">
        <v>5966</v>
      </c>
      <c r="E744" s="6"/>
      <c r="F744" s="6" t="s">
        <v>5967</v>
      </c>
      <c r="G744" s="6" t="s">
        <v>5968</v>
      </c>
      <c r="H744" s="8">
        <v>0</v>
      </c>
      <c r="I744" s="6" t="s">
        <v>217</v>
      </c>
      <c r="J744" s="6" t="s">
        <v>731</v>
      </c>
      <c r="K744" s="6" t="s">
        <v>799</v>
      </c>
      <c r="L744" s="6" t="s">
        <v>217</v>
      </c>
      <c r="M744" s="6" t="s">
        <v>800</v>
      </c>
      <c r="N744" s="6" t="s">
        <v>217</v>
      </c>
      <c r="O744" s="6" t="s">
        <v>800</v>
      </c>
      <c r="P744" s="6" t="s">
        <v>217</v>
      </c>
      <c r="Q744" s="6" t="s">
        <v>217</v>
      </c>
      <c r="R744" s="6">
        <v>252</v>
      </c>
      <c r="S744" s="6">
        <v>1</v>
      </c>
      <c r="T744" s="6" t="s">
        <v>217</v>
      </c>
      <c r="U744" s="6" t="s">
        <v>217</v>
      </c>
      <c r="V744" s="6"/>
      <c r="W744" s="6"/>
      <c r="X744" s="6"/>
      <c r="Y744" s="6"/>
      <c r="Z744" s="6"/>
      <c r="AA744" s="6"/>
      <c r="AB744" s="6"/>
      <c r="AC744" s="6"/>
      <c r="AD744" s="7"/>
    </row>
    <row r="745" spans="1:30" ht="15.6" x14ac:dyDescent="0.3">
      <c r="A745" s="4">
        <v>1059</v>
      </c>
      <c r="B745" s="5" t="s">
        <v>5969</v>
      </c>
      <c r="C745" s="6" t="s">
        <v>466</v>
      </c>
      <c r="D745" s="5" t="s">
        <v>5970</v>
      </c>
      <c r="E745" s="6"/>
      <c r="F745" s="6" t="s">
        <v>5971</v>
      </c>
      <c r="G745" s="6" t="s">
        <v>5972</v>
      </c>
      <c r="H745" s="8">
        <v>0</v>
      </c>
      <c r="I745" s="6" t="s">
        <v>1195</v>
      </c>
      <c r="J745" s="6" t="s">
        <v>250</v>
      </c>
      <c r="K745" s="6" t="s">
        <v>799</v>
      </c>
      <c r="L745" s="6" t="s">
        <v>217</v>
      </c>
      <c r="M745" s="6" t="s">
        <v>800</v>
      </c>
      <c r="N745" s="6" t="s">
        <v>217</v>
      </c>
      <c r="O745" s="6" t="s">
        <v>800</v>
      </c>
      <c r="P745" s="6" t="s">
        <v>217</v>
      </c>
      <c r="Q745" s="6" t="s">
        <v>217</v>
      </c>
      <c r="R745" s="6">
        <v>472</v>
      </c>
      <c r="S745" s="6">
        <v>2</v>
      </c>
      <c r="T745" s="6" t="s">
        <v>217</v>
      </c>
      <c r="U745" s="6" t="s">
        <v>217</v>
      </c>
      <c r="V745" s="6"/>
      <c r="W745" s="6"/>
      <c r="X745" s="6"/>
      <c r="Y745" s="6"/>
      <c r="Z745" s="6"/>
      <c r="AA745" s="6"/>
      <c r="AB745" s="6"/>
      <c r="AC745" s="6"/>
      <c r="AD745" s="7"/>
    </row>
    <row r="746" spans="1:30" ht="15.6" x14ac:dyDescent="0.3">
      <c r="A746" s="4">
        <v>1060</v>
      </c>
      <c r="B746" s="5" t="s">
        <v>5973</v>
      </c>
      <c r="C746" s="6" t="s">
        <v>466</v>
      </c>
      <c r="D746" s="5" t="s">
        <v>5974</v>
      </c>
      <c r="E746" s="6"/>
      <c r="F746" s="6" t="s">
        <v>5975</v>
      </c>
      <c r="G746" s="6" t="s">
        <v>5976</v>
      </c>
      <c r="H746" s="8">
        <v>0</v>
      </c>
      <c r="I746" s="6" t="s">
        <v>217</v>
      </c>
      <c r="J746" s="6" t="s">
        <v>596</v>
      </c>
      <c r="K746" s="6" t="s">
        <v>799</v>
      </c>
      <c r="L746" s="6" t="s">
        <v>217</v>
      </c>
      <c r="M746" s="6" t="s">
        <v>800</v>
      </c>
      <c r="N746" s="6" t="s">
        <v>217</v>
      </c>
      <c r="O746" s="6" t="s">
        <v>800</v>
      </c>
      <c r="P746" s="6" t="s">
        <v>217</v>
      </c>
      <c r="Q746" s="6" t="s">
        <v>217</v>
      </c>
      <c r="R746" s="6">
        <v>246</v>
      </c>
      <c r="S746" s="6">
        <v>2</v>
      </c>
      <c r="T746" s="6" t="s">
        <v>217</v>
      </c>
      <c r="U746" s="6" t="s">
        <v>217</v>
      </c>
      <c r="V746" s="6"/>
      <c r="W746" s="6"/>
      <c r="X746" s="6"/>
      <c r="Y746" s="6"/>
      <c r="Z746" s="6"/>
      <c r="AA746" s="6"/>
      <c r="AB746" s="6"/>
      <c r="AC746" s="6"/>
      <c r="AD746" s="7"/>
    </row>
    <row r="747" spans="1:30" ht="15.6" x14ac:dyDescent="0.3">
      <c r="A747" s="4">
        <v>1061</v>
      </c>
      <c r="B747" s="5" t="s">
        <v>5977</v>
      </c>
      <c r="C747" s="6" t="s">
        <v>1244</v>
      </c>
      <c r="D747" s="5" t="s">
        <v>5978</v>
      </c>
      <c r="E747" s="6"/>
      <c r="F747" s="6" t="s">
        <v>5979</v>
      </c>
      <c r="G747" s="6" t="s">
        <v>5980</v>
      </c>
      <c r="H747" s="8">
        <v>0</v>
      </c>
      <c r="I747" s="6" t="s">
        <v>217</v>
      </c>
      <c r="J747" s="6" t="s">
        <v>1443</v>
      </c>
      <c r="K747" s="6" t="s">
        <v>799</v>
      </c>
      <c r="L747" s="6" t="s">
        <v>217</v>
      </c>
      <c r="M747" s="6" t="s">
        <v>800</v>
      </c>
      <c r="N747" s="6" t="s">
        <v>217</v>
      </c>
      <c r="O747" s="6" t="s">
        <v>800</v>
      </c>
      <c r="P747" s="6" t="s">
        <v>217</v>
      </c>
      <c r="Q747" s="6" t="s">
        <v>217</v>
      </c>
      <c r="R747" s="6">
        <v>237</v>
      </c>
      <c r="S747" s="6">
        <v>1</v>
      </c>
      <c r="T747" s="6" t="s">
        <v>217</v>
      </c>
      <c r="U747" s="6" t="s">
        <v>217</v>
      </c>
      <c r="V747" s="6"/>
      <c r="W747" s="6"/>
      <c r="X747" s="6"/>
      <c r="Y747" s="6"/>
      <c r="Z747" s="6"/>
      <c r="AA747" s="6"/>
      <c r="AB747" s="6"/>
      <c r="AC747" s="6"/>
      <c r="AD747" s="7"/>
    </row>
    <row r="748" spans="1:30" ht="15.6" x14ac:dyDescent="0.3">
      <c r="A748" s="4">
        <v>1062</v>
      </c>
      <c r="B748" s="5" t="s">
        <v>5981</v>
      </c>
      <c r="C748" s="6" t="s">
        <v>1244</v>
      </c>
      <c r="D748" s="5" t="s">
        <v>5982</v>
      </c>
      <c r="E748" s="5" t="s">
        <v>48</v>
      </c>
      <c r="F748" s="6" t="s">
        <v>5983</v>
      </c>
      <c r="G748" s="6" t="s">
        <v>5984</v>
      </c>
      <c r="H748" s="8">
        <v>0</v>
      </c>
      <c r="I748" s="8">
        <v>-0.55000000000000004</v>
      </c>
      <c r="J748" s="6" t="s">
        <v>1529</v>
      </c>
      <c r="K748" s="6" t="s">
        <v>1629</v>
      </c>
      <c r="L748" s="8">
        <v>-0.44</v>
      </c>
      <c r="M748" s="6" t="s">
        <v>5985</v>
      </c>
      <c r="N748" s="8">
        <v>-0.39</v>
      </c>
      <c r="O748" s="6" t="s">
        <v>5986</v>
      </c>
      <c r="P748" s="6" t="s">
        <v>5987</v>
      </c>
      <c r="Q748" s="6" t="s">
        <v>217</v>
      </c>
      <c r="R748" s="6">
        <v>4</v>
      </c>
      <c r="S748" s="6">
        <v>0</v>
      </c>
      <c r="T748" s="6" t="s">
        <v>265</v>
      </c>
      <c r="U748" s="6" t="s">
        <v>217</v>
      </c>
      <c r="V748" s="6"/>
      <c r="W748" s="6"/>
      <c r="X748" s="6"/>
      <c r="Y748" s="6"/>
      <c r="Z748" s="6"/>
      <c r="AA748" s="6"/>
      <c r="AB748" s="6"/>
      <c r="AC748" s="6"/>
      <c r="AD748" s="7"/>
    </row>
    <row r="749" spans="1:30" ht="15.6" x14ac:dyDescent="0.3">
      <c r="A749" s="4">
        <v>1063</v>
      </c>
      <c r="B749" s="5" t="s">
        <v>5988</v>
      </c>
      <c r="C749" s="6" t="s">
        <v>1002</v>
      </c>
      <c r="D749" s="5" t="s">
        <v>5989</v>
      </c>
      <c r="E749" s="5" t="s">
        <v>48</v>
      </c>
      <c r="F749" s="6" t="s">
        <v>5990</v>
      </c>
      <c r="G749" s="6" t="s">
        <v>5991</v>
      </c>
      <c r="H749" s="8">
        <v>0</v>
      </c>
      <c r="I749" s="6" t="s">
        <v>1548</v>
      </c>
      <c r="J749" s="6" t="s">
        <v>442</v>
      </c>
      <c r="K749" s="6" t="s">
        <v>5992</v>
      </c>
      <c r="L749" s="6" t="s">
        <v>4997</v>
      </c>
      <c r="M749" s="6" t="s">
        <v>5993</v>
      </c>
      <c r="N749" s="6" t="s">
        <v>4997</v>
      </c>
      <c r="O749" s="6" t="s">
        <v>5994</v>
      </c>
      <c r="P749" s="6" t="s">
        <v>1347</v>
      </c>
      <c r="Q749" s="8">
        <v>-0.99</v>
      </c>
      <c r="R749" s="6" t="s">
        <v>5995</v>
      </c>
      <c r="S749" s="6">
        <v>19</v>
      </c>
      <c r="T749" s="6" t="s">
        <v>5996</v>
      </c>
      <c r="U749" s="8">
        <v>-1</v>
      </c>
      <c r="V749" s="6"/>
      <c r="W749" s="6"/>
      <c r="X749" s="6"/>
      <c r="Y749" s="6"/>
      <c r="Z749" s="6"/>
      <c r="AA749" s="6"/>
      <c r="AB749" s="6"/>
      <c r="AC749" s="6"/>
      <c r="AD749" s="7"/>
    </row>
    <row r="750" spans="1:30" ht="15.6" x14ac:dyDescent="0.3">
      <c r="A750" s="4">
        <v>1064</v>
      </c>
      <c r="B750" s="5" t="s">
        <v>5997</v>
      </c>
      <c r="C750" s="6" t="s">
        <v>126</v>
      </c>
      <c r="D750" s="5" t="s">
        <v>5998</v>
      </c>
      <c r="E750" s="6"/>
      <c r="F750" s="6" t="s">
        <v>5999</v>
      </c>
      <c r="G750" s="6" t="s">
        <v>6000</v>
      </c>
      <c r="H750" s="8">
        <v>0</v>
      </c>
      <c r="I750" s="6" t="s">
        <v>217</v>
      </c>
      <c r="J750" s="6" t="s">
        <v>131</v>
      </c>
      <c r="K750" s="6" t="s">
        <v>799</v>
      </c>
      <c r="L750" s="6" t="s">
        <v>217</v>
      </c>
      <c r="M750" s="6" t="s">
        <v>800</v>
      </c>
      <c r="N750" s="6" t="s">
        <v>217</v>
      </c>
      <c r="O750" s="6" t="s">
        <v>800</v>
      </c>
      <c r="P750" s="6" t="s">
        <v>217</v>
      </c>
      <c r="Q750" s="6" t="s">
        <v>217</v>
      </c>
      <c r="R750" s="6">
        <v>366</v>
      </c>
      <c r="S750" s="6">
        <v>4</v>
      </c>
      <c r="T750" s="6" t="s">
        <v>217</v>
      </c>
      <c r="U750" s="6" t="s">
        <v>217</v>
      </c>
      <c r="V750" s="6"/>
      <c r="W750" s="6"/>
      <c r="X750" s="6"/>
      <c r="Y750" s="6"/>
      <c r="Z750" s="6"/>
      <c r="AA750" s="6"/>
      <c r="AB750" s="6"/>
      <c r="AC750" s="6"/>
      <c r="AD750" s="7"/>
    </row>
    <row r="751" spans="1:30" ht="15.6" x14ac:dyDescent="0.3">
      <c r="A751" s="4">
        <v>1065</v>
      </c>
      <c r="B751" s="5" t="s">
        <v>6001</v>
      </c>
      <c r="C751" s="6" t="s">
        <v>567</v>
      </c>
      <c r="D751" s="5" t="s">
        <v>6002</v>
      </c>
      <c r="E751" s="5" t="s">
        <v>48</v>
      </c>
      <c r="F751" s="6" t="s">
        <v>6003</v>
      </c>
      <c r="G751" s="6" t="s">
        <v>6004</v>
      </c>
      <c r="H751" s="8">
        <v>0</v>
      </c>
      <c r="I751" s="8">
        <v>-0.38</v>
      </c>
      <c r="J751" s="6" t="s">
        <v>1071</v>
      </c>
      <c r="K751" s="6" t="s">
        <v>3457</v>
      </c>
      <c r="L751" s="6" t="s">
        <v>217</v>
      </c>
      <c r="M751" s="6" t="s">
        <v>3458</v>
      </c>
      <c r="N751" s="6">
        <f>3.8%</f>
        <v>3.7999999999999999E-2</v>
      </c>
      <c r="O751" s="6" t="s">
        <v>6005</v>
      </c>
      <c r="P751" s="6" t="s">
        <v>6006</v>
      </c>
      <c r="Q751" s="6" t="s">
        <v>217</v>
      </c>
      <c r="R751" s="6">
        <v>80</v>
      </c>
      <c r="S751" s="6">
        <v>2</v>
      </c>
      <c r="T751" s="6">
        <v>181</v>
      </c>
      <c r="U751" s="6"/>
      <c r="V751" s="6"/>
      <c r="W751" s="6"/>
      <c r="X751" s="6"/>
      <c r="Y751" s="6"/>
      <c r="Z751" s="6"/>
      <c r="AA751" s="6"/>
      <c r="AB751" s="6"/>
      <c r="AC751" s="6"/>
      <c r="AD751" s="7"/>
    </row>
    <row r="752" spans="1:30" ht="15.6" x14ac:dyDescent="0.3">
      <c r="A752" s="4">
        <v>1066</v>
      </c>
      <c r="B752" s="5" t="s">
        <v>6007</v>
      </c>
      <c r="C752" s="6" t="s">
        <v>72</v>
      </c>
      <c r="D752" s="5" t="s">
        <v>6008</v>
      </c>
      <c r="E752" s="5" t="s">
        <v>33</v>
      </c>
      <c r="F752" s="6" t="s">
        <v>6009</v>
      </c>
      <c r="G752" s="6" t="s">
        <v>6010</v>
      </c>
      <c r="H752" s="8">
        <v>0</v>
      </c>
      <c r="I752" s="8">
        <v>-0.6</v>
      </c>
      <c r="J752" s="6" t="s">
        <v>284</v>
      </c>
      <c r="K752" s="6" t="s">
        <v>6011</v>
      </c>
      <c r="L752" s="8">
        <v>-7.0000000000000007E-2</v>
      </c>
      <c r="M752" s="6" t="s">
        <v>6012</v>
      </c>
      <c r="N752" s="6" t="s">
        <v>9262</v>
      </c>
      <c r="O752" s="6" t="s">
        <v>6013</v>
      </c>
      <c r="P752" s="6" t="s">
        <v>6014</v>
      </c>
      <c r="Q752" s="6" t="s">
        <v>217</v>
      </c>
      <c r="R752" s="6">
        <v>96</v>
      </c>
      <c r="S752" s="6">
        <v>0</v>
      </c>
      <c r="T752" s="6" t="s">
        <v>6015</v>
      </c>
      <c r="U752" s="6" t="s">
        <v>9262</v>
      </c>
      <c r="V752" s="6"/>
      <c r="W752" s="6"/>
      <c r="X752" s="6"/>
      <c r="Y752" s="6"/>
      <c r="Z752" s="6"/>
      <c r="AA752" s="6"/>
      <c r="AB752" s="6"/>
      <c r="AC752" s="6"/>
      <c r="AD752" s="7"/>
    </row>
    <row r="753" spans="1:30" ht="15.6" x14ac:dyDescent="0.3">
      <c r="A753" s="4">
        <v>1067</v>
      </c>
      <c r="B753" s="5" t="s">
        <v>6016</v>
      </c>
      <c r="C753" s="6" t="s">
        <v>114</v>
      </c>
      <c r="D753" s="5" t="s">
        <v>6017</v>
      </c>
      <c r="E753" s="5" t="s">
        <v>33</v>
      </c>
      <c r="F753" s="6" t="s">
        <v>6018</v>
      </c>
      <c r="G753" s="6" t="s">
        <v>6019</v>
      </c>
      <c r="H753" s="8">
        <v>0</v>
      </c>
      <c r="I753" s="8">
        <v>-0.89</v>
      </c>
      <c r="J753" s="6" t="s">
        <v>332</v>
      </c>
      <c r="K753" s="6" t="s">
        <v>108</v>
      </c>
      <c r="L753" s="8">
        <v>-0.52</v>
      </c>
      <c r="M753" s="6" t="s">
        <v>6020</v>
      </c>
      <c r="N753" s="8">
        <v>-0.52</v>
      </c>
      <c r="O753" s="6" t="s">
        <v>6021</v>
      </c>
      <c r="P753" s="6" t="s">
        <v>6022</v>
      </c>
      <c r="Q753" s="6" t="s">
        <v>217</v>
      </c>
      <c r="R753" s="6">
        <v>125</v>
      </c>
      <c r="S753" s="6">
        <v>0</v>
      </c>
      <c r="T753" s="6" t="s">
        <v>6023</v>
      </c>
      <c r="U753" s="6" t="s">
        <v>9262</v>
      </c>
      <c r="V753" s="6"/>
      <c r="W753" s="6"/>
      <c r="X753" s="6"/>
      <c r="Y753" s="6"/>
      <c r="Z753" s="6"/>
      <c r="AA753" s="6"/>
      <c r="AB753" s="6"/>
      <c r="AC753" s="6"/>
      <c r="AD753" s="7"/>
    </row>
    <row r="754" spans="1:30" ht="15.6" x14ac:dyDescent="0.3">
      <c r="A754" s="4">
        <v>1068</v>
      </c>
      <c r="B754" s="5" t="s">
        <v>6024</v>
      </c>
      <c r="C754" s="6" t="s">
        <v>173</v>
      </c>
      <c r="D754" s="5" t="s">
        <v>6025</v>
      </c>
      <c r="E754" s="5" t="s">
        <v>33</v>
      </c>
      <c r="F754" s="6" t="s">
        <v>6026</v>
      </c>
      <c r="G754" s="6" t="s">
        <v>6027</v>
      </c>
      <c r="H754" s="8">
        <v>0</v>
      </c>
      <c r="I754" s="6" t="s">
        <v>9262</v>
      </c>
      <c r="J754" s="6" t="s">
        <v>667</v>
      </c>
      <c r="K754" s="6" t="s">
        <v>6028</v>
      </c>
      <c r="L754" s="8">
        <v>-0.63</v>
      </c>
      <c r="M754" s="6" t="s">
        <v>6029</v>
      </c>
      <c r="N754" s="8">
        <v>-0.63</v>
      </c>
      <c r="O754" s="6" t="s">
        <v>6030</v>
      </c>
      <c r="P754" s="6" t="s">
        <v>6031</v>
      </c>
      <c r="Q754" s="6" t="s">
        <v>217</v>
      </c>
      <c r="R754" s="6">
        <v>215</v>
      </c>
      <c r="S754" s="6">
        <v>1</v>
      </c>
      <c r="T754" s="6" t="s">
        <v>1855</v>
      </c>
      <c r="U754" s="6" t="e">
        <f>+∞%</f>
        <v>#NAME?</v>
      </c>
      <c r="V754" s="6"/>
      <c r="W754" s="6"/>
      <c r="X754" s="6"/>
      <c r="Y754" s="6"/>
      <c r="Z754" s="6"/>
      <c r="AA754" s="6"/>
      <c r="AB754" s="6"/>
      <c r="AC754" s="6"/>
      <c r="AD754" s="7"/>
    </row>
    <row r="755" spans="1:30" ht="15.6" x14ac:dyDescent="0.3">
      <c r="A755" s="4">
        <v>1069</v>
      </c>
      <c r="B755" s="5" t="s">
        <v>6032</v>
      </c>
      <c r="C755" s="6" t="s">
        <v>1408</v>
      </c>
      <c r="D755" s="5" t="s">
        <v>6033</v>
      </c>
      <c r="E755" s="5" t="s">
        <v>48</v>
      </c>
      <c r="F755" s="6" t="s">
        <v>6034</v>
      </c>
      <c r="G755" s="6" t="s">
        <v>6035</v>
      </c>
      <c r="H755" s="8">
        <v>0</v>
      </c>
      <c r="I755" s="6" t="s">
        <v>9262</v>
      </c>
      <c r="J755" s="6" t="s">
        <v>153</v>
      </c>
      <c r="K755" s="6" t="s">
        <v>6036</v>
      </c>
      <c r="L755" s="8">
        <v>-0.33</v>
      </c>
      <c r="M755" s="6" t="s">
        <v>6037</v>
      </c>
      <c r="N755" s="8">
        <v>-0.33</v>
      </c>
      <c r="O755" s="6" t="s">
        <v>3458</v>
      </c>
      <c r="P755" s="6" t="s">
        <v>6038</v>
      </c>
      <c r="Q755" s="6" t="s">
        <v>217</v>
      </c>
      <c r="R755" s="6">
        <v>129</v>
      </c>
      <c r="S755" s="6">
        <v>0</v>
      </c>
      <c r="T755" s="6">
        <v>1</v>
      </c>
      <c r="U755" s="6">
        <f>100%</f>
        <v>1</v>
      </c>
      <c r="V755" s="6"/>
      <c r="W755" s="6"/>
      <c r="X755" s="6"/>
      <c r="Y755" s="6"/>
      <c r="Z755" s="6"/>
      <c r="AA755" s="6"/>
      <c r="AB755" s="6"/>
      <c r="AC755" s="6"/>
      <c r="AD755" s="7"/>
    </row>
    <row r="756" spans="1:30" ht="15.6" x14ac:dyDescent="0.3">
      <c r="A756" s="4">
        <v>1071</v>
      </c>
      <c r="B756" s="5" t="s">
        <v>6039</v>
      </c>
      <c r="C756" s="6" t="s">
        <v>370</v>
      </c>
      <c r="D756" s="5" t="s">
        <v>6040</v>
      </c>
      <c r="E756" s="5" t="s">
        <v>48</v>
      </c>
      <c r="F756" s="6" t="s">
        <v>6041</v>
      </c>
      <c r="G756" s="6" t="s">
        <v>6042</v>
      </c>
      <c r="H756" s="8">
        <v>0</v>
      </c>
      <c r="I756" s="8">
        <v>-0.03</v>
      </c>
      <c r="J756" s="6" t="s">
        <v>442</v>
      </c>
      <c r="K756" s="6" t="s">
        <v>6043</v>
      </c>
      <c r="L756" s="6" t="s">
        <v>9262</v>
      </c>
      <c r="M756" s="6" t="s">
        <v>6044</v>
      </c>
      <c r="N756" s="6" t="s">
        <v>9262</v>
      </c>
      <c r="O756" s="6" t="s">
        <v>6045</v>
      </c>
      <c r="P756" s="6" t="s">
        <v>6046</v>
      </c>
      <c r="Q756" s="6" t="s">
        <v>217</v>
      </c>
      <c r="R756" s="6">
        <v>571</v>
      </c>
      <c r="S756" s="6">
        <v>30</v>
      </c>
      <c r="T756" s="6">
        <v>32</v>
      </c>
      <c r="U756" s="6" t="s">
        <v>9262</v>
      </c>
      <c r="V756" s="6"/>
      <c r="W756" s="6"/>
      <c r="X756" s="6"/>
      <c r="Y756" s="6"/>
      <c r="Z756" s="6"/>
      <c r="AA756" s="6"/>
      <c r="AB756" s="6"/>
      <c r="AC756" s="6"/>
      <c r="AD756" s="7"/>
    </row>
    <row r="757" spans="1:30" ht="15.6" x14ac:dyDescent="0.3">
      <c r="A757" s="4">
        <v>1072</v>
      </c>
      <c r="B757" s="5" t="s">
        <v>6047</v>
      </c>
      <c r="C757" s="6" t="s">
        <v>102</v>
      </c>
      <c r="D757" s="5" t="s">
        <v>6048</v>
      </c>
      <c r="E757" s="5" t="s">
        <v>33</v>
      </c>
      <c r="F757" s="6" t="s">
        <v>6049</v>
      </c>
      <c r="G757" s="6" t="s">
        <v>6050</v>
      </c>
      <c r="H757" s="8">
        <v>0</v>
      </c>
      <c r="I757" s="6" t="s">
        <v>217</v>
      </c>
      <c r="J757" s="6" t="s">
        <v>517</v>
      </c>
      <c r="K757" s="6" t="s">
        <v>6051</v>
      </c>
      <c r="L757" s="6">
        <f>5.2%</f>
        <v>5.2000000000000005E-2</v>
      </c>
      <c r="M757" s="6" t="s">
        <v>6052</v>
      </c>
      <c r="N757" s="6">
        <f>5.2%</f>
        <v>5.2000000000000005E-2</v>
      </c>
      <c r="O757" s="6" t="s">
        <v>6053</v>
      </c>
      <c r="P757" s="6" t="s">
        <v>6054</v>
      </c>
      <c r="Q757" s="6" t="s">
        <v>217</v>
      </c>
      <c r="R757" s="6">
        <v>3</v>
      </c>
      <c r="S757" s="6">
        <v>0</v>
      </c>
      <c r="T757" s="6">
        <v>15</v>
      </c>
      <c r="U757" s="6">
        <f>24%</f>
        <v>0.24</v>
      </c>
      <c r="V757" s="6"/>
      <c r="W757" s="6"/>
      <c r="X757" s="6"/>
      <c r="Y757" s="6"/>
      <c r="Z757" s="6"/>
      <c r="AA757" s="6"/>
      <c r="AB757" s="6"/>
      <c r="AC757" s="6"/>
      <c r="AD757" s="7"/>
    </row>
    <row r="758" spans="1:30" ht="15.6" x14ac:dyDescent="0.3">
      <c r="A758" s="4">
        <v>1073</v>
      </c>
      <c r="B758" s="5" t="s">
        <v>6055</v>
      </c>
      <c r="C758" s="6" t="s">
        <v>85</v>
      </c>
      <c r="D758" s="5" t="s">
        <v>6056</v>
      </c>
      <c r="E758" s="5" t="s">
        <v>48</v>
      </c>
      <c r="F758" s="6" t="s">
        <v>6057</v>
      </c>
      <c r="G758" s="6" t="s">
        <v>6058</v>
      </c>
      <c r="H758" s="8">
        <v>0</v>
      </c>
      <c r="I758" s="6" t="s">
        <v>9262</v>
      </c>
      <c r="J758" s="6" t="s">
        <v>596</v>
      </c>
      <c r="K758" s="6" t="s">
        <v>6059</v>
      </c>
      <c r="L758" s="8">
        <v>-0.65</v>
      </c>
      <c r="M758" s="6" t="s">
        <v>6060</v>
      </c>
      <c r="N758" s="8">
        <v>-0.65</v>
      </c>
      <c r="O758" s="6" t="s">
        <v>6061</v>
      </c>
      <c r="P758" s="6" t="s">
        <v>6062</v>
      </c>
      <c r="Q758" s="6" t="s">
        <v>217</v>
      </c>
      <c r="R758" s="6">
        <v>13</v>
      </c>
      <c r="S758" s="6">
        <v>0</v>
      </c>
      <c r="T758" s="6">
        <v>1</v>
      </c>
      <c r="U758" s="6">
        <f>81%</f>
        <v>0.81</v>
      </c>
      <c r="V758" s="6"/>
      <c r="W758" s="6"/>
      <c r="X758" s="6"/>
      <c r="Y758" s="6"/>
      <c r="Z758" s="6"/>
      <c r="AA758" s="6"/>
      <c r="AB758" s="6"/>
      <c r="AC758" s="6"/>
      <c r="AD758" s="7"/>
    </row>
    <row r="759" spans="1:30" ht="15.6" x14ac:dyDescent="0.3">
      <c r="A759" s="12">
        <v>1074</v>
      </c>
      <c r="B759" s="13" t="s">
        <v>6063</v>
      </c>
      <c r="C759" s="14" t="s">
        <v>1408</v>
      </c>
      <c r="D759" s="13" t="s">
        <v>6064</v>
      </c>
      <c r="E759" s="13" t="s">
        <v>33</v>
      </c>
      <c r="F759" s="14" t="s">
        <v>6065</v>
      </c>
      <c r="G759" s="14" t="s">
        <v>6066</v>
      </c>
      <c r="H759" s="15">
        <v>0</v>
      </c>
      <c r="I759" s="14" t="s">
        <v>217</v>
      </c>
      <c r="J759" s="14" t="s">
        <v>1048</v>
      </c>
      <c r="K759" s="14" t="s">
        <v>119</v>
      </c>
      <c r="L759" s="15">
        <v>-0.61</v>
      </c>
      <c r="M759" s="14" t="s">
        <v>6067</v>
      </c>
      <c r="N759" s="15">
        <v>-0.61</v>
      </c>
      <c r="O759" s="14" t="s">
        <v>2760</v>
      </c>
      <c r="P759" s="14" t="s">
        <v>6068</v>
      </c>
      <c r="Q759" s="14" t="s">
        <v>217</v>
      </c>
      <c r="R759" s="14">
        <v>199</v>
      </c>
      <c r="S759" s="14">
        <v>0</v>
      </c>
      <c r="T759" s="14">
        <v>1</v>
      </c>
      <c r="U759" s="14">
        <f>120%</f>
        <v>1.2</v>
      </c>
      <c r="V759" s="14"/>
      <c r="W759" s="14"/>
      <c r="X759" s="14"/>
      <c r="Y759" s="14"/>
      <c r="Z759" s="14"/>
      <c r="AA759" s="14"/>
      <c r="AB759" s="14"/>
      <c r="AC759" s="14"/>
      <c r="AD759" s="16"/>
    </row>
    <row r="760" spans="1:30" ht="15.6" x14ac:dyDescent="0.3">
      <c r="A760" s="4">
        <v>1</v>
      </c>
      <c r="B760" s="5" t="s">
        <v>6069</v>
      </c>
      <c r="C760" s="6" t="s">
        <v>72</v>
      </c>
      <c r="D760" s="5" t="s">
        <v>6070</v>
      </c>
      <c r="E760" s="5" t="s">
        <v>33</v>
      </c>
      <c r="F760" s="6" t="s">
        <v>6071</v>
      </c>
      <c r="G760" s="6" t="s">
        <v>6072</v>
      </c>
      <c r="H760" s="6" t="s">
        <v>6073</v>
      </c>
      <c r="I760" s="6" t="s">
        <v>834</v>
      </c>
      <c r="J760" s="6" t="s">
        <v>2474</v>
      </c>
      <c r="K760" s="6" t="s">
        <v>6074</v>
      </c>
      <c r="L760" s="6">
        <f>76%</f>
        <v>0.76</v>
      </c>
      <c r="M760" s="6" t="s">
        <v>6075</v>
      </c>
      <c r="N760" s="6">
        <f>76%</f>
        <v>0.76</v>
      </c>
      <c r="O760" s="6" t="s">
        <v>6076</v>
      </c>
      <c r="P760" s="6" t="s">
        <v>6077</v>
      </c>
      <c r="Q760" s="6">
        <f>240%</f>
        <v>2.4</v>
      </c>
      <c r="R760" s="6" t="s">
        <v>6078</v>
      </c>
      <c r="S760" s="6" t="s">
        <v>6079</v>
      </c>
      <c r="T760" s="6" t="s">
        <v>6080</v>
      </c>
      <c r="U760" s="6">
        <f>15%</f>
        <v>0.15</v>
      </c>
      <c r="V760" s="5" t="s">
        <v>6081</v>
      </c>
      <c r="W760" s="5" t="s">
        <v>6082</v>
      </c>
      <c r="X760" s="5" t="s">
        <v>6083</v>
      </c>
      <c r="Y760" s="5" t="s">
        <v>6084</v>
      </c>
      <c r="Z760" s="5" t="s">
        <v>6085</v>
      </c>
      <c r="AA760" s="5" t="s">
        <v>6086</v>
      </c>
      <c r="AB760" s="5" t="s">
        <v>6087</v>
      </c>
      <c r="AC760" s="5" t="s">
        <v>6088</v>
      </c>
      <c r="AD760" s="9" t="s">
        <v>6089</v>
      </c>
    </row>
    <row r="761" spans="1:30" ht="15.6" x14ac:dyDescent="0.3">
      <c r="A761" s="4">
        <v>2</v>
      </c>
      <c r="B761" s="5" t="s">
        <v>6090</v>
      </c>
      <c r="C761" s="6" t="s">
        <v>185</v>
      </c>
      <c r="D761" s="5" t="s">
        <v>6091</v>
      </c>
      <c r="E761" s="5" t="s">
        <v>48</v>
      </c>
      <c r="F761" s="6" t="s">
        <v>6092</v>
      </c>
      <c r="G761" s="6" t="s">
        <v>6093</v>
      </c>
      <c r="H761" s="6" t="s">
        <v>6094</v>
      </c>
      <c r="I761" s="6" t="s">
        <v>6095</v>
      </c>
      <c r="J761" s="6" t="s">
        <v>1048</v>
      </c>
      <c r="K761" s="6" t="s">
        <v>6096</v>
      </c>
      <c r="L761" s="6">
        <f>6.4%</f>
        <v>6.4000000000000001E-2</v>
      </c>
      <c r="M761" s="6" t="s">
        <v>6097</v>
      </c>
      <c r="N761" s="6">
        <f>6.4%</f>
        <v>6.4000000000000001E-2</v>
      </c>
      <c r="O761" s="6" t="s">
        <v>6098</v>
      </c>
      <c r="P761" s="6" t="s">
        <v>6099</v>
      </c>
      <c r="Q761" s="6">
        <f>6.5%</f>
        <v>6.5000000000000002E-2</v>
      </c>
      <c r="R761" s="6" t="s">
        <v>6100</v>
      </c>
      <c r="S761" s="6">
        <v>398</v>
      </c>
      <c r="T761" s="6" t="s">
        <v>6101</v>
      </c>
      <c r="U761" s="8">
        <v>-0.97</v>
      </c>
      <c r="V761" s="5" t="s">
        <v>6102</v>
      </c>
      <c r="W761" s="5" t="s">
        <v>6103</v>
      </c>
      <c r="X761" s="5" t="s">
        <v>6104</v>
      </c>
      <c r="Y761" s="5" t="s">
        <v>6105</v>
      </c>
      <c r="Z761" s="5" t="s">
        <v>6106</v>
      </c>
      <c r="AA761" s="5" t="s">
        <v>6107</v>
      </c>
      <c r="AB761" s="5" t="s">
        <v>6108</v>
      </c>
      <c r="AC761" s="5" t="s">
        <v>6109</v>
      </c>
      <c r="AD761" s="9" t="s">
        <v>6110</v>
      </c>
    </row>
    <row r="762" spans="1:30" ht="15.6" x14ac:dyDescent="0.3">
      <c r="A762" s="4">
        <v>3</v>
      </c>
      <c r="B762" s="5" t="s">
        <v>6111</v>
      </c>
      <c r="C762" s="6" t="s">
        <v>85</v>
      </c>
      <c r="D762" s="5" t="s">
        <v>6112</v>
      </c>
      <c r="E762" s="5" t="s">
        <v>48</v>
      </c>
      <c r="F762" s="6" t="s">
        <v>6113</v>
      </c>
      <c r="G762" s="6" t="s">
        <v>6114</v>
      </c>
      <c r="H762" s="6" t="s">
        <v>6115</v>
      </c>
      <c r="I762" s="6" t="s">
        <v>6116</v>
      </c>
      <c r="J762" s="6" t="s">
        <v>769</v>
      </c>
      <c r="K762" s="6" t="s">
        <v>6117</v>
      </c>
      <c r="L762" s="6">
        <f>34%</f>
        <v>0.34</v>
      </c>
      <c r="M762" s="6" t="s">
        <v>6118</v>
      </c>
      <c r="N762" s="6">
        <f>34%</f>
        <v>0.34</v>
      </c>
      <c r="O762" s="6" t="s">
        <v>6119</v>
      </c>
      <c r="P762" s="6" t="s">
        <v>6120</v>
      </c>
      <c r="Q762" s="6">
        <f>11%</f>
        <v>0.11</v>
      </c>
      <c r="R762" s="6" t="s">
        <v>6121</v>
      </c>
      <c r="S762" s="6" t="s">
        <v>205</v>
      </c>
      <c r="T762" s="6" t="s">
        <v>6122</v>
      </c>
      <c r="U762" s="6" t="s">
        <v>387</v>
      </c>
      <c r="V762" s="5" t="s">
        <v>6123</v>
      </c>
      <c r="W762" s="5" t="s">
        <v>6124</v>
      </c>
      <c r="X762" s="5" t="s">
        <v>6125</v>
      </c>
      <c r="Y762" s="5" t="s">
        <v>6126</v>
      </c>
      <c r="Z762" s="5" t="s">
        <v>6127</v>
      </c>
      <c r="AA762" s="5" t="s">
        <v>6128</v>
      </c>
      <c r="AB762" s="5" t="s">
        <v>6129</v>
      </c>
      <c r="AC762" s="5" t="s">
        <v>6130</v>
      </c>
      <c r="AD762" s="9" t="s">
        <v>6131</v>
      </c>
    </row>
    <row r="763" spans="1:30" ht="15.6" x14ac:dyDescent="0.3">
      <c r="A763" s="4">
        <v>4</v>
      </c>
      <c r="B763" s="5" t="s">
        <v>6132</v>
      </c>
      <c r="C763" s="6" t="s">
        <v>72</v>
      </c>
      <c r="D763" s="5" t="s">
        <v>6133</v>
      </c>
      <c r="E763" s="5" t="s">
        <v>48</v>
      </c>
      <c r="F763" s="6" t="s">
        <v>6134</v>
      </c>
      <c r="G763" s="6" t="s">
        <v>6135</v>
      </c>
      <c r="H763" s="6" t="s">
        <v>6136</v>
      </c>
      <c r="I763" s="8">
        <v>-0.46</v>
      </c>
      <c r="J763" s="6" t="s">
        <v>321</v>
      </c>
      <c r="K763" s="6" t="s">
        <v>6137</v>
      </c>
      <c r="L763" s="6">
        <f>64%</f>
        <v>0.64</v>
      </c>
      <c r="M763" s="6" t="s">
        <v>6138</v>
      </c>
      <c r="N763" s="6">
        <f>64%</f>
        <v>0.64</v>
      </c>
      <c r="O763" s="6" t="s">
        <v>6139</v>
      </c>
      <c r="P763" s="6" t="s">
        <v>6140</v>
      </c>
      <c r="Q763" s="6">
        <f>0.86</f>
        <v>0.86</v>
      </c>
      <c r="R763" s="6" t="s">
        <v>6141</v>
      </c>
      <c r="S763" s="6" t="s">
        <v>6142</v>
      </c>
      <c r="T763" s="6" t="s">
        <v>6143</v>
      </c>
      <c r="U763" s="6">
        <f>3.6%</f>
        <v>3.6000000000000004E-2</v>
      </c>
      <c r="V763" s="5" t="s">
        <v>6144</v>
      </c>
      <c r="W763" s="5" t="s">
        <v>6145</v>
      </c>
      <c r="X763" s="5" t="s">
        <v>6146</v>
      </c>
      <c r="Y763" s="5" t="s">
        <v>6147</v>
      </c>
      <c r="Z763" s="5" t="s">
        <v>6148</v>
      </c>
      <c r="AA763" s="5" t="s">
        <v>6149</v>
      </c>
      <c r="AB763" s="5" t="s">
        <v>6150</v>
      </c>
      <c r="AC763" s="5" t="s">
        <v>6149</v>
      </c>
      <c r="AD763" s="9" t="s">
        <v>6151</v>
      </c>
    </row>
    <row r="764" spans="1:30" ht="15.6" x14ac:dyDescent="0.3">
      <c r="A764" s="4">
        <v>5</v>
      </c>
      <c r="B764" s="5" t="s">
        <v>6152</v>
      </c>
      <c r="C764" s="6" t="s">
        <v>304</v>
      </c>
      <c r="D764" s="5" t="s">
        <v>6153</v>
      </c>
      <c r="E764" s="5" t="s">
        <v>48</v>
      </c>
      <c r="F764" s="6" t="s">
        <v>6154</v>
      </c>
      <c r="G764" s="6" t="s">
        <v>6155</v>
      </c>
      <c r="H764" s="6" t="s">
        <v>6156</v>
      </c>
      <c r="I764" s="6">
        <f>150%</f>
        <v>1.5</v>
      </c>
      <c r="J764" s="6" t="s">
        <v>1048</v>
      </c>
      <c r="K764" s="6" t="s">
        <v>6157</v>
      </c>
      <c r="L764" s="6">
        <f>280%</f>
        <v>2.8</v>
      </c>
      <c r="M764" s="6" t="s">
        <v>6158</v>
      </c>
      <c r="N764" s="6">
        <f>280%</f>
        <v>2.8</v>
      </c>
      <c r="O764" s="6" t="s">
        <v>6159</v>
      </c>
      <c r="P764" s="6" t="s">
        <v>6160</v>
      </c>
      <c r="Q764" s="6">
        <f>2.1</f>
        <v>2.1</v>
      </c>
      <c r="R764" s="6" t="s">
        <v>6161</v>
      </c>
      <c r="S764" s="6">
        <v>328</v>
      </c>
      <c r="T764" s="6" t="s">
        <v>6162</v>
      </c>
      <c r="U764" s="6">
        <f>730%</f>
        <v>7.3</v>
      </c>
      <c r="V764" s="5" t="s">
        <v>6163</v>
      </c>
      <c r="W764" s="5" t="s">
        <v>6164</v>
      </c>
      <c r="X764" s="5" t="s">
        <v>6165</v>
      </c>
      <c r="Y764" s="5" t="s">
        <v>6166</v>
      </c>
      <c r="Z764" s="5" t="s">
        <v>6167</v>
      </c>
      <c r="AA764" s="5" t="s">
        <v>6168</v>
      </c>
      <c r="AB764" s="5" t="s">
        <v>6169</v>
      </c>
      <c r="AC764" s="5" t="s">
        <v>6166</v>
      </c>
      <c r="AD764" s="9" t="s">
        <v>6170</v>
      </c>
    </row>
    <row r="765" spans="1:30" ht="15.6" x14ac:dyDescent="0.3">
      <c r="A765" s="4">
        <v>6</v>
      </c>
      <c r="B765" s="5" t="s">
        <v>6171</v>
      </c>
      <c r="C765" s="6" t="s">
        <v>148</v>
      </c>
      <c r="D765" s="5" t="s">
        <v>6172</v>
      </c>
      <c r="E765" s="5" t="s">
        <v>162</v>
      </c>
      <c r="F765" s="6" t="s">
        <v>5443</v>
      </c>
      <c r="G765" s="6" t="s">
        <v>6173</v>
      </c>
      <c r="H765" s="6" t="s">
        <v>6174</v>
      </c>
      <c r="I765" s="8">
        <v>-0.67</v>
      </c>
      <c r="J765" s="6" t="s">
        <v>494</v>
      </c>
      <c r="K765" s="6" t="s">
        <v>6175</v>
      </c>
      <c r="L765" s="6" t="s">
        <v>217</v>
      </c>
      <c r="M765" s="6" t="s">
        <v>6176</v>
      </c>
      <c r="N765" s="6" t="s">
        <v>3427</v>
      </c>
      <c r="O765" s="6" t="s">
        <v>6177</v>
      </c>
      <c r="P765" s="6" t="s">
        <v>6178</v>
      </c>
      <c r="Q765" s="6">
        <f>0.88</f>
        <v>0.88</v>
      </c>
      <c r="R765" s="6" t="s">
        <v>6179</v>
      </c>
      <c r="S765" s="6" t="s">
        <v>6180</v>
      </c>
      <c r="T765" s="6" t="s">
        <v>6181</v>
      </c>
      <c r="U765" s="6">
        <f>0.37%</f>
        <v>3.7000000000000002E-3</v>
      </c>
      <c r="V765" s="5" t="s">
        <v>6182</v>
      </c>
      <c r="W765" s="5" t="s">
        <v>6183</v>
      </c>
      <c r="X765" s="5" t="s">
        <v>6184</v>
      </c>
      <c r="Y765" s="5" t="s">
        <v>6183</v>
      </c>
      <c r="Z765" s="5" t="s">
        <v>6185</v>
      </c>
      <c r="AA765" s="5" t="s">
        <v>6183</v>
      </c>
      <c r="AB765" s="5" t="s">
        <v>6186</v>
      </c>
      <c r="AC765" s="5" t="s">
        <v>6183</v>
      </c>
      <c r="AD765" s="9" t="s">
        <v>6187</v>
      </c>
    </row>
    <row r="766" spans="1:30" ht="15.6" x14ac:dyDescent="0.3">
      <c r="A766" s="4">
        <v>7</v>
      </c>
      <c r="B766" s="5" t="s">
        <v>6188</v>
      </c>
      <c r="C766" s="6" t="s">
        <v>1013</v>
      </c>
      <c r="D766" s="5" t="s">
        <v>6189</v>
      </c>
      <c r="E766" s="5" t="s">
        <v>48</v>
      </c>
      <c r="F766" s="6" t="s">
        <v>6190</v>
      </c>
      <c r="G766" s="6" t="s">
        <v>6191</v>
      </c>
      <c r="H766" s="6" t="s">
        <v>6192</v>
      </c>
      <c r="I766" s="6" t="s">
        <v>6193</v>
      </c>
      <c r="J766" s="6" t="s">
        <v>1432</v>
      </c>
      <c r="K766" s="6" t="s">
        <v>6194</v>
      </c>
      <c r="L766" s="8">
        <v>-0.26</v>
      </c>
      <c r="M766" s="6" t="s">
        <v>6195</v>
      </c>
      <c r="N766" s="8">
        <v>-0.26</v>
      </c>
      <c r="O766" s="6" t="s">
        <v>6196</v>
      </c>
      <c r="P766" s="6" t="s">
        <v>6197</v>
      </c>
      <c r="Q766" s="6">
        <f>6.1%</f>
        <v>6.0999999999999999E-2</v>
      </c>
      <c r="R766" s="6" t="s">
        <v>6198</v>
      </c>
      <c r="S766" s="6" t="s">
        <v>6199</v>
      </c>
      <c r="T766" s="6" t="s">
        <v>6200</v>
      </c>
      <c r="U766" s="6">
        <f>1.7%</f>
        <v>1.7000000000000001E-2</v>
      </c>
      <c r="V766" s="5" t="s">
        <v>6201</v>
      </c>
      <c r="W766" s="5" t="s">
        <v>6202</v>
      </c>
      <c r="X766" s="5" t="s">
        <v>6203</v>
      </c>
      <c r="Y766" s="5" t="s">
        <v>6202</v>
      </c>
      <c r="Z766" s="5" t="s">
        <v>6204</v>
      </c>
      <c r="AA766" s="5" t="s">
        <v>6205</v>
      </c>
      <c r="AB766" s="5" t="s">
        <v>6206</v>
      </c>
      <c r="AC766" s="5" t="s">
        <v>6207</v>
      </c>
      <c r="AD766" s="9" t="s">
        <v>6208</v>
      </c>
    </row>
    <row r="767" spans="1:30" ht="15.6" x14ac:dyDescent="0.3">
      <c r="A767" s="4">
        <v>8</v>
      </c>
      <c r="B767" s="5" t="s">
        <v>6209</v>
      </c>
      <c r="C767" s="6" t="s">
        <v>1408</v>
      </c>
      <c r="D767" s="5" t="s">
        <v>6210</v>
      </c>
      <c r="E767" s="5" t="s">
        <v>33</v>
      </c>
      <c r="F767" s="6" t="s">
        <v>6211</v>
      </c>
      <c r="G767" s="6" t="s">
        <v>6212</v>
      </c>
      <c r="H767" s="6" t="s">
        <v>6213</v>
      </c>
      <c r="I767" s="8">
        <v>-0.51</v>
      </c>
      <c r="J767" s="6" t="s">
        <v>118</v>
      </c>
      <c r="K767" s="6" t="s">
        <v>6214</v>
      </c>
      <c r="L767" s="6" t="s">
        <v>217</v>
      </c>
      <c r="M767" s="6" t="s">
        <v>6215</v>
      </c>
      <c r="N767" s="6">
        <f>76%</f>
        <v>0.76</v>
      </c>
      <c r="O767" s="6" t="s">
        <v>963</v>
      </c>
      <c r="P767" s="6" t="s">
        <v>6216</v>
      </c>
      <c r="Q767" s="6">
        <f>0.51</f>
        <v>0.51</v>
      </c>
      <c r="R767" s="6" t="s">
        <v>6217</v>
      </c>
      <c r="S767" s="6" t="s">
        <v>6218</v>
      </c>
      <c r="T767" s="6" t="s">
        <v>6219</v>
      </c>
      <c r="U767" s="6">
        <f>40%</f>
        <v>0.4</v>
      </c>
      <c r="V767" s="5" t="s">
        <v>6220</v>
      </c>
      <c r="W767" s="5" t="s">
        <v>6221</v>
      </c>
      <c r="X767" s="5" t="s">
        <v>6222</v>
      </c>
      <c r="Y767" s="5" t="s">
        <v>864</v>
      </c>
      <c r="Z767" s="5" t="s">
        <v>6223</v>
      </c>
      <c r="AA767" s="5" t="s">
        <v>6224</v>
      </c>
      <c r="AB767" s="5" t="s">
        <v>6225</v>
      </c>
      <c r="AC767" s="5" t="s">
        <v>6226</v>
      </c>
      <c r="AD767" s="9" t="s">
        <v>6227</v>
      </c>
    </row>
    <row r="768" spans="1:30" ht="15.6" x14ac:dyDescent="0.3">
      <c r="A768" s="4">
        <v>9</v>
      </c>
      <c r="B768" s="5" t="s">
        <v>6228</v>
      </c>
      <c r="C768" s="6" t="s">
        <v>567</v>
      </c>
      <c r="D768" s="5" t="s">
        <v>6229</v>
      </c>
      <c r="E768" s="5" t="s">
        <v>48</v>
      </c>
      <c r="F768" s="6" t="s">
        <v>2490</v>
      </c>
      <c r="G768" s="6" t="s">
        <v>6230</v>
      </c>
      <c r="H768" s="6" t="s">
        <v>6231</v>
      </c>
      <c r="I768" s="6">
        <f>17%</f>
        <v>0.17</v>
      </c>
      <c r="J768" s="6" t="s">
        <v>888</v>
      </c>
      <c r="K768" s="6" t="s">
        <v>6232</v>
      </c>
      <c r="L768" s="6">
        <f>130%</f>
        <v>1.3</v>
      </c>
      <c r="M768" s="6" t="s">
        <v>6233</v>
      </c>
      <c r="N768" s="6">
        <f>130%</f>
        <v>1.3</v>
      </c>
      <c r="O768" s="6" t="s">
        <v>6234</v>
      </c>
      <c r="P768" s="6" t="s">
        <v>6235</v>
      </c>
      <c r="Q768" s="6">
        <f>0.91</f>
        <v>0.91</v>
      </c>
      <c r="R768" s="6" t="s">
        <v>6236</v>
      </c>
      <c r="S768" s="6">
        <v>410</v>
      </c>
      <c r="T768" s="6" t="s">
        <v>6237</v>
      </c>
      <c r="U768" s="6">
        <f>47%</f>
        <v>0.47</v>
      </c>
      <c r="V768" s="5" t="s">
        <v>6238</v>
      </c>
      <c r="W768" s="5" t="s">
        <v>6239</v>
      </c>
      <c r="X768" s="5" t="s">
        <v>6240</v>
      </c>
      <c r="Y768" s="5" t="s">
        <v>6207</v>
      </c>
      <c r="Z768" s="5" t="s">
        <v>6241</v>
      </c>
      <c r="AA768" s="5" t="s">
        <v>6242</v>
      </c>
      <c r="AB768" s="5" t="s">
        <v>6243</v>
      </c>
      <c r="AC768" s="5" t="s">
        <v>6207</v>
      </c>
      <c r="AD768" s="9" t="s">
        <v>6244</v>
      </c>
    </row>
    <row r="769" spans="1:30" ht="15.6" x14ac:dyDescent="0.3">
      <c r="A769" s="4">
        <v>10</v>
      </c>
      <c r="B769" s="5" t="s">
        <v>6245</v>
      </c>
      <c r="C769" s="6" t="s">
        <v>72</v>
      </c>
      <c r="D769" s="5" t="s">
        <v>6246</v>
      </c>
      <c r="E769" s="5" t="s">
        <v>48</v>
      </c>
      <c r="F769" s="6" t="s">
        <v>6247</v>
      </c>
      <c r="G769" s="6" t="s">
        <v>6248</v>
      </c>
      <c r="H769" s="6" t="s">
        <v>6249</v>
      </c>
      <c r="I769" s="8">
        <v>-0.19</v>
      </c>
      <c r="J769" s="6" t="s">
        <v>118</v>
      </c>
      <c r="K769" s="6" t="s">
        <v>6250</v>
      </c>
      <c r="L769" s="8">
        <v>-0.23</v>
      </c>
      <c r="M769" s="6" t="s">
        <v>6251</v>
      </c>
      <c r="N769" s="8">
        <v>-0.23</v>
      </c>
      <c r="O769" s="6" t="s">
        <v>6252</v>
      </c>
      <c r="P769" s="6" t="s">
        <v>6253</v>
      </c>
      <c r="Q769" s="6">
        <f>0.33</f>
        <v>0.33</v>
      </c>
      <c r="R769" s="6" t="s">
        <v>6254</v>
      </c>
      <c r="S769" s="6">
        <v>263</v>
      </c>
      <c r="T769" s="6" t="s">
        <v>6255</v>
      </c>
      <c r="U769" s="6">
        <f>9.1%</f>
        <v>9.0999999999999998E-2</v>
      </c>
      <c r="V769" s="5" t="s">
        <v>6256</v>
      </c>
      <c r="W769" s="5" t="s">
        <v>6257</v>
      </c>
      <c r="X769" s="5" t="s">
        <v>6258</v>
      </c>
      <c r="Y769" s="5" t="s">
        <v>6259</v>
      </c>
      <c r="Z769" s="5" t="s">
        <v>6260</v>
      </c>
      <c r="AA769" s="5" t="s">
        <v>6261</v>
      </c>
      <c r="AB769" s="5" t="s">
        <v>6262</v>
      </c>
      <c r="AC769" s="5" t="s">
        <v>6263</v>
      </c>
      <c r="AD769" s="9" t="s">
        <v>6264</v>
      </c>
    </row>
    <row r="770" spans="1:30" ht="15.6" x14ac:dyDescent="0.3">
      <c r="A770" s="4">
        <v>11</v>
      </c>
      <c r="B770" s="5" t="s">
        <v>6265</v>
      </c>
      <c r="C770" s="6" t="s">
        <v>85</v>
      </c>
      <c r="D770" s="5" t="s">
        <v>6266</v>
      </c>
      <c r="E770" s="5" t="s">
        <v>48</v>
      </c>
      <c r="F770" s="6" t="s">
        <v>6267</v>
      </c>
      <c r="G770" s="6" t="s">
        <v>6268</v>
      </c>
      <c r="H770" s="6" t="s">
        <v>343</v>
      </c>
      <c r="I770" s="6" t="s">
        <v>6269</v>
      </c>
      <c r="J770" s="6" t="s">
        <v>332</v>
      </c>
      <c r="K770" s="6" t="s">
        <v>6270</v>
      </c>
      <c r="L770" s="8">
        <v>-0.1</v>
      </c>
      <c r="M770" s="6" t="s">
        <v>6271</v>
      </c>
      <c r="N770" s="8">
        <v>-0.1</v>
      </c>
      <c r="O770" s="6" t="s">
        <v>6272</v>
      </c>
      <c r="P770" s="6" t="s">
        <v>6273</v>
      </c>
      <c r="Q770" s="8">
        <v>-0.32</v>
      </c>
      <c r="R770" s="6" t="s">
        <v>6274</v>
      </c>
      <c r="S770" s="6" t="s">
        <v>6275</v>
      </c>
      <c r="T770" s="6" t="s">
        <v>6276</v>
      </c>
      <c r="U770" s="8">
        <v>-0.39</v>
      </c>
      <c r="V770" s="5" t="s">
        <v>6277</v>
      </c>
      <c r="W770" s="5" t="s">
        <v>6278</v>
      </c>
      <c r="X770" s="5" t="s">
        <v>6279</v>
      </c>
      <c r="Y770" s="5" t="s">
        <v>6109</v>
      </c>
      <c r="Z770" s="5" t="s">
        <v>6280</v>
      </c>
      <c r="AA770" s="5" t="s">
        <v>6281</v>
      </c>
      <c r="AB770" s="5" t="s">
        <v>6282</v>
      </c>
      <c r="AC770" s="5" t="s">
        <v>6283</v>
      </c>
      <c r="AD770" s="9" t="s">
        <v>6284</v>
      </c>
    </row>
    <row r="771" spans="1:30" ht="15.6" x14ac:dyDescent="0.3">
      <c r="A771" s="4">
        <v>12</v>
      </c>
      <c r="B771" s="5" t="s">
        <v>6285</v>
      </c>
      <c r="C771" s="6" t="s">
        <v>31</v>
      </c>
      <c r="D771" s="5" t="s">
        <v>6286</v>
      </c>
      <c r="E771" s="5" t="s">
        <v>196</v>
      </c>
      <c r="F771" s="6" t="s">
        <v>6287</v>
      </c>
      <c r="G771" s="6" t="s">
        <v>6288</v>
      </c>
      <c r="H771" s="6" t="s">
        <v>1093</v>
      </c>
      <c r="I771" s="6" t="s">
        <v>6289</v>
      </c>
      <c r="J771" s="6" t="s">
        <v>250</v>
      </c>
      <c r="K771" s="6" t="s">
        <v>6290</v>
      </c>
      <c r="L771" s="6">
        <f>79%</f>
        <v>0.79</v>
      </c>
      <c r="M771" s="6" t="s">
        <v>6291</v>
      </c>
      <c r="N771" s="6">
        <f>120%</f>
        <v>1.2</v>
      </c>
      <c r="O771" s="6" t="s">
        <v>6292</v>
      </c>
      <c r="P771" s="6" t="s">
        <v>6293</v>
      </c>
      <c r="Q771" s="6">
        <f>0.7</f>
        <v>0.7</v>
      </c>
      <c r="R771" s="6" t="s">
        <v>6294</v>
      </c>
      <c r="S771" s="6">
        <v>13</v>
      </c>
      <c r="T771" s="6" t="s">
        <v>6295</v>
      </c>
      <c r="U771" s="6">
        <f>530%</f>
        <v>5.3</v>
      </c>
      <c r="V771" s="5" t="s">
        <v>6296</v>
      </c>
      <c r="W771" s="5" t="s">
        <v>6297</v>
      </c>
      <c r="X771" s="5" t="s">
        <v>6298</v>
      </c>
      <c r="Y771" s="5" t="s">
        <v>6299</v>
      </c>
      <c r="Z771" s="5" t="s">
        <v>6300</v>
      </c>
      <c r="AA771" s="5" t="s">
        <v>6301</v>
      </c>
      <c r="AB771" s="5" t="s">
        <v>6302</v>
      </c>
      <c r="AC771" s="5" t="s">
        <v>6303</v>
      </c>
      <c r="AD771" s="9" t="s">
        <v>6304</v>
      </c>
    </row>
    <row r="772" spans="1:30" ht="15.6" x14ac:dyDescent="0.3">
      <c r="A772" s="4">
        <v>13</v>
      </c>
      <c r="B772" s="5" t="s">
        <v>6305</v>
      </c>
      <c r="C772" s="6" t="s">
        <v>72</v>
      </c>
      <c r="D772" s="5" t="s">
        <v>6306</v>
      </c>
      <c r="E772" s="5" t="s">
        <v>48</v>
      </c>
      <c r="F772" s="6" t="s">
        <v>6307</v>
      </c>
      <c r="G772" s="6" t="s">
        <v>6308</v>
      </c>
      <c r="H772" s="6" t="s">
        <v>118</v>
      </c>
      <c r="I772" s="6" t="s">
        <v>6309</v>
      </c>
      <c r="J772" s="6" t="s">
        <v>411</v>
      </c>
      <c r="K772" s="6" t="s">
        <v>6310</v>
      </c>
      <c r="L772" s="8">
        <v>-0.23</v>
      </c>
      <c r="M772" s="6" t="s">
        <v>6311</v>
      </c>
      <c r="N772" s="8">
        <v>-0.23</v>
      </c>
      <c r="O772" s="6" t="s">
        <v>6312</v>
      </c>
      <c r="P772" s="6" t="s">
        <v>6313</v>
      </c>
      <c r="Q772" s="6">
        <f>2.2%</f>
        <v>2.2000000000000002E-2</v>
      </c>
      <c r="R772" s="6" t="s">
        <v>6314</v>
      </c>
      <c r="S772" s="6">
        <v>414</v>
      </c>
      <c r="T772" s="6" t="s">
        <v>6315</v>
      </c>
      <c r="U772" s="8">
        <v>-0.16</v>
      </c>
      <c r="V772" s="5" t="s">
        <v>6316</v>
      </c>
      <c r="W772" s="5" t="s">
        <v>6317</v>
      </c>
      <c r="X772" s="5" t="s">
        <v>6318</v>
      </c>
      <c r="Y772" s="5" t="s">
        <v>6319</v>
      </c>
      <c r="Z772" s="5" t="s">
        <v>6320</v>
      </c>
      <c r="AA772" s="5" t="s">
        <v>6317</v>
      </c>
      <c r="AB772" s="5" t="s">
        <v>6321</v>
      </c>
      <c r="AC772" s="5" t="s">
        <v>6322</v>
      </c>
      <c r="AD772" s="9" t="s">
        <v>6323</v>
      </c>
    </row>
    <row r="773" spans="1:30" ht="15.6" x14ac:dyDescent="0.3">
      <c r="A773" s="4">
        <v>14</v>
      </c>
      <c r="B773" s="5" t="s">
        <v>6324</v>
      </c>
      <c r="C773" s="6" t="s">
        <v>370</v>
      </c>
      <c r="D773" s="5" t="s">
        <v>6325</v>
      </c>
      <c r="E773" s="5" t="s">
        <v>33</v>
      </c>
      <c r="F773" s="6" t="s">
        <v>6326</v>
      </c>
      <c r="G773" s="6" t="s">
        <v>6327</v>
      </c>
      <c r="H773" s="6" t="s">
        <v>385</v>
      </c>
      <c r="I773" s="8">
        <v>-0.87</v>
      </c>
      <c r="J773" s="6" t="s">
        <v>1443</v>
      </c>
      <c r="K773" s="6" t="s">
        <v>6328</v>
      </c>
      <c r="L773" s="8">
        <v>-0.35</v>
      </c>
      <c r="M773" s="6" t="s">
        <v>6329</v>
      </c>
      <c r="N773" s="8">
        <v>-0.35</v>
      </c>
      <c r="O773" s="6" t="s">
        <v>6330</v>
      </c>
      <c r="P773" s="6" t="s">
        <v>6331</v>
      </c>
      <c r="Q773" s="6">
        <f>0.46</f>
        <v>0.46</v>
      </c>
      <c r="R773" s="6" t="s">
        <v>6332</v>
      </c>
      <c r="S773" s="6">
        <v>85</v>
      </c>
      <c r="T773" s="6" t="s">
        <v>6333</v>
      </c>
      <c r="U773" s="6">
        <f>44%</f>
        <v>0.44</v>
      </c>
      <c r="V773" s="5" t="s">
        <v>6334</v>
      </c>
      <c r="W773" s="5" t="s">
        <v>6335</v>
      </c>
      <c r="X773" s="5" t="s">
        <v>6336</v>
      </c>
      <c r="Y773" s="5" t="s">
        <v>6337</v>
      </c>
      <c r="Z773" s="5" t="s">
        <v>6338</v>
      </c>
      <c r="AA773" s="5" t="s">
        <v>6339</v>
      </c>
      <c r="AB773" s="5" t="s">
        <v>6340</v>
      </c>
      <c r="AC773" s="5" t="s">
        <v>6341</v>
      </c>
      <c r="AD773" s="9" t="s">
        <v>6342</v>
      </c>
    </row>
    <row r="774" spans="1:30" ht="15.6" x14ac:dyDescent="0.3">
      <c r="A774" s="4">
        <v>15</v>
      </c>
      <c r="B774" s="5" t="s">
        <v>6343</v>
      </c>
      <c r="C774" s="6" t="s">
        <v>291</v>
      </c>
      <c r="D774" s="5" t="s">
        <v>6344</v>
      </c>
      <c r="E774" s="5" t="s">
        <v>33</v>
      </c>
      <c r="F774" s="6" t="s">
        <v>6345</v>
      </c>
      <c r="G774" s="6" t="s">
        <v>6346</v>
      </c>
      <c r="H774" s="6" t="s">
        <v>385</v>
      </c>
      <c r="I774" s="6" t="s">
        <v>6347</v>
      </c>
      <c r="J774" s="6" t="s">
        <v>2474</v>
      </c>
      <c r="K774" s="6" t="s">
        <v>6348</v>
      </c>
      <c r="L774" s="6">
        <f>12%</f>
        <v>0.12</v>
      </c>
      <c r="M774" s="6" t="s">
        <v>6349</v>
      </c>
      <c r="N774" s="6">
        <f>12%</f>
        <v>0.12</v>
      </c>
      <c r="O774" s="6" t="s">
        <v>6350</v>
      </c>
      <c r="P774" s="6" t="s">
        <v>6351</v>
      </c>
      <c r="Q774" s="6">
        <f>250%</f>
        <v>2.5</v>
      </c>
      <c r="R774" s="6" t="s">
        <v>6352</v>
      </c>
      <c r="S774" s="6">
        <v>272</v>
      </c>
      <c r="T774" s="6" t="s">
        <v>6353</v>
      </c>
      <c r="U774" s="6"/>
      <c r="V774" s="5" t="s">
        <v>6354</v>
      </c>
      <c r="W774" s="5" t="s">
        <v>6355</v>
      </c>
      <c r="X774" s="5" t="s">
        <v>6356</v>
      </c>
      <c r="Y774" s="5" t="s">
        <v>6357</v>
      </c>
      <c r="Z774" s="5" t="s">
        <v>6358</v>
      </c>
      <c r="AA774" s="5" t="s">
        <v>6355</v>
      </c>
      <c r="AB774" s="5" t="s">
        <v>6359</v>
      </c>
      <c r="AC774" s="5" t="s">
        <v>6355</v>
      </c>
      <c r="AD774" s="9" t="s">
        <v>6360</v>
      </c>
    </row>
    <row r="775" spans="1:30" ht="15.6" x14ac:dyDescent="0.3">
      <c r="A775" s="4">
        <v>16</v>
      </c>
      <c r="B775" s="5" t="s">
        <v>6361</v>
      </c>
      <c r="C775" s="6" t="s">
        <v>60</v>
      </c>
      <c r="D775" s="5" t="s">
        <v>6362</v>
      </c>
      <c r="E775" s="5" t="s">
        <v>48</v>
      </c>
      <c r="F775" s="6" t="s">
        <v>6363</v>
      </c>
      <c r="G775" s="6" t="s">
        <v>6364</v>
      </c>
      <c r="H775" s="6" t="s">
        <v>321</v>
      </c>
      <c r="I775" s="8">
        <v>-0.64</v>
      </c>
      <c r="J775" s="6" t="s">
        <v>236</v>
      </c>
      <c r="K775" s="6" t="s">
        <v>6365</v>
      </c>
      <c r="L775" s="8">
        <v>-0.16</v>
      </c>
      <c r="M775" s="6" t="s">
        <v>6366</v>
      </c>
      <c r="N775" s="8">
        <v>-0.16</v>
      </c>
      <c r="O775" s="6" t="s">
        <v>6367</v>
      </c>
      <c r="P775" s="6" t="s">
        <v>6368</v>
      </c>
      <c r="Q775" s="6">
        <f>0.052</f>
        <v>5.1999999999999998E-2</v>
      </c>
      <c r="R775" s="6" t="s">
        <v>6369</v>
      </c>
      <c r="S775" s="6">
        <v>236</v>
      </c>
      <c r="T775" s="6" t="s">
        <v>6370</v>
      </c>
      <c r="U775" s="6">
        <f>16%</f>
        <v>0.16</v>
      </c>
      <c r="V775" s="5" t="s">
        <v>6371</v>
      </c>
      <c r="W775" s="5" t="s">
        <v>6372</v>
      </c>
      <c r="X775" s="5" t="s">
        <v>6373</v>
      </c>
      <c r="Y775" s="5" t="s">
        <v>6372</v>
      </c>
      <c r="Z775" s="5" t="s">
        <v>6374</v>
      </c>
      <c r="AA775" s="5" t="s">
        <v>6375</v>
      </c>
      <c r="AB775" s="5" t="s">
        <v>6376</v>
      </c>
      <c r="AC775" s="5" t="s">
        <v>6377</v>
      </c>
      <c r="AD775" s="9" t="s">
        <v>6378</v>
      </c>
    </row>
    <row r="776" spans="1:30" ht="15.6" x14ac:dyDescent="0.3">
      <c r="A776" s="4">
        <v>17</v>
      </c>
      <c r="B776" s="5" t="s">
        <v>6379</v>
      </c>
      <c r="C776" s="6" t="s">
        <v>219</v>
      </c>
      <c r="D776" s="5" t="s">
        <v>6380</v>
      </c>
      <c r="E776" s="5" t="s">
        <v>33</v>
      </c>
      <c r="F776" s="6" t="s">
        <v>6381</v>
      </c>
      <c r="G776" s="6" t="s">
        <v>6382</v>
      </c>
      <c r="H776" s="6" t="s">
        <v>421</v>
      </c>
      <c r="I776" s="6" t="s">
        <v>617</v>
      </c>
      <c r="J776" s="6" t="s">
        <v>309</v>
      </c>
      <c r="K776" s="6" t="s">
        <v>6383</v>
      </c>
      <c r="L776" s="6">
        <f>44%</f>
        <v>0.44</v>
      </c>
      <c r="M776" s="6" t="s">
        <v>6384</v>
      </c>
      <c r="N776" s="6">
        <f>44%</f>
        <v>0.44</v>
      </c>
      <c r="O776" s="6" t="s">
        <v>6385</v>
      </c>
      <c r="P776" s="6" t="s">
        <v>6386</v>
      </c>
      <c r="Q776" s="6">
        <f>49%</f>
        <v>0.49</v>
      </c>
      <c r="R776" s="6" t="s">
        <v>6387</v>
      </c>
      <c r="S776" s="6">
        <v>585</v>
      </c>
      <c r="T776" s="6" t="s">
        <v>6388</v>
      </c>
      <c r="U776" s="6">
        <f>3.5%</f>
        <v>3.5000000000000003E-2</v>
      </c>
      <c r="V776" s="5" t="s">
        <v>6389</v>
      </c>
      <c r="W776" s="5" t="s">
        <v>6147</v>
      </c>
      <c r="X776" s="5" t="s">
        <v>6390</v>
      </c>
      <c r="Y776" s="5" t="s">
        <v>6391</v>
      </c>
      <c r="Z776" s="5" t="s">
        <v>6392</v>
      </c>
      <c r="AA776" s="5" t="s">
        <v>6391</v>
      </c>
      <c r="AB776" s="5" t="s">
        <v>6393</v>
      </c>
      <c r="AC776" s="5" t="s">
        <v>362</v>
      </c>
      <c r="AD776" s="9" t="s">
        <v>6394</v>
      </c>
    </row>
    <row r="777" spans="1:30" ht="15.6" x14ac:dyDescent="0.3">
      <c r="A777" s="4">
        <v>18</v>
      </c>
      <c r="B777" s="5" t="s">
        <v>6395</v>
      </c>
      <c r="C777" s="6" t="s">
        <v>114</v>
      </c>
      <c r="D777" s="5" t="s">
        <v>6396</v>
      </c>
      <c r="E777" s="5" t="s">
        <v>48</v>
      </c>
      <c r="F777" s="6" t="s">
        <v>6397</v>
      </c>
      <c r="G777" s="6" t="s">
        <v>6398</v>
      </c>
      <c r="H777" s="6" t="s">
        <v>1365</v>
      </c>
      <c r="I777" s="6" t="s">
        <v>6399</v>
      </c>
      <c r="J777" s="6" t="s">
        <v>1365</v>
      </c>
      <c r="K777" s="6" t="s">
        <v>2605</v>
      </c>
      <c r="L777" s="8">
        <v>-0.48</v>
      </c>
      <c r="M777" s="6" t="s">
        <v>6400</v>
      </c>
      <c r="N777" s="8">
        <v>-0.48</v>
      </c>
      <c r="O777" s="6" t="s">
        <v>6401</v>
      </c>
      <c r="P777" s="6" t="s">
        <v>6402</v>
      </c>
      <c r="Q777" s="6">
        <f>7%</f>
        <v>7.0000000000000007E-2</v>
      </c>
      <c r="R777" s="6" t="s">
        <v>6403</v>
      </c>
      <c r="S777" s="6">
        <v>94</v>
      </c>
      <c r="T777" s="6" t="s">
        <v>6404</v>
      </c>
      <c r="U777" s="6">
        <f>2.8%</f>
        <v>2.7999999999999997E-2</v>
      </c>
      <c r="V777" s="5" t="s">
        <v>6405</v>
      </c>
      <c r="W777" s="5" t="s">
        <v>6406</v>
      </c>
      <c r="X777" s="5" t="s">
        <v>6407</v>
      </c>
      <c r="Y777" s="5" t="s">
        <v>6372</v>
      </c>
      <c r="Z777" s="5" t="s">
        <v>6408</v>
      </c>
      <c r="AA777" s="5" t="s">
        <v>6409</v>
      </c>
      <c r="AB777" s="5" t="s">
        <v>6410</v>
      </c>
      <c r="AC777" s="5" t="s">
        <v>6372</v>
      </c>
      <c r="AD777" s="9" t="s">
        <v>6411</v>
      </c>
    </row>
    <row r="778" spans="1:30" ht="15.6" x14ac:dyDescent="0.3">
      <c r="A778" s="4">
        <v>19</v>
      </c>
      <c r="B778" s="5" t="s">
        <v>6412</v>
      </c>
      <c r="C778" s="6" t="s">
        <v>85</v>
      </c>
      <c r="D778" s="5" t="s">
        <v>6413</v>
      </c>
      <c r="E778" s="5" t="s">
        <v>48</v>
      </c>
      <c r="F778" s="6" t="s">
        <v>6414</v>
      </c>
      <c r="G778" s="6" t="s">
        <v>6415</v>
      </c>
      <c r="H778" s="6" t="s">
        <v>141</v>
      </c>
      <c r="I778" s="8">
        <v>-0.7</v>
      </c>
      <c r="J778" s="6" t="s">
        <v>385</v>
      </c>
      <c r="K778" s="6" t="s">
        <v>6416</v>
      </c>
      <c r="L778" s="6">
        <f>8.4%</f>
        <v>8.4000000000000005E-2</v>
      </c>
      <c r="M778" s="6" t="s">
        <v>6417</v>
      </c>
      <c r="N778" s="6">
        <f>8.4%</f>
        <v>8.4000000000000005E-2</v>
      </c>
      <c r="O778" s="6" t="s">
        <v>55</v>
      </c>
      <c r="P778" s="6" t="s">
        <v>6418</v>
      </c>
      <c r="Q778" s="6">
        <f>0.071</f>
        <v>7.0999999999999994E-2</v>
      </c>
      <c r="R778" s="6" t="s">
        <v>6419</v>
      </c>
      <c r="S778" s="6" t="s">
        <v>6420</v>
      </c>
      <c r="T778" s="6" t="s">
        <v>6421</v>
      </c>
      <c r="U778" s="6">
        <f>4.2%</f>
        <v>4.2000000000000003E-2</v>
      </c>
      <c r="V778" s="5" t="s">
        <v>6422</v>
      </c>
      <c r="W778" s="5" t="s">
        <v>6423</v>
      </c>
      <c r="X778" s="5" t="s">
        <v>6424</v>
      </c>
      <c r="Y778" s="5" t="s">
        <v>6425</v>
      </c>
      <c r="Z778" s="5" t="s">
        <v>6426</v>
      </c>
      <c r="AA778" s="5" t="s">
        <v>6427</v>
      </c>
      <c r="AB778" s="5" t="s">
        <v>6428</v>
      </c>
      <c r="AC778" s="5" t="s">
        <v>6299</v>
      </c>
      <c r="AD778" s="9" t="s">
        <v>6429</v>
      </c>
    </row>
    <row r="779" spans="1:30" ht="15.6" x14ac:dyDescent="0.3">
      <c r="A779" s="4">
        <v>20</v>
      </c>
      <c r="B779" s="5" t="s">
        <v>6430</v>
      </c>
      <c r="C779" s="6" t="s">
        <v>291</v>
      </c>
      <c r="D779" s="5" t="s">
        <v>6431</v>
      </c>
      <c r="E779" s="5" t="s">
        <v>33</v>
      </c>
      <c r="F779" s="6" t="s">
        <v>6432</v>
      </c>
      <c r="G779" s="6" t="s">
        <v>6433</v>
      </c>
      <c r="H779" s="6" t="s">
        <v>454</v>
      </c>
      <c r="I779" s="6" t="s">
        <v>380</v>
      </c>
      <c r="J779" s="6" t="s">
        <v>1808</v>
      </c>
      <c r="K779" s="6" t="s">
        <v>637</v>
      </c>
      <c r="L779" s="6">
        <f>120%</f>
        <v>1.2</v>
      </c>
      <c r="M779" s="6" t="s">
        <v>6434</v>
      </c>
      <c r="N779" s="6">
        <f>120%</f>
        <v>1.2</v>
      </c>
      <c r="O779" s="6" t="s">
        <v>800</v>
      </c>
      <c r="P779" s="6" t="s">
        <v>6435</v>
      </c>
      <c r="Q779" s="6">
        <f>0.41</f>
        <v>0.41</v>
      </c>
      <c r="R779" s="6">
        <v>376</v>
      </c>
      <c r="S779" s="6">
        <v>4</v>
      </c>
      <c r="T779" s="6" t="s">
        <v>6436</v>
      </c>
      <c r="U779" s="6" t="s">
        <v>9262</v>
      </c>
      <c r="V779" s="5" t="s">
        <v>6437</v>
      </c>
      <c r="W779" s="5" t="s">
        <v>6438</v>
      </c>
      <c r="X779" s="5" t="s">
        <v>6439</v>
      </c>
      <c r="Y779" s="5" t="s">
        <v>6440</v>
      </c>
      <c r="Z779" s="5" t="s">
        <v>6441</v>
      </c>
      <c r="AA779" s="5" t="s">
        <v>6442</v>
      </c>
      <c r="AB779" s="5" t="s">
        <v>6443</v>
      </c>
      <c r="AC779" s="5" t="s">
        <v>6438</v>
      </c>
      <c r="AD779" s="9" t="s">
        <v>6444</v>
      </c>
    </row>
    <row r="780" spans="1:30" ht="15.6" x14ac:dyDescent="0.3">
      <c r="A780" s="4">
        <v>21</v>
      </c>
      <c r="B780" s="5" t="s">
        <v>6445</v>
      </c>
      <c r="C780" s="6" t="s">
        <v>72</v>
      </c>
      <c r="D780" s="5" t="s">
        <v>6446</v>
      </c>
      <c r="E780" s="5" t="s">
        <v>33</v>
      </c>
      <c r="F780" s="6" t="s">
        <v>6447</v>
      </c>
      <c r="G780" s="6" t="s">
        <v>6448</v>
      </c>
      <c r="H780" s="6" t="s">
        <v>454</v>
      </c>
      <c r="I780" s="8">
        <v>-0.8</v>
      </c>
      <c r="J780" s="6" t="s">
        <v>824</v>
      </c>
      <c r="K780" s="6" t="s">
        <v>6449</v>
      </c>
      <c r="L780" s="8">
        <v>-0.18</v>
      </c>
      <c r="M780" s="6" t="s">
        <v>6450</v>
      </c>
      <c r="N780" s="8">
        <v>-0.18</v>
      </c>
      <c r="O780" s="6" t="s">
        <v>6451</v>
      </c>
      <c r="P780" s="6" t="s">
        <v>6452</v>
      </c>
      <c r="Q780" s="6">
        <f>0.21</f>
        <v>0.21</v>
      </c>
      <c r="R780" s="6" t="s">
        <v>6453</v>
      </c>
      <c r="S780" s="6">
        <v>89</v>
      </c>
      <c r="T780" s="6" t="s">
        <v>6454</v>
      </c>
      <c r="U780" s="6">
        <f>21%</f>
        <v>0.21</v>
      </c>
      <c r="V780" s="5" t="s">
        <v>6455</v>
      </c>
      <c r="W780" s="5" t="s">
        <v>6456</v>
      </c>
      <c r="X780" s="5" t="s">
        <v>6457</v>
      </c>
      <c r="Y780" s="5" t="s">
        <v>6456</v>
      </c>
      <c r="Z780" s="5" t="s">
        <v>6458</v>
      </c>
      <c r="AA780" s="5" t="s">
        <v>6456</v>
      </c>
      <c r="AB780" s="5" t="s">
        <v>6459</v>
      </c>
      <c r="AC780" s="5" t="s">
        <v>6456</v>
      </c>
      <c r="AD780" s="9" t="s">
        <v>6460</v>
      </c>
    </row>
    <row r="781" spans="1:30" ht="15.6" x14ac:dyDescent="0.3">
      <c r="A781" s="4">
        <v>22</v>
      </c>
      <c r="B781" s="5" t="s">
        <v>6461</v>
      </c>
      <c r="C781" s="6" t="s">
        <v>546</v>
      </c>
      <c r="D781" s="5" t="s">
        <v>6462</v>
      </c>
      <c r="E781" s="5" t="s">
        <v>48</v>
      </c>
      <c r="F781" s="6" t="s">
        <v>6463</v>
      </c>
      <c r="G781" s="6" t="s">
        <v>6464</v>
      </c>
      <c r="H781" s="6" t="s">
        <v>259</v>
      </c>
      <c r="I781" s="6" t="s">
        <v>6465</v>
      </c>
      <c r="J781" s="6" t="s">
        <v>296</v>
      </c>
      <c r="K781" s="6" t="s">
        <v>6466</v>
      </c>
      <c r="L781" s="6">
        <f>13%</f>
        <v>0.13</v>
      </c>
      <c r="M781" s="6" t="s">
        <v>6467</v>
      </c>
      <c r="N781" s="6">
        <f>13%</f>
        <v>0.13</v>
      </c>
      <c r="O781" s="6" t="s">
        <v>6468</v>
      </c>
      <c r="P781" s="6" t="s">
        <v>6469</v>
      </c>
      <c r="Q781" s="6">
        <f>4.2%</f>
        <v>4.2000000000000003E-2</v>
      </c>
      <c r="R781" s="6" t="s">
        <v>6470</v>
      </c>
      <c r="S781" s="6">
        <v>396</v>
      </c>
      <c r="T781" s="6" t="s">
        <v>6471</v>
      </c>
      <c r="U781" s="6" t="s">
        <v>4180</v>
      </c>
      <c r="V781" s="5" t="s">
        <v>6472</v>
      </c>
      <c r="W781" s="5" t="s">
        <v>6473</v>
      </c>
      <c r="X781" s="5" t="s">
        <v>6474</v>
      </c>
      <c r="Y781" s="5" t="s">
        <v>6339</v>
      </c>
      <c r="Z781" s="5" t="s">
        <v>6475</v>
      </c>
      <c r="AA781" s="5" t="s">
        <v>6476</v>
      </c>
      <c r="AB781" s="5" t="s">
        <v>6477</v>
      </c>
      <c r="AC781" s="5" t="s">
        <v>6339</v>
      </c>
      <c r="AD781" s="9" t="s">
        <v>6478</v>
      </c>
    </row>
    <row r="782" spans="1:30" ht="15.6" x14ac:dyDescent="0.3">
      <c r="A782" s="4">
        <v>23</v>
      </c>
      <c r="B782" s="5" t="s">
        <v>6479</v>
      </c>
      <c r="C782" s="6" t="s">
        <v>126</v>
      </c>
      <c r="D782" s="5" t="s">
        <v>6480</v>
      </c>
      <c r="E782" s="5" t="s">
        <v>48</v>
      </c>
      <c r="F782" s="6" t="s">
        <v>4344</v>
      </c>
      <c r="G782" s="6" t="s">
        <v>6481</v>
      </c>
      <c r="H782" s="6" t="s">
        <v>584</v>
      </c>
      <c r="I782" s="8">
        <v>-0.26</v>
      </c>
      <c r="J782" s="6" t="s">
        <v>107</v>
      </c>
      <c r="K782" s="6" t="s">
        <v>6482</v>
      </c>
      <c r="L782" s="6">
        <f>52%</f>
        <v>0.52</v>
      </c>
      <c r="M782" s="6" t="s">
        <v>6483</v>
      </c>
      <c r="N782" s="6">
        <f>52%</f>
        <v>0.52</v>
      </c>
      <c r="O782" s="6" t="s">
        <v>6484</v>
      </c>
      <c r="P782" s="6" t="s">
        <v>6485</v>
      </c>
      <c r="Q782" s="6">
        <f>0.25</f>
        <v>0.25</v>
      </c>
      <c r="R782" s="6" t="s">
        <v>6486</v>
      </c>
      <c r="S782" s="6">
        <v>127</v>
      </c>
      <c r="T782" s="6" t="s">
        <v>6487</v>
      </c>
      <c r="U782" s="6">
        <f>15%</f>
        <v>0.15</v>
      </c>
      <c r="V782" s="5" t="s">
        <v>6488</v>
      </c>
      <c r="W782" s="5" t="s">
        <v>6489</v>
      </c>
      <c r="X782" s="5" t="s">
        <v>6490</v>
      </c>
      <c r="Y782" s="5" t="s">
        <v>6491</v>
      </c>
      <c r="Z782" s="5" t="s">
        <v>6492</v>
      </c>
      <c r="AA782" s="5" t="s">
        <v>6493</v>
      </c>
      <c r="AB782" s="5" t="s">
        <v>6494</v>
      </c>
      <c r="AC782" s="5" t="s">
        <v>6495</v>
      </c>
      <c r="AD782" s="9" t="s">
        <v>6496</v>
      </c>
    </row>
    <row r="783" spans="1:30" ht="15.6" x14ac:dyDescent="0.3">
      <c r="A783" s="4">
        <v>24</v>
      </c>
      <c r="B783" s="5" t="s">
        <v>6497</v>
      </c>
      <c r="C783" s="6" t="s">
        <v>31</v>
      </c>
      <c r="D783" s="5" t="s">
        <v>6498</v>
      </c>
      <c r="E783" s="5" t="s">
        <v>33</v>
      </c>
      <c r="F783" s="6" t="s">
        <v>6499</v>
      </c>
      <c r="G783" s="6" t="s">
        <v>6500</v>
      </c>
      <c r="H783" s="6" t="s">
        <v>1059</v>
      </c>
      <c r="I783" s="6" t="s">
        <v>6501</v>
      </c>
      <c r="J783" s="6" t="s">
        <v>321</v>
      </c>
      <c r="K783" s="6" t="s">
        <v>6502</v>
      </c>
      <c r="L783" s="6" t="s">
        <v>669</v>
      </c>
      <c r="M783" s="6" t="s">
        <v>6503</v>
      </c>
      <c r="N783" s="6" t="s">
        <v>669</v>
      </c>
      <c r="O783" s="6" t="s">
        <v>92</v>
      </c>
      <c r="P783" s="6" t="s">
        <v>6504</v>
      </c>
      <c r="Q783" s="6">
        <f>0.38%</f>
        <v>3.8E-3</v>
      </c>
      <c r="R783" s="6" t="s">
        <v>6505</v>
      </c>
      <c r="S783" s="6">
        <v>210</v>
      </c>
      <c r="T783" s="6" t="s">
        <v>6506</v>
      </c>
      <c r="U783" s="8">
        <v>-0.15</v>
      </c>
      <c r="V783" s="5" t="s">
        <v>6507</v>
      </c>
      <c r="W783" s="5" t="s">
        <v>6508</v>
      </c>
      <c r="X783" s="5" t="s">
        <v>6509</v>
      </c>
      <c r="Y783" s="5" t="s">
        <v>6510</v>
      </c>
      <c r="Z783" s="5" t="s">
        <v>6511</v>
      </c>
      <c r="AA783" s="5" t="s">
        <v>864</v>
      </c>
      <c r="AB783" s="5" t="s">
        <v>6512</v>
      </c>
      <c r="AC783" s="5" t="s">
        <v>6513</v>
      </c>
      <c r="AD783" s="9" t="s">
        <v>6514</v>
      </c>
    </row>
    <row r="784" spans="1:30" ht="15.6" x14ac:dyDescent="0.3">
      <c r="A784" s="4">
        <v>25</v>
      </c>
      <c r="B784" s="5" t="s">
        <v>6515</v>
      </c>
      <c r="C784" s="6" t="s">
        <v>102</v>
      </c>
      <c r="D784" s="5" t="s">
        <v>6516</v>
      </c>
      <c r="E784" s="5" t="s">
        <v>48</v>
      </c>
      <c r="F784" s="6" t="s">
        <v>6517</v>
      </c>
      <c r="G784" s="6" t="s">
        <v>6518</v>
      </c>
      <c r="H784" s="6" t="s">
        <v>798</v>
      </c>
      <c r="I784" s="6" t="s">
        <v>6519</v>
      </c>
      <c r="J784" s="6" t="s">
        <v>824</v>
      </c>
      <c r="K784" s="6" t="s">
        <v>6520</v>
      </c>
      <c r="L784" s="6">
        <f>44%</f>
        <v>0.44</v>
      </c>
      <c r="M784" s="6" t="s">
        <v>6521</v>
      </c>
      <c r="N784" s="6">
        <f>44%</f>
        <v>0.44</v>
      </c>
      <c r="O784" s="6" t="s">
        <v>6522</v>
      </c>
      <c r="P784" s="6" t="s">
        <v>6523</v>
      </c>
      <c r="Q784" s="6">
        <f>2.3%</f>
        <v>2.3E-2</v>
      </c>
      <c r="R784" s="6" t="s">
        <v>6524</v>
      </c>
      <c r="S784" s="6">
        <v>648</v>
      </c>
      <c r="T784" s="6" t="s">
        <v>6525</v>
      </c>
      <c r="U784" s="6">
        <f>40%</f>
        <v>0.4</v>
      </c>
      <c r="V784" s="5" t="s">
        <v>6123</v>
      </c>
      <c r="W784" s="5" t="s">
        <v>6124</v>
      </c>
      <c r="X784" s="5" t="s">
        <v>6526</v>
      </c>
      <c r="Y784" s="5" t="s">
        <v>6527</v>
      </c>
      <c r="Z784" s="5" t="s">
        <v>6528</v>
      </c>
      <c r="AA784" s="5" t="s">
        <v>6529</v>
      </c>
      <c r="AB784" s="5" t="s">
        <v>6509</v>
      </c>
      <c r="AC784" s="5" t="s">
        <v>6510</v>
      </c>
      <c r="AD784" s="9" t="s">
        <v>6530</v>
      </c>
    </row>
    <row r="785" spans="1:30" ht="15.6" x14ac:dyDescent="0.3">
      <c r="A785" s="4">
        <v>26</v>
      </c>
      <c r="B785" s="5" t="s">
        <v>6531</v>
      </c>
      <c r="C785" s="6" t="s">
        <v>291</v>
      </c>
      <c r="D785" s="5" t="s">
        <v>6532</v>
      </c>
      <c r="E785" s="5" t="s">
        <v>48</v>
      </c>
      <c r="F785" s="6" t="s">
        <v>6533</v>
      </c>
      <c r="G785" s="6" t="s">
        <v>6534</v>
      </c>
      <c r="H785" s="6" t="s">
        <v>284</v>
      </c>
      <c r="I785" s="6">
        <f>12%</f>
        <v>0.12</v>
      </c>
      <c r="J785" s="6" t="s">
        <v>118</v>
      </c>
      <c r="K785" s="6" t="s">
        <v>6535</v>
      </c>
      <c r="L785" s="6">
        <f>110%</f>
        <v>1.1000000000000001</v>
      </c>
      <c r="M785" s="6" t="s">
        <v>6536</v>
      </c>
      <c r="N785" s="6">
        <f>110%</f>
        <v>1.1000000000000001</v>
      </c>
      <c r="O785" s="6" t="s">
        <v>6537</v>
      </c>
      <c r="P785" s="6" t="s">
        <v>6538</v>
      </c>
      <c r="Q785" s="6">
        <f>0.28</f>
        <v>0.28000000000000003</v>
      </c>
      <c r="R785" s="6" t="s">
        <v>6539</v>
      </c>
      <c r="S785" s="6">
        <v>119</v>
      </c>
      <c r="T785" s="6" t="s">
        <v>6540</v>
      </c>
      <c r="U785" s="6">
        <f>20%</f>
        <v>0.2</v>
      </c>
      <c r="V785" s="5" t="s">
        <v>6541</v>
      </c>
      <c r="W785" s="5" t="s">
        <v>6542</v>
      </c>
      <c r="X785" s="5" t="s">
        <v>6543</v>
      </c>
      <c r="Y785" s="5" t="s">
        <v>6544</v>
      </c>
      <c r="Z785" s="5" t="s">
        <v>6545</v>
      </c>
      <c r="AA785" s="5" t="s">
        <v>6546</v>
      </c>
      <c r="AB785" s="5" t="s">
        <v>6547</v>
      </c>
      <c r="AC785" s="5" t="s">
        <v>6548</v>
      </c>
      <c r="AD785" s="9" t="s">
        <v>6549</v>
      </c>
    </row>
    <row r="786" spans="1:30" ht="15.6" x14ac:dyDescent="0.3">
      <c r="A786" s="4">
        <v>27</v>
      </c>
      <c r="B786" s="5" t="s">
        <v>6550</v>
      </c>
      <c r="C786" s="6" t="s">
        <v>126</v>
      </c>
      <c r="D786" s="5" t="s">
        <v>6551</v>
      </c>
      <c r="E786" s="5" t="s">
        <v>33</v>
      </c>
      <c r="F786" s="6" t="s">
        <v>6552</v>
      </c>
      <c r="G786" s="6" t="s">
        <v>6553</v>
      </c>
      <c r="H786" s="6" t="s">
        <v>1184</v>
      </c>
      <c r="I786" s="6" t="s">
        <v>6554</v>
      </c>
      <c r="J786" s="6" t="s">
        <v>1184</v>
      </c>
      <c r="K786" s="6" t="s">
        <v>6555</v>
      </c>
      <c r="L786" s="6">
        <f>6.5%</f>
        <v>6.5000000000000002E-2</v>
      </c>
      <c r="M786" s="6" t="s">
        <v>6556</v>
      </c>
      <c r="N786" s="6">
        <f>6.5%</f>
        <v>6.5000000000000002E-2</v>
      </c>
      <c r="O786" s="6" t="s">
        <v>6557</v>
      </c>
      <c r="P786" s="6" t="s">
        <v>6558</v>
      </c>
      <c r="Q786" s="6">
        <f>14%</f>
        <v>0.14000000000000001</v>
      </c>
      <c r="R786" s="6" t="s">
        <v>6559</v>
      </c>
      <c r="S786" s="6">
        <v>392</v>
      </c>
      <c r="T786" s="6" t="s">
        <v>6560</v>
      </c>
      <c r="U786" s="6">
        <f>25%</f>
        <v>0.25</v>
      </c>
      <c r="V786" s="5" t="s">
        <v>6509</v>
      </c>
      <c r="W786" s="5" t="s">
        <v>6510</v>
      </c>
      <c r="X786" s="5" t="s">
        <v>6561</v>
      </c>
      <c r="Y786" s="5" t="s">
        <v>6562</v>
      </c>
      <c r="Z786" s="5" t="s">
        <v>6563</v>
      </c>
      <c r="AA786" s="5" t="s">
        <v>6564</v>
      </c>
      <c r="AB786" s="5" t="s">
        <v>6565</v>
      </c>
      <c r="AC786" s="5" t="s">
        <v>6566</v>
      </c>
      <c r="AD786" s="9" t="s">
        <v>6567</v>
      </c>
    </row>
    <row r="787" spans="1:30" ht="15.6" x14ac:dyDescent="0.3">
      <c r="A787" s="4">
        <v>28</v>
      </c>
      <c r="B787" s="5" t="s">
        <v>6568</v>
      </c>
      <c r="C787" s="6" t="s">
        <v>85</v>
      </c>
      <c r="D787" s="5" t="s">
        <v>6569</v>
      </c>
      <c r="E787" s="5" t="s">
        <v>48</v>
      </c>
      <c r="F787" s="6" t="s">
        <v>6570</v>
      </c>
      <c r="G787" s="6" t="s">
        <v>6571</v>
      </c>
      <c r="H787" s="6" t="s">
        <v>494</v>
      </c>
      <c r="I787" s="6" t="s">
        <v>6519</v>
      </c>
      <c r="J787" s="6" t="s">
        <v>1600</v>
      </c>
      <c r="K787" s="6" t="s">
        <v>6572</v>
      </c>
      <c r="L787" s="8">
        <v>-0.16</v>
      </c>
      <c r="M787" s="6" t="s">
        <v>6573</v>
      </c>
      <c r="N787" s="8">
        <v>-0.16</v>
      </c>
      <c r="O787" s="6" t="s">
        <v>6574</v>
      </c>
      <c r="P787" s="6" t="s">
        <v>6575</v>
      </c>
      <c r="Q787" s="6">
        <f>36%</f>
        <v>0.36</v>
      </c>
      <c r="R787" s="6" t="s">
        <v>6576</v>
      </c>
      <c r="S787" s="6">
        <v>138</v>
      </c>
      <c r="T787" s="6" t="s">
        <v>6577</v>
      </c>
      <c r="U787" s="8">
        <v>-0.22</v>
      </c>
      <c r="V787" s="5" t="s">
        <v>6578</v>
      </c>
      <c r="W787" s="5" t="s">
        <v>6579</v>
      </c>
      <c r="X787" s="5" t="s">
        <v>6580</v>
      </c>
      <c r="Y787" s="5" t="s">
        <v>6581</v>
      </c>
      <c r="Z787" s="5" t="s">
        <v>6582</v>
      </c>
      <c r="AA787" s="5" t="s">
        <v>6581</v>
      </c>
      <c r="AB787" s="5" t="s">
        <v>6583</v>
      </c>
      <c r="AC787" s="5" t="s">
        <v>6581</v>
      </c>
      <c r="AD787" s="9" t="s">
        <v>6584</v>
      </c>
    </row>
    <row r="788" spans="1:30" ht="15.6" x14ac:dyDescent="0.3">
      <c r="A788" s="4">
        <v>29</v>
      </c>
      <c r="B788" s="5" t="s">
        <v>6585</v>
      </c>
      <c r="C788" s="6" t="s">
        <v>185</v>
      </c>
      <c r="D788" s="5" t="s">
        <v>6586</v>
      </c>
      <c r="E788" s="5" t="s">
        <v>33</v>
      </c>
      <c r="F788" s="6" t="s">
        <v>6587</v>
      </c>
      <c r="G788" s="6" t="s">
        <v>6588</v>
      </c>
      <c r="H788" s="6" t="s">
        <v>354</v>
      </c>
      <c r="I788" s="6" t="s">
        <v>6589</v>
      </c>
      <c r="J788" s="6" t="s">
        <v>3618</v>
      </c>
      <c r="K788" s="6" t="s">
        <v>2745</v>
      </c>
      <c r="L788" s="6">
        <f>19%</f>
        <v>0.19</v>
      </c>
      <c r="M788" s="6" t="s">
        <v>6590</v>
      </c>
      <c r="N788" s="6">
        <f>19%</f>
        <v>0.19</v>
      </c>
      <c r="O788" s="6" t="s">
        <v>6591</v>
      </c>
      <c r="P788" s="6" t="s">
        <v>6592</v>
      </c>
      <c r="Q788" s="6">
        <f>1.3%</f>
        <v>1.3000000000000001E-2</v>
      </c>
      <c r="R788" s="6" t="s">
        <v>6593</v>
      </c>
      <c r="S788" s="6">
        <v>611</v>
      </c>
      <c r="T788" s="6" t="s">
        <v>6594</v>
      </c>
      <c r="U788" s="6" t="s">
        <v>9262</v>
      </c>
      <c r="V788" s="5" t="s">
        <v>6595</v>
      </c>
      <c r="W788" s="5" t="s">
        <v>6596</v>
      </c>
      <c r="X788" s="5" t="s">
        <v>6597</v>
      </c>
      <c r="Y788" s="5" t="s">
        <v>6598</v>
      </c>
      <c r="Z788" s="5" t="s">
        <v>6599</v>
      </c>
      <c r="AA788" s="5" t="s">
        <v>6600</v>
      </c>
      <c r="AB788" s="5" t="s">
        <v>6601</v>
      </c>
      <c r="AC788" s="5" t="s">
        <v>6602</v>
      </c>
      <c r="AD788" s="9" t="s">
        <v>6603</v>
      </c>
    </row>
    <row r="789" spans="1:30" ht="15.6" x14ac:dyDescent="0.3">
      <c r="A789" s="4">
        <v>30</v>
      </c>
      <c r="B789" s="5" t="s">
        <v>6604</v>
      </c>
      <c r="C789" s="6" t="s">
        <v>72</v>
      </c>
      <c r="D789" s="5" t="s">
        <v>6605</v>
      </c>
      <c r="E789" s="5" t="s">
        <v>33</v>
      </c>
      <c r="F789" s="6" t="s">
        <v>6606</v>
      </c>
      <c r="G789" s="6" t="s">
        <v>6607</v>
      </c>
      <c r="H789" s="6" t="s">
        <v>4325</v>
      </c>
      <c r="I789" s="6" t="s">
        <v>834</v>
      </c>
      <c r="J789" s="6" t="s">
        <v>2517</v>
      </c>
      <c r="K789" s="6" t="s">
        <v>6608</v>
      </c>
      <c r="L789" s="6">
        <f>4.4%</f>
        <v>4.4000000000000004E-2</v>
      </c>
      <c r="M789" s="6" t="s">
        <v>6609</v>
      </c>
      <c r="N789" s="6">
        <f>4.4%</f>
        <v>4.4000000000000004E-2</v>
      </c>
      <c r="O789" s="6" t="s">
        <v>6610</v>
      </c>
      <c r="P789" s="6" t="s">
        <v>6611</v>
      </c>
      <c r="Q789" s="6">
        <f>80%</f>
        <v>0.8</v>
      </c>
      <c r="R789" s="6" t="s">
        <v>6612</v>
      </c>
      <c r="S789" s="6">
        <v>259</v>
      </c>
      <c r="T789" s="6" t="s">
        <v>6613</v>
      </c>
      <c r="U789" s="6"/>
      <c r="V789" s="5" t="s">
        <v>6614</v>
      </c>
      <c r="W789" s="5" t="s">
        <v>6615</v>
      </c>
      <c r="X789" s="5" t="s">
        <v>6616</v>
      </c>
      <c r="Y789" s="5" t="s">
        <v>6299</v>
      </c>
      <c r="Z789" s="5" t="s">
        <v>6617</v>
      </c>
      <c r="AA789" s="5" t="s">
        <v>6615</v>
      </c>
      <c r="AB789" s="5" t="s">
        <v>6618</v>
      </c>
      <c r="AC789" s="5" t="s">
        <v>6619</v>
      </c>
      <c r="AD789" s="9" t="s">
        <v>6620</v>
      </c>
    </row>
    <row r="790" spans="1:30" ht="15.6" x14ac:dyDescent="0.3">
      <c r="A790" s="4">
        <v>31</v>
      </c>
      <c r="B790" s="5" t="s">
        <v>6621</v>
      </c>
      <c r="C790" s="6" t="s">
        <v>72</v>
      </c>
      <c r="D790" s="5" t="s">
        <v>6622</v>
      </c>
      <c r="E790" s="5" t="s">
        <v>48</v>
      </c>
      <c r="F790" s="6" t="s">
        <v>6623</v>
      </c>
      <c r="G790" s="6" t="s">
        <v>6624</v>
      </c>
      <c r="H790" s="6" t="s">
        <v>411</v>
      </c>
      <c r="I790" s="6" t="s">
        <v>6625</v>
      </c>
      <c r="J790" s="6" t="s">
        <v>667</v>
      </c>
      <c r="K790" s="6" t="s">
        <v>6626</v>
      </c>
      <c r="L790" s="8">
        <v>-0.16</v>
      </c>
      <c r="M790" s="6" t="s">
        <v>6627</v>
      </c>
      <c r="N790" s="8">
        <v>-0.16</v>
      </c>
      <c r="O790" s="6" t="s">
        <v>6628</v>
      </c>
      <c r="P790" s="6" t="s">
        <v>6629</v>
      </c>
      <c r="Q790" s="6">
        <f>0.013%</f>
        <v>1.2999999999999999E-4</v>
      </c>
      <c r="R790" s="6" t="s">
        <v>6630</v>
      </c>
      <c r="S790" s="6">
        <v>543</v>
      </c>
      <c r="T790" s="6" t="s">
        <v>6631</v>
      </c>
      <c r="U790" s="8">
        <v>-0.56000000000000005</v>
      </c>
      <c r="V790" s="5" t="s">
        <v>6632</v>
      </c>
      <c r="W790" s="5" t="s">
        <v>6149</v>
      </c>
      <c r="X790" s="5" t="s">
        <v>6633</v>
      </c>
      <c r="Y790" s="5" t="s">
        <v>6634</v>
      </c>
      <c r="Z790" s="5" t="s">
        <v>6635</v>
      </c>
      <c r="AA790" s="5" t="s">
        <v>6636</v>
      </c>
      <c r="AB790" s="5" t="s">
        <v>6637</v>
      </c>
      <c r="AC790" s="5" t="s">
        <v>6579</v>
      </c>
      <c r="AD790" s="9" t="s">
        <v>6638</v>
      </c>
    </row>
    <row r="791" spans="1:30" ht="15.6" x14ac:dyDescent="0.3">
      <c r="A791" s="4">
        <v>32</v>
      </c>
      <c r="B791" s="5" t="s">
        <v>6639</v>
      </c>
      <c r="C791" s="6" t="s">
        <v>370</v>
      </c>
      <c r="D791" s="5" t="s">
        <v>6640</v>
      </c>
      <c r="E791" s="5" t="s">
        <v>48</v>
      </c>
      <c r="F791" s="6" t="s">
        <v>6641</v>
      </c>
      <c r="G791" s="6" t="s">
        <v>6642</v>
      </c>
      <c r="H791" s="6" t="s">
        <v>131</v>
      </c>
      <c r="I791" s="6" t="s">
        <v>271</v>
      </c>
      <c r="J791" s="6" t="s">
        <v>596</v>
      </c>
      <c r="K791" s="6" t="s">
        <v>2623</v>
      </c>
      <c r="L791" s="8">
        <v>-0.27</v>
      </c>
      <c r="M791" s="6" t="s">
        <v>6643</v>
      </c>
      <c r="N791" s="8">
        <v>-0.27</v>
      </c>
      <c r="O791" s="6" t="s">
        <v>6644</v>
      </c>
      <c r="P791" s="6" t="s">
        <v>6645</v>
      </c>
      <c r="Q791" s="6">
        <f>4.6%</f>
        <v>4.5999999999999999E-2</v>
      </c>
      <c r="R791" s="6" t="s">
        <v>6646</v>
      </c>
      <c r="S791" s="6">
        <v>148</v>
      </c>
      <c r="T791" s="6" t="s">
        <v>6647</v>
      </c>
      <c r="U791" s="8">
        <v>-0.23</v>
      </c>
      <c r="V791" s="5" t="s">
        <v>6648</v>
      </c>
      <c r="W791" s="5" t="s">
        <v>6649</v>
      </c>
      <c r="X791" s="5" t="s">
        <v>6650</v>
      </c>
      <c r="Y791" s="5" t="s">
        <v>6651</v>
      </c>
      <c r="Z791" s="5" t="s">
        <v>6652</v>
      </c>
      <c r="AA791" s="5" t="s">
        <v>6653</v>
      </c>
      <c r="AB791" s="5" t="s">
        <v>6654</v>
      </c>
      <c r="AC791" s="5" t="s">
        <v>6655</v>
      </c>
      <c r="AD791" s="9" t="s">
        <v>6656</v>
      </c>
    </row>
    <row r="792" spans="1:30" ht="15.6" x14ac:dyDescent="0.3">
      <c r="A792" s="4">
        <v>33</v>
      </c>
      <c r="B792" s="5" t="s">
        <v>6657</v>
      </c>
      <c r="C792" s="6" t="s">
        <v>219</v>
      </c>
      <c r="D792" s="5" t="s">
        <v>6658</v>
      </c>
      <c r="E792" s="5" t="s">
        <v>48</v>
      </c>
      <c r="F792" s="6" t="s">
        <v>6659</v>
      </c>
      <c r="G792" s="6" t="s">
        <v>6660</v>
      </c>
      <c r="H792" s="6" t="s">
        <v>131</v>
      </c>
      <c r="I792" s="8">
        <v>-0.51</v>
      </c>
      <c r="J792" s="6" t="s">
        <v>272</v>
      </c>
      <c r="K792" s="6" t="s">
        <v>6661</v>
      </c>
      <c r="L792" s="8">
        <v>-0.33</v>
      </c>
      <c r="M792" s="6" t="s">
        <v>6662</v>
      </c>
      <c r="N792" s="8">
        <v>-0.33</v>
      </c>
      <c r="O792" s="6" t="s">
        <v>6663</v>
      </c>
      <c r="P792" s="6" t="s">
        <v>6664</v>
      </c>
      <c r="Q792" s="6">
        <f>0.22</f>
        <v>0.22</v>
      </c>
      <c r="R792" s="6" t="s">
        <v>6665</v>
      </c>
      <c r="S792" s="6">
        <v>28</v>
      </c>
      <c r="T792" s="6" t="s">
        <v>2416</v>
      </c>
      <c r="U792" s="8">
        <v>-0.38</v>
      </c>
      <c r="V792" s="5" t="s">
        <v>6666</v>
      </c>
      <c r="W792" s="5" t="s">
        <v>6667</v>
      </c>
      <c r="X792" s="5" t="s">
        <v>6668</v>
      </c>
      <c r="Y792" s="5" t="s">
        <v>6669</v>
      </c>
      <c r="Z792" s="5" t="s">
        <v>6670</v>
      </c>
      <c r="AA792" s="5" t="s">
        <v>6667</v>
      </c>
      <c r="AB792" s="5" t="s">
        <v>6671</v>
      </c>
      <c r="AC792" s="5" t="s">
        <v>6672</v>
      </c>
      <c r="AD792" s="9" t="s">
        <v>6673</v>
      </c>
    </row>
    <row r="793" spans="1:30" ht="15.6" x14ac:dyDescent="0.3">
      <c r="A793" s="4">
        <v>34</v>
      </c>
      <c r="B793" s="5" t="s">
        <v>6674</v>
      </c>
      <c r="C793" s="6" t="s">
        <v>291</v>
      </c>
      <c r="D793" s="5" t="s">
        <v>6675</v>
      </c>
      <c r="E793" s="5" t="s">
        <v>48</v>
      </c>
      <c r="F793" s="6" t="s">
        <v>6676</v>
      </c>
      <c r="G793" s="6" t="s">
        <v>6677</v>
      </c>
      <c r="H793" s="6" t="s">
        <v>131</v>
      </c>
      <c r="I793" s="6" t="s">
        <v>3101</v>
      </c>
      <c r="J793" s="6" t="s">
        <v>846</v>
      </c>
      <c r="K793" s="6" t="s">
        <v>6678</v>
      </c>
      <c r="L793" s="6">
        <f>130%</f>
        <v>1.3</v>
      </c>
      <c r="M793" s="6" t="s">
        <v>6679</v>
      </c>
      <c r="N793" s="6">
        <f>130%</f>
        <v>1.3</v>
      </c>
      <c r="O793" s="6" t="s">
        <v>6680</v>
      </c>
      <c r="P793" s="6" t="s">
        <v>6681</v>
      </c>
      <c r="Q793" s="6">
        <f>0.21</f>
        <v>0.21</v>
      </c>
      <c r="R793" s="6" t="s">
        <v>6682</v>
      </c>
      <c r="S793" s="6">
        <v>213</v>
      </c>
      <c r="T793" s="6" t="s">
        <v>6683</v>
      </c>
      <c r="U793" s="6">
        <f>91%</f>
        <v>0.91</v>
      </c>
      <c r="V793" s="5" t="s">
        <v>6684</v>
      </c>
      <c r="W793" s="5" t="s">
        <v>6685</v>
      </c>
      <c r="X793" s="5" t="s">
        <v>6686</v>
      </c>
      <c r="Y793" s="5" t="s">
        <v>6372</v>
      </c>
      <c r="Z793" s="5" t="s">
        <v>6687</v>
      </c>
      <c r="AA793" s="5" t="s">
        <v>6319</v>
      </c>
      <c r="AB793" s="5" t="s">
        <v>6688</v>
      </c>
      <c r="AC793" s="5" t="s">
        <v>6372</v>
      </c>
      <c r="AD793" s="9" t="s">
        <v>6689</v>
      </c>
    </row>
    <row r="794" spans="1:30" ht="15.6" x14ac:dyDescent="0.3">
      <c r="A794" s="4">
        <v>35</v>
      </c>
      <c r="B794" s="5" t="s">
        <v>6690</v>
      </c>
      <c r="C794" s="6" t="s">
        <v>291</v>
      </c>
      <c r="D794" s="5" t="s">
        <v>6691</v>
      </c>
      <c r="E794" s="5" t="s">
        <v>48</v>
      </c>
      <c r="F794" s="6" t="s">
        <v>6692</v>
      </c>
      <c r="G794" s="6" t="s">
        <v>6693</v>
      </c>
      <c r="H794" s="6" t="s">
        <v>38</v>
      </c>
      <c r="I794" s="8">
        <v>-0.28999999999999998</v>
      </c>
      <c r="J794" s="6" t="s">
        <v>1453</v>
      </c>
      <c r="K794" s="6" t="s">
        <v>6694</v>
      </c>
      <c r="L794" s="6">
        <f>41%</f>
        <v>0.41</v>
      </c>
      <c r="M794" s="6" t="s">
        <v>6695</v>
      </c>
      <c r="N794" s="6">
        <f>41%</f>
        <v>0.41</v>
      </c>
      <c r="O794" s="6" t="s">
        <v>6696</v>
      </c>
      <c r="P794" s="6" t="s">
        <v>6697</v>
      </c>
      <c r="Q794" s="6">
        <f>0.14</f>
        <v>0.14000000000000001</v>
      </c>
      <c r="R794" s="6" t="s">
        <v>6698</v>
      </c>
      <c r="S794" s="6">
        <v>85</v>
      </c>
      <c r="T794" s="6" t="s">
        <v>2013</v>
      </c>
      <c r="U794" s="6">
        <f>14%</f>
        <v>0.14000000000000001</v>
      </c>
      <c r="V794" s="5" t="s">
        <v>6699</v>
      </c>
      <c r="W794" s="5" t="s">
        <v>6700</v>
      </c>
      <c r="X794" s="5" t="s">
        <v>6701</v>
      </c>
      <c r="Y794" s="5" t="s">
        <v>6702</v>
      </c>
      <c r="Z794" s="5" t="s">
        <v>6703</v>
      </c>
      <c r="AA794" s="5" t="s">
        <v>6322</v>
      </c>
      <c r="AB794" s="5" t="s">
        <v>6704</v>
      </c>
      <c r="AC794" s="5" t="s">
        <v>6705</v>
      </c>
      <c r="AD794" s="9" t="s">
        <v>6706</v>
      </c>
    </row>
    <row r="795" spans="1:30" ht="15.6" x14ac:dyDescent="0.3">
      <c r="A795" s="4">
        <v>36</v>
      </c>
      <c r="B795" s="5" t="s">
        <v>6707</v>
      </c>
      <c r="C795" s="6" t="s">
        <v>1408</v>
      </c>
      <c r="D795" s="5" t="s">
        <v>6708</v>
      </c>
      <c r="E795" s="5" t="s">
        <v>48</v>
      </c>
      <c r="F795" s="6" t="s">
        <v>6709</v>
      </c>
      <c r="G795" s="6" t="s">
        <v>6710</v>
      </c>
      <c r="H795" s="6" t="s">
        <v>38</v>
      </c>
      <c r="I795" s="8">
        <v>-0.46</v>
      </c>
      <c r="J795" s="6" t="s">
        <v>687</v>
      </c>
      <c r="K795" s="6" t="s">
        <v>6711</v>
      </c>
      <c r="L795" s="6">
        <f>30%</f>
        <v>0.3</v>
      </c>
      <c r="M795" s="6" t="s">
        <v>6712</v>
      </c>
      <c r="N795" s="6">
        <f>30%</f>
        <v>0.3</v>
      </c>
      <c r="O795" s="6" t="s">
        <v>6713</v>
      </c>
      <c r="P795" s="6" t="s">
        <v>6714</v>
      </c>
      <c r="Q795" s="6">
        <f>0.11</f>
        <v>0.11</v>
      </c>
      <c r="R795" s="6" t="s">
        <v>6715</v>
      </c>
      <c r="S795" s="6">
        <v>136</v>
      </c>
      <c r="T795" s="6" t="s">
        <v>6716</v>
      </c>
      <c r="U795" s="6">
        <f>2.1%</f>
        <v>2.1000000000000001E-2</v>
      </c>
      <c r="V795" s="5" t="s">
        <v>6717</v>
      </c>
      <c r="W795" s="5" t="s">
        <v>6718</v>
      </c>
      <c r="X795" s="5" t="s">
        <v>6719</v>
      </c>
      <c r="Y795" s="5" t="s">
        <v>6720</v>
      </c>
      <c r="Z795" s="5" t="s">
        <v>6721</v>
      </c>
      <c r="AA795" s="5" t="s">
        <v>6722</v>
      </c>
      <c r="AB795" s="5" t="s">
        <v>6723</v>
      </c>
      <c r="AC795" s="5" t="s">
        <v>6724</v>
      </c>
      <c r="AD795" s="9" t="s">
        <v>6725</v>
      </c>
    </row>
    <row r="796" spans="1:30" ht="15.6" x14ac:dyDescent="0.3">
      <c r="A796" s="4">
        <v>37</v>
      </c>
      <c r="B796" s="5" t="s">
        <v>6726</v>
      </c>
      <c r="C796" s="6" t="s">
        <v>267</v>
      </c>
      <c r="D796" s="5" t="s">
        <v>6727</v>
      </c>
      <c r="E796" s="5" t="s">
        <v>33</v>
      </c>
      <c r="F796" s="6" t="s">
        <v>6728</v>
      </c>
      <c r="G796" s="6" t="s">
        <v>6729</v>
      </c>
      <c r="H796" s="6" t="s">
        <v>1808</v>
      </c>
      <c r="I796" s="6" t="s">
        <v>6730</v>
      </c>
      <c r="J796" s="6" t="s">
        <v>442</v>
      </c>
      <c r="K796" s="6" t="s">
        <v>6731</v>
      </c>
      <c r="L796" s="6">
        <f>9.6%</f>
        <v>9.6000000000000002E-2</v>
      </c>
      <c r="M796" s="6" t="s">
        <v>6732</v>
      </c>
      <c r="N796" s="6">
        <f>9.6%</f>
        <v>9.6000000000000002E-2</v>
      </c>
      <c r="O796" s="6" t="s">
        <v>6733</v>
      </c>
      <c r="P796" s="6" t="s">
        <v>6734</v>
      </c>
      <c r="Q796" s="6">
        <f>53%</f>
        <v>0.53</v>
      </c>
      <c r="R796" s="6" t="s">
        <v>6735</v>
      </c>
      <c r="S796" s="6">
        <v>880</v>
      </c>
      <c r="T796" s="6" t="s">
        <v>6736</v>
      </c>
      <c r="U796" s="6">
        <f>7.8%</f>
        <v>7.8E-2</v>
      </c>
      <c r="V796" s="5" t="s">
        <v>6737</v>
      </c>
      <c r="W796" s="5" t="s">
        <v>6738</v>
      </c>
      <c r="X796" s="5" t="s">
        <v>6652</v>
      </c>
      <c r="Y796" s="5" t="s">
        <v>6653</v>
      </c>
      <c r="Z796" s="5" t="s">
        <v>6739</v>
      </c>
      <c r="AA796" s="5" t="s">
        <v>6740</v>
      </c>
      <c r="AB796" s="5" t="s">
        <v>6741</v>
      </c>
      <c r="AC796" s="5" t="s">
        <v>6742</v>
      </c>
      <c r="AD796" s="9" t="s">
        <v>6743</v>
      </c>
    </row>
    <row r="797" spans="1:30" ht="15.6" x14ac:dyDescent="0.3">
      <c r="A797" s="4">
        <v>38</v>
      </c>
      <c r="B797" s="5" t="s">
        <v>6744</v>
      </c>
      <c r="C797" s="6" t="s">
        <v>148</v>
      </c>
      <c r="D797" s="5" t="s">
        <v>6745</v>
      </c>
      <c r="E797" s="5" t="s">
        <v>33</v>
      </c>
      <c r="F797" s="6" t="s">
        <v>6746</v>
      </c>
      <c r="G797" s="6" t="s">
        <v>6747</v>
      </c>
      <c r="H797" s="6" t="s">
        <v>1808</v>
      </c>
      <c r="I797" s="6" t="s">
        <v>6748</v>
      </c>
      <c r="J797" s="6" t="s">
        <v>309</v>
      </c>
      <c r="K797" s="6" t="s">
        <v>6749</v>
      </c>
      <c r="L797" s="6">
        <f>26%</f>
        <v>0.26</v>
      </c>
      <c r="M797" s="6" t="s">
        <v>6750</v>
      </c>
      <c r="N797" s="6">
        <f>26%</f>
        <v>0.26</v>
      </c>
      <c r="O797" s="6" t="s">
        <v>6751</v>
      </c>
      <c r="P797" s="6" t="s">
        <v>6752</v>
      </c>
      <c r="Q797" s="6">
        <f>0.86%</f>
        <v>8.6E-3</v>
      </c>
      <c r="R797" s="6" t="s">
        <v>6753</v>
      </c>
      <c r="S797" s="6">
        <v>194</v>
      </c>
      <c r="T797" s="6" t="s">
        <v>6754</v>
      </c>
      <c r="U797" s="8">
        <v>-0.34</v>
      </c>
      <c r="V797" s="5" t="s">
        <v>6755</v>
      </c>
      <c r="W797" s="5" t="s">
        <v>6372</v>
      </c>
      <c r="X797" s="5" t="s">
        <v>6756</v>
      </c>
      <c r="Y797" s="5" t="s">
        <v>6757</v>
      </c>
      <c r="Z797" s="5" t="s">
        <v>6758</v>
      </c>
      <c r="AA797" s="5" t="s">
        <v>6759</v>
      </c>
      <c r="AB797" s="5" t="s">
        <v>6760</v>
      </c>
      <c r="AC797" s="5" t="s">
        <v>6759</v>
      </c>
      <c r="AD797" s="9" t="s">
        <v>6761</v>
      </c>
    </row>
    <row r="798" spans="1:30" ht="15.6" x14ac:dyDescent="0.3">
      <c r="A798" s="4">
        <v>39</v>
      </c>
      <c r="B798" s="5" t="s">
        <v>6762</v>
      </c>
      <c r="C798" s="6" t="s">
        <v>185</v>
      </c>
      <c r="D798" s="5" t="s">
        <v>6763</v>
      </c>
      <c r="E798" s="5" t="s">
        <v>48</v>
      </c>
      <c r="F798" s="6" t="s">
        <v>6764</v>
      </c>
      <c r="G798" s="6" t="s">
        <v>6765</v>
      </c>
      <c r="H798" s="6" t="s">
        <v>1808</v>
      </c>
      <c r="I798" s="6" t="s">
        <v>6766</v>
      </c>
      <c r="J798" s="6" t="s">
        <v>1093</v>
      </c>
      <c r="K798" s="6" t="s">
        <v>6767</v>
      </c>
      <c r="L798" s="6" t="s">
        <v>591</v>
      </c>
      <c r="M798" s="6" t="s">
        <v>6768</v>
      </c>
      <c r="N798" s="6" t="s">
        <v>591</v>
      </c>
      <c r="O798" s="6" t="s">
        <v>814</v>
      </c>
      <c r="P798" s="6" t="s">
        <v>6769</v>
      </c>
      <c r="Q798" s="6">
        <f>6%</f>
        <v>0.06</v>
      </c>
      <c r="R798" s="6" t="s">
        <v>6770</v>
      </c>
      <c r="S798" s="6">
        <v>316</v>
      </c>
      <c r="T798" s="6" t="s">
        <v>6771</v>
      </c>
      <c r="U798" s="8">
        <v>-0.27</v>
      </c>
      <c r="V798" s="5" t="s">
        <v>6772</v>
      </c>
      <c r="W798" s="5" t="s">
        <v>6773</v>
      </c>
      <c r="X798" s="5" t="s">
        <v>6774</v>
      </c>
      <c r="Y798" s="5" t="s">
        <v>6775</v>
      </c>
      <c r="Z798" s="5" t="s">
        <v>6776</v>
      </c>
      <c r="AA798" s="5" t="s">
        <v>6777</v>
      </c>
      <c r="AB798" s="5" t="s">
        <v>6778</v>
      </c>
      <c r="AC798" s="5" t="s">
        <v>6779</v>
      </c>
      <c r="AD798" s="9" t="s">
        <v>6780</v>
      </c>
    </row>
    <row r="799" spans="1:30" ht="15.6" x14ac:dyDescent="0.3">
      <c r="A799" s="4">
        <v>40</v>
      </c>
      <c r="B799" s="5" t="s">
        <v>6781</v>
      </c>
      <c r="C799" s="6" t="s">
        <v>72</v>
      </c>
      <c r="D799" s="5" t="s">
        <v>6782</v>
      </c>
      <c r="E799" s="5" t="s">
        <v>48</v>
      </c>
      <c r="F799" s="6" t="s">
        <v>6783</v>
      </c>
      <c r="G799" s="6" t="s">
        <v>6784</v>
      </c>
      <c r="H799" s="6" t="s">
        <v>1808</v>
      </c>
      <c r="I799" s="6">
        <f>3.6%</f>
        <v>3.6000000000000004E-2</v>
      </c>
      <c r="J799" s="6" t="s">
        <v>3435</v>
      </c>
      <c r="K799" s="6" t="s">
        <v>6785</v>
      </c>
      <c r="L799" s="6" t="s">
        <v>217</v>
      </c>
      <c r="M799" s="6" t="s">
        <v>6786</v>
      </c>
      <c r="N799" s="6" t="s">
        <v>6787</v>
      </c>
      <c r="O799" s="6" t="s">
        <v>6788</v>
      </c>
      <c r="P799" s="6" t="s">
        <v>6789</v>
      </c>
      <c r="Q799" s="6">
        <f>0.22</f>
        <v>0.22</v>
      </c>
      <c r="R799" s="6" t="s">
        <v>6790</v>
      </c>
      <c r="S799" s="6">
        <v>133</v>
      </c>
      <c r="T799" s="6" t="s">
        <v>6791</v>
      </c>
      <c r="U799" s="6">
        <f>65%</f>
        <v>0.65</v>
      </c>
      <c r="V799" s="5" t="s">
        <v>6792</v>
      </c>
      <c r="W799" s="5" t="s">
        <v>6793</v>
      </c>
      <c r="X799" s="5" t="s">
        <v>6794</v>
      </c>
      <c r="Y799" s="5" t="s">
        <v>6357</v>
      </c>
      <c r="Z799" s="5" t="s">
        <v>6795</v>
      </c>
      <c r="AA799" s="5" t="s">
        <v>6796</v>
      </c>
      <c r="AB799" s="5" t="s">
        <v>6797</v>
      </c>
      <c r="AC799" s="5" t="s">
        <v>6793</v>
      </c>
      <c r="AD799" s="9" t="s">
        <v>6798</v>
      </c>
    </row>
    <row r="800" spans="1:30" ht="15.6" x14ac:dyDescent="0.3">
      <c r="A800" s="4">
        <v>41</v>
      </c>
      <c r="B800" s="5" t="s">
        <v>6799</v>
      </c>
      <c r="C800" s="6" t="s">
        <v>46</v>
      </c>
      <c r="D800" s="5" t="s">
        <v>6800</v>
      </c>
      <c r="E800" s="5" t="s">
        <v>48</v>
      </c>
      <c r="F800" s="6" t="s">
        <v>6801</v>
      </c>
      <c r="G800" s="6" t="s">
        <v>6802</v>
      </c>
      <c r="H800" s="6" t="s">
        <v>1609</v>
      </c>
      <c r="I800" s="6" t="s">
        <v>6803</v>
      </c>
      <c r="J800" s="6" t="s">
        <v>2517</v>
      </c>
      <c r="K800" s="6" t="s">
        <v>6804</v>
      </c>
      <c r="L800" s="6">
        <f>29%</f>
        <v>0.28999999999999998</v>
      </c>
      <c r="M800" s="6" t="s">
        <v>6805</v>
      </c>
      <c r="N800" s="6">
        <f>29%</f>
        <v>0.28999999999999998</v>
      </c>
      <c r="O800" s="6" t="s">
        <v>6806</v>
      </c>
      <c r="P800" s="6" t="s">
        <v>6807</v>
      </c>
      <c r="Q800" s="6">
        <f>46%</f>
        <v>0.46</v>
      </c>
      <c r="R800" s="6" t="s">
        <v>6808</v>
      </c>
      <c r="S800" s="6">
        <v>506</v>
      </c>
      <c r="T800" s="6" t="s">
        <v>6809</v>
      </c>
      <c r="U800" s="6">
        <f>3.5%</f>
        <v>3.5000000000000003E-2</v>
      </c>
      <c r="V800" s="5" t="s">
        <v>6509</v>
      </c>
      <c r="W800" s="5" t="s">
        <v>6510</v>
      </c>
      <c r="X800" s="5" t="s">
        <v>6810</v>
      </c>
      <c r="Y800" s="5" t="s">
        <v>6811</v>
      </c>
      <c r="Z800" s="5" t="s">
        <v>6582</v>
      </c>
      <c r="AA800" s="5" t="s">
        <v>6581</v>
      </c>
      <c r="AB800" s="5" t="s">
        <v>6812</v>
      </c>
      <c r="AC800" s="5" t="s">
        <v>6813</v>
      </c>
      <c r="AD800" s="9" t="s">
        <v>6814</v>
      </c>
    </row>
    <row r="801" spans="1:30" ht="15.6" x14ac:dyDescent="0.3">
      <c r="A801" s="4">
        <v>42</v>
      </c>
      <c r="B801" s="5" t="s">
        <v>6815</v>
      </c>
      <c r="C801" s="6" t="s">
        <v>114</v>
      </c>
      <c r="D801" s="5" t="s">
        <v>6816</v>
      </c>
      <c r="E801" s="5" t="s">
        <v>48</v>
      </c>
      <c r="F801" s="6" t="s">
        <v>6817</v>
      </c>
      <c r="G801" s="6" t="s">
        <v>6818</v>
      </c>
      <c r="H801" s="6" t="s">
        <v>1609</v>
      </c>
      <c r="I801" s="6" t="s">
        <v>6519</v>
      </c>
      <c r="J801" s="6" t="s">
        <v>1130</v>
      </c>
      <c r="K801" s="6" t="s">
        <v>6819</v>
      </c>
      <c r="L801" s="8">
        <v>-0.32</v>
      </c>
      <c r="M801" s="6" t="s">
        <v>6820</v>
      </c>
      <c r="N801" s="8">
        <v>-0.32</v>
      </c>
      <c r="O801" s="6" t="s">
        <v>6821</v>
      </c>
      <c r="P801" s="6" t="s">
        <v>6822</v>
      </c>
      <c r="Q801" s="6">
        <f>300%</f>
        <v>3</v>
      </c>
      <c r="R801" s="6" t="s">
        <v>6823</v>
      </c>
      <c r="S801" s="6">
        <v>114</v>
      </c>
      <c r="T801" s="6" t="s">
        <v>6824</v>
      </c>
      <c r="U801" s="6">
        <f>96%</f>
        <v>0.96</v>
      </c>
      <c r="V801" s="5" t="s">
        <v>6737</v>
      </c>
      <c r="W801" s="5" t="s">
        <v>6738</v>
      </c>
      <c r="X801" s="5" t="s">
        <v>6825</v>
      </c>
      <c r="Y801" s="5" t="s">
        <v>6826</v>
      </c>
      <c r="Z801" s="5" t="s">
        <v>6827</v>
      </c>
      <c r="AA801" s="5" t="s">
        <v>6828</v>
      </c>
      <c r="AB801" s="5" t="s">
        <v>6829</v>
      </c>
      <c r="AC801" s="5" t="s">
        <v>6830</v>
      </c>
      <c r="AD801" s="9" t="s">
        <v>6831</v>
      </c>
    </row>
    <row r="802" spans="1:30" ht="15.6" x14ac:dyDescent="0.3">
      <c r="A802" s="4">
        <v>43</v>
      </c>
      <c r="B802" s="5" t="s">
        <v>6832</v>
      </c>
      <c r="C802" s="6" t="s">
        <v>370</v>
      </c>
      <c r="D802" s="5" t="s">
        <v>6833</v>
      </c>
      <c r="E802" s="5" t="s">
        <v>48</v>
      </c>
      <c r="F802" s="6" t="s">
        <v>6834</v>
      </c>
      <c r="G802" s="6" t="s">
        <v>6835</v>
      </c>
      <c r="H802" s="6" t="s">
        <v>374</v>
      </c>
      <c r="I802" s="8">
        <v>-0.18</v>
      </c>
      <c r="J802" s="6" t="s">
        <v>354</v>
      </c>
      <c r="K802" s="6" t="s">
        <v>6836</v>
      </c>
      <c r="L802" s="6">
        <f>9.4%</f>
        <v>9.4E-2</v>
      </c>
      <c r="M802" s="6" t="s">
        <v>6837</v>
      </c>
      <c r="N802" s="6">
        <f>9.4%</f>
        <v>9.4E-2</v>
      </c>
      <c r="O802" s="6" t="s">
        <v>6838</v>
      </c>
      <c r="P802" s="6" t="s">
        <v>6839</v>
      </c>
      <c r="Q802" s="6">
        <f>0.045</f>
        <v>4.4999999999999998E-2</v>
      </c>
      <c r="R802" s="6" t="s">
        <v>6840</v>
      </c>
      <c r="S802" s="6">
        <v>412</v>
      </c>
      <c r="T802" s="6" t="s">
        <v>6841</v>
      </c>
      <c r="U802" s="6">
        <f>11%</f>
        <v>0.11</v>
      </c>
      <c r="V802" s="5" t="s">
        <v>6842</v>
      </c>
      <c r="W802" s="5" t="s">
        <v>6843</v>
      </c>
      <c r="X802" s="5" t="s">
        <v>6844</v>
      </c>
      <c r="Y802" s="5" t="s">
        <v>6845</v>
      </c>
      <c r="Z802" s="5" t="s">
        <v>6846</v>
      </c>
      <c r="AA802" s="5" t="s">
        <v>6847</v>
      </c>
      <c r="AB802" s="5" t="s">
        <v>99</v>
      </c>
      <c r="AC802" s="5" t="s">
        <v>100</v>
      </c>
      <c r="AD802" s="7"/>
    </row>
    <row r="803" spans="1:30" ht="15.6" x14ac:dyDescent="0.3">
      <c r="A803" s="4">
        <v>44</v>
      </c>
      <c r="B803" s="5" t="s">
        <v>6848</v>
      </c>
      <c r="C803" s="6" t="s">
        <v>114</v>
      </c>
      <c r="D803" s="5" t="s">
        <v>6849</v>
      </c>
      <c r="E803" s="5" t="s">
        <v>48</v>
      </c>
      <c r="F803" s="6" t="s">
        <v>6850</v>
      </c>
      <c r="G803" s="6" t="s">
        <v>6851</v>
      </c>
      <c r="H803" s="6" t="s">
        <v>374</v>
      </c>
      <c r="I803" s="6" t="s">
        <v>708</v>
      </c>
      <c r="J803" s="6" t="s">
        <v>1258</v>
      </c>
      <c r="K803" s="6" t="s">
        <v>6852</v>
      </c>
      <c r="L803" s="8">
        <v>-0.17</v>
      </c>
      <c r="M803" s="6" t="s">
        <v>6853</v>
      </c>
      <c r="N803" s="8">
        <v>-0.17</v>
      </c>
      <c r="O803" s="6" t="s">
        <v>6854</v>
      </c>
      <c r="P803" s="6" t="s">
        <v>6855</v>
      </c>
      <c r="Q803" s="6">
        <f>0.15</f>
        <v>0.15</v>
      </c>
      <c r="R803" s="6" t="s">
        <v>6856</v>
      </c>
      <c r="S803" s="6">
        <v>471</v>
      </c>
      <c r="T803" s="6" t="s">
        <v>6857</v>
      </c>
      <c r="U803" s="6">
        <f>63%</f>
        <v>0.63</v>
      </c>
      <c r="V803" s="5" t="s">
        <v>6858</v>
      </c>
      <c r="W803" s="5" t="s">
        <v>6859</v>
      </c>
      <c r="X803" s="5" t="s">
        <v>6860</v>
      </c>
      <c r="Y803" s="5" t="s">
        <v>6861</v>
      </c>
      <c r="Z803" s="5" t="s">
        <v>6862</v>
      </c>
      <c r="AA803" s="5" t="s">
        <v>6863</v>
      </c>
      <c r="AB803" s="5" t="s">
        <v>6864</v>
      </c>
      <c r="AC803" s="5" t="s">
        <v>6865</v>
      </c>
      <c r="AD803" s="9" t="s">
        <v>6866</v>
      </c>
    </row>
    <row r="804" spans="1:30" ht="15.6" x14ac:dyDescent="0.3">
      <c r="A804" s="4">
        <v>45</v>
      </c>
      <c r="B804" s="5" t="s">
        <v>6867</v>
      </c>
      <c r="C804" s="6" t="s">
        <v>72</v>
      </c>
      <c r="D804" s="5" t="s">
        <v>6868</v>
      </c>
      <c r="E804" s="5" t="s">
        <v>48</v>
      </c>
      <c r="F804" s="6" t="s">
        <v>6869</v>
      </c>
      <c r="G804" s="6" t="s">
        <v>6870</v>
      </c>
      <c r="H804" s="6" t="s">
        <v>374</v>
      </c>
      <c r="I804" s="6" t="s">
        <v>6871</v>
      </c>
      <c r="J804" s="6" t="s">
        <v>36</v>
      </c>
      <c r="K804" s="6" t="s">
        <v>6872</v>
      </c>
      <c r="L804" s="8">
        <v>-0.26</v>
      </c>
      <c r="M804" s="6" t="s">
        <v>6873</v>
      </c>
      <c r="N804" s="8">
        <v>-0.26</v>
      </c>
      <c r="O804" s="6" t="s">
        <v>6874</v>
      </c>
      <c r="P804" s="6" t="s">
        <v>6875</v>
      </c>
      <c r="Q804" s="6">
        <f>4.3%</f>
        <v>4.2999999999999997E-2</v>
      </c>
      <c r="R804" s="6" t="s">
        <v>6876</v>
      </c>
      <c r="S804" s="6">
        <v>113</v>
      </c>
      <c r="T804" s="6" t="s">
        <v>6877</v>
      </c>
      <c r="U804" s="6"/>
      <c r="V804" s="5" t="s">
        <v>6878</v>
      </c>
      <c r="W804" s="5" t="s">
        <v>6879</v>
      </c>
      <c r="X804" s="5" t="s">
        <v>6880</v>
      </c>
      <c r="Y804" s="5" t="s">
        <v>6881</v>
      </c>
      <c r="Z804" s="5" t="s">
        <v>6882</v>
      </c>
      <c r="AA804" s="5" t="s">
        <v>6881</v>
      </c>
      <c r="AB804" s="5" t="s">
        <v>6883</v>
      </c>
      <c r="AC804" s="5" t="s">
        <v>6884</v>
      </c>
      <c r="AD804" s="9" t="s">
        <v>6885</v>
      </c>
    </row>
    <row r="805" spans="1:30" ht="15.6" x14ac:dyDescent="0.3">
      <c r="A805" s="4">
        <v>46</v>
      </c>
      <c r="B805" s="5" t="s">
        <v>6886</v>
      </c>
      <c r="C805" s="6" t="s">
        <v>567</v>
      </c>
      <c r="D805" s="5" t="s">
        <v>6887</v>
      </c>
      <c r="E805" s="5" t="s">
        <v>162</v>
      </c>
      <c r="F805" s="6" t="s">
        <v>6888</v>
      </c>
      <c r="G805" s="6" t="s">
        <v>6889</v>
      </c>
      <c r="H805" s="6" t="s">
        <v>272</v>
      </c>
      <c r="I805" s="8">
        <v>-0.86</v>
      </c>
      <c r="J805" s="6" t="s">
        <v>343</v>
      </c>
      <c r="K805" s="6" t="s">
        <v>6890</v>
      </c>
      <c r="L805" s="8">
        <v>-0.24</v>
      </c>
      <c r="M805" s="6" t="s">
        <v>6891</v>
      </c>
      <c r="N805" s="8">
        <v>-0.24</v>
      </c>
      <c r="O805" s="6" t="s">
        <v>6892</v>
      </c>
      <c r="P805" s="6" t="s">
        <v>6893</v>
      </c>
      <c r="Q805" s="6">
        <f>0.023</f>
        <v>2.3E-2</v>
      </c>
      <c r="R805" s="6" t="s">
        <v>6894</v>
      </c>
      <c r="S805" s="6" t="s">
        <v>6895</v>
      </c>
      <c r="T805" s="6" t="s">
        <v>6896</v>
      </c>
      <c r="U805" s="8">
        <v>-0.71</v>
      </c>
      <c r="V805" s="5" t="s">
        <v>6897</v>
      </c>
      <c r="W805" s="5" t="s">
        <v>6898</v>
      </c>
      <c r="X805" s="5" t="s">
        <v>6899</v>
      </c>
      <c r="Y805" s="5" t="s">
        <v>6900</v>
      </c>
      <c r="Z805" s="5" t="s">
        <v>6901</v>
      </c>
      <c r="AA805" s="5" t="s">
        <v>6902</v>
      </c>
      <c r="AB805" s="5" t="s">
        <v>6903</v>
      </c>
      <c r="AC805" s="5" t="s">
        <v>6904</v>
      </c>
      <c r="AD805" s="9" t="s">
        <v>6905</v>
      </c>
    </row>
    <row r="806" spans="1:30" ht="15.6" x14ac:dyDescent="0.3">
      <c r="A806" s="4">
        <v>47</v>
      </c>
      <c r="B806" s="5" t="s">
        <v>6906</v>
      </c>
      <c r="C806" s="6" t="s">
        <v>370</v>
      </c>
      <c r="D806" s="5" t="s">
        <v>6907</v>
      </c>
      <c r="E806" s="5" t="s">
        <v>48</v>
      </c>
      <c r="F806" s="6" t="s">
        <v>6908</v>
      </c>
      <c r="G806" s="6" t="s">
        <v>6909</v>
      </c>
      <c r="H806" s="6" t="s">
        <v>272</v>
      </c>
      <c r="I806" s="6">
        <f>110%</f>
        <v>1.1000000000000001</v>
      </c>
      <c r="J806" s="6" t="s">
        <v>421</v>
      </c>
      <c r="K806" s="6" t="s">
        <v>6910</v>
      </c>
      <c r="L806" s="6">
        <f>170%</f>
        <v>1.7</v>
      </c>
      <c r="M806" s="6" t="s">
        <v>6786</v>
      </c>
      <c r="N806" s="6">
        <f>170%</f>
        <v>1.7</v>
      </c>
      <c r="O806" s="6" t="s">
        <v>6911</v>
      </c>
      <c r="P806" s="6" t="s">
        <v>6912</v>
      </c>
      <c r="Q806" s="6">
        <f>0.15</f>
        <v>0.15</v>
      </c>
      <c r="R806" s="6" t="s">
        <v>6913</v>
      </c>
      <c r="S806" s="6">
        <v>271</v>
      </c>
      <c r="T806" s="6" t="s">
        <v>6914</v>
      </c>
      <c r="U806" s="6">
        <f>560%</f>
        <v>5.6</v>
      </c>
      <c r="V806" s="5" t="s">
        <v>6915</v>
      </c>
      <c r="W806" s="5" t="s">
        <v>6916</v>
      </c>
      <c r="X806" s="5" t="s">
        <v>6917</v>
      </c>
      <c r="Y806" s="5" t="s">
        <v>6916</v>
      </c>
      <c r="Z806" s="5" t="s">
        <v>6918</v>
      </c>
      <c r="AA806" s="5" t="s">
        <v>6916</v>
      </c>
      <c r="AB806" s="5" t="s">
        <v>6919</v>
      </c>
      <c r="AC806" s="5" t="s">
        <v>6920</v>
      </c>
      <c r="AD806" s="9" t="s">
        <v>6921</v>
      </c>
    </row>
    <row r="807" spans="1:30" ht="15.6" x14ac:dyDescent="0.3">
      <c r="A807" s="4">
        <v>48</v>
      </c>
      <c r="B807" s="5" t="s">
        <v>6922</v>
      </c>
      <c r="C807" s="6" t="s">
        <v>1408</v>
      </c>
      <c r="D807" s="5" t="s">
        <v>6923</v>
      </c>
      <c r="E807" s="5" t="s">
        <v>48</v>
      </c>
      <c r="F807" s="6" t="s">
        <v>6924</v>
      </c>
      <c r="G807" s="6" t="s">
        <v>6925</v>
      </c>
      <c r="H807" s="6" t="s">
        <v>397</v>
      </c>
      <c r="I807" s="6" t="s">
        <v>1290</v>
      </c>
      <c r="J807" s="6" t="s">
        <v>1649</v>
      </c>
      <c r="K807" s="6" t="s">
        <v>6926</v>
      </c>
      <c r="L807" s="6">
        <f>16%</f>
        <v>0.16</v>
      </c>
      <c r="M807" s="6" t="s">
        <v>6927</v>
      </c>
      <c r="N807" s="6">
        <f>17%</f>
        <v>0.17</v>
      </c>
      <c r="O807" s="6" t="s">
        <v>6928</v>
      </c>
      <c r="P807" s="6" t="s">
        <v>6929</v>
      </c>
      <c r="Q807" s="6">
        <f>0.0002</f>
        <v>2.0000000000000001E-4</v>
      </c>
      <c r="R807" s="6" t="s">
        <v>6930</v>
      </c>
      <c r="S807" s="6">
        <v>126</v>
      </c>
      <c r="T807" s="6" t="s">
        <v>6931</v>
      </c>
      <c r="U807" s="8">
        <v>-0.44</v>
      </c>
      <c r="V807" s="5" t="s">
        <v>6932</v>
      </c>
      <c r="W807" s="5" t="s">
        <v>6933</v>
      </c>
      <c r="X807" s="5" t="s">
        <v>6934</v>
      </c>
      <c r="Y807" s="5" t="s">
        <v>6935</v>
      </c>
      <c r="Z807" s="5" t="s">
        <v>6936</v>
      </c>
      <c r="AA807" s="5" t="s">
        <v>6935</v>
      </c>
      <c r="AB807" s="5" t="s">
        <v>6937</v>
      </c>
      <c r="AC807" s="5" t="s">
        <v>6938</v>
      </c>
      <c r="AD807" s="7"/>
    </row>
    <row r="808" spans="1:30" ht="15.6" x14ac:dyDescent="0.3">
      <c r="A808" s="4">
        <v>49</v>
      </c>
      <c r="B808" s="5" t="s">
        <v>6939</v>
      </c>
      <c r="C808" s="6" t="s">
        <v>267</v>
      </c>
      <c r="D808" s="5" t="s">
        <v>6940</v>
      </c>
      <c r="E808" s="5" t="s">
        <v>48</v>
      </c>
      <c r="F808" s="6" t="s">
        <v>6941</v>
      </c>
      <c r="G808" s="6" t="s">
        <v>6942</v>
      </c>
      <c r="H808" s="6" t="s">
        <v>397</v>
      </c>
      <c r="I808" s="8">
        <v>-0.65</v>
      </c>
      <c r="J808" s="6" t="s">
        <v>131</v>
      </c>
      <c r="K808" s="6" t="s">
        <v>412</v>
      </c>
      <c r="L808" s="8">
        <v>-0.56000000000000005</v>
      </c>
      <c r="M808" s="6" t="s">
        <v>6943</v>
      </c>
      <c r="N808" s="8">
        <v>-0.56000000000000005</v>
      </c>
      <c r="O808" s="6" t="s">
        <v>6944</v>
      </c>
      <c r="P808" s="6" t="s">
        <v>6945</v>
      </c>
      <c r="Q808" s="6">
        <f>0.033</f>
        <v>3.3000000000000002E-2</v>
      </c>
      <c r="R808" s="6" t="s">
        <v>6946</v>
      </c>
      <c r="S808" s="6">
        <v>63</v>
      </c>
      <c r="T808" s="6" t="s">
        <v>2538</v>
      </c>
      <c r="U808" s="8">
        <v>-0.28999999999999998</v>
      </c>
      <c r="V808" s="5" t="s">
        <v>6947</v>
      </c>
      <c r="W808" s="5" t="s">
        <v>6948</v>
      </c>
      <c r="X808" s="5" t="s">
        <v>6949</v>
      </c>
      <c r="Y808" s="5" t="s">
        <v>6950</v>
      </c>
      <c r="Z808" s="5" t="s">
        <v>6951</v>
      </c>
      <c r="AA808" s="5" t="s">
        <v>6952</v>
      </c>
      <c r="AB808" s="5" t="s">
        <v>6953</v>
      </c>
      <c r="AC808" s="5" t="s">
        <v>6954</v>
      </c>
      <c r="AD808" s="9" t="s">
        <v>6955</v>
      </c>
    </row>
    <row r="809" spans="1:30" ht="15.6" x14ac:dyDescent="0.3">
      <c r="A809" s="4">
        <v>50</v>
      </c>
      <c r="B809" s="5" t="s">
        <v>6956</v>
      </c>
      <c r="C809" s="6" t="s">
        <v>466</v>
      </c>
      <c r="D809" s="5" t="s">
        <v>6957</v>
      </c>
      <c r="E809" s="5" t="s">
        <v>33</v>
      </c>
      <c r="F809" s="6" t="s">
        <v>6958</v>
      </c>
      <c r="G809" s="6" t="s">
        <v>6959</v>
      </c>
      <c r="H809" s="6" t="s">
        <v>397</v>
      </c>
      <c r="I809" s="6" t="s">
        <v>6960</v>
      </c>
      <c r="J809" s="6" t="s">
        <v>540</v>
      </c>
      <c r="K809" s="6" t="s">
        <v>6961</v>
      </c>
      <c r="L809" s="6" t="s">
        <v>380</v>
      </c>
      <c r="M809" s="6" t="s">
        <v>6962</v>
      </c>
      <c r="N809" s="6" t="s">
        <v>380</v>
      </c>
      <c r="O809" s="6" t="s">
        <v>6963</v>
      </c>
      <c r="P809" s="6" t="s">
        <v>6964</v>
      </c>
      <c r="Q809" s="6">
        <f>280%</f>
        <v>2.8</v>
      </c>
      <c r="R809" s="6" t="s">
        <v>6965</v>
      </c>
      <c r="S809" s="6">
        <v>201</v>
      </c>
      <c r="T809" s="6" t="s">
        <v>6966</v>
      </c>
      <c r="U809" s="8">
        <v>-0.12</v>
      </c>
      <c r="V809" s="5" t="s">
        <v>6967</v>
      </c>
      <c r="W809" s="5" t="s">
        <v>6968</v>
      </c>
      <c r="X809" s="5" t="s">
        <v>6969</v>
      </c>
      <c r="Y809" s="5" t="s">
        <v>6970</v>
      </c>
      <c r="Z809" s="5" t="s">
        <v>6971</v>
      </c>
      <c r="AA809" s="5" t="s">
        <v>6972</v>
      </c>
      <c r="AB809" s="5" t="s">
        <v>6973</v>
      </c>
      <c r="AC809" s="5" t="s">
        <v>6974</v>
      </c>
      <c r="AD809" s="9" t="s">
        <v>6975</v>
      </c>
    </row>
    <row r="810" spans="1:30" ht="15.6" x14ac:dyDescent="0.3">
      <c r="A810" s="4">
        <v>51</v>
      </c>
      <c r="B810" s="5" t="s">
        <v>6976</v>
      </c>
      <c r="C810" s="6" t="s">
        <v>72</v>
      </c>
      <c r="D810" s="5" t="s">
        <v>6977</v>
      </c>
      <c r="E810" s="5" t="s">
        <v>48</v>
      </c>
      <c r="F810" s="6" t="s">
        <v>6801</v>
      </c>
      <c r="G810" s="6" t="s">
        <v>6978</v>
      </c>
      <c r="H810" s="6" t="s">
        <v>1649</v>
      </c>
      <c r="I810" s="6" t="s">
        <v>6979</v>
      </c>
      <c r="J810" s="6" t="s">
        <v>332</v>
      </c>
      <c r="K810" s="6" t="s">
        <v>6980</v>
      </c>
      <c r="L810" s="8">
        <v>-0.17</v>
      </c>
      <c r="M810" s="6" t="s">
        <v>6981</v>
      </c>
      <c r="N810" s="8">
        <v>-0.17</v>
      </c>
      <c r="O810" s="6" t="s">
        <v>6982</v>
      </c>
      <c r="P810" s="6" t="s">
        <v>6983</v>
      </c>
      <c r="Q810" s="8">
        <v>-0.5</v>
      </c>
      <c r="R810" s="6" t="s">
        <v>6984</v>
      </c>
      <c r="S810" s="6">
        <v>130</v>
      </c>
      <c r="T810" s="6" t="s">
        <v>6985</v>
      </c>
      <c r="U810" s="8">
        <v>-0.36</v>
      </c>
      <c r="V810" s="5" t="s">
        <v>6810</v>
      </c>
      <c r="W810" s="5" t="s">
        <v>6811</v>
      </c>
      <c r="X810" s="5" t="s">
        <v>6812</v>
      </c>
      <c r="Y810" s="5" t="s">
        <v>6813</v>
      </c>
      <c r="Z810" s="5" t="s">
        <v>6986</v>
      </c>
      <c r="AA810" s="5" t="s">
        <v>6987</v>
      </c>
      <c r="AB810" s="5" t="s">
        <v>6814</v>
      </c>
      <c r="AC810" s="5" t="s">
        <v>6988</v>
      </c>
      <c r="AD810" s="9" t="s">
        <v>6989</v>
      </c>
    </row>
    <row r="811" spans="1:30" ht="15.6" x14ac:dyDescent="0.3">
      <c r="A811" s="4">
        <v>52</v>
      </c>
      <c r="B811" s="5" t="s">
        <v>6990</v>
      </c>
      <c r="C811" s="6" t="s">
        <v>126</v>
      </c>
      <c r="D811" s="5" t="s">
        <v>6991</v>
      </c>
      <c r="E811" s="5" t="s">
        <v>33</v>
      </c>
      <c r="F811" s="6" t="s">
        <v>6992</v>
      </c>
      <c r="G811" s="6" t="s">
        <v>6993</v>
      </c>
      <c r="H811" s="6" t="s">
        <v>1649</v>
      </c>
      <c r="I811" s="6" t="s">
        <v>130</v>
      </c>
      <c r="J811" s="6" t="s">
        <v>2009</v>
      </c>
      <c r="K811" s="6" t="s">
        <v>6994</v>
      </c>
      <c r="L811" s="8">
        <v>-0.24</v>
      </c>
      <c r="M811" s="6" t="s">
        <v>6995</v>
      </c>
      <c r="N811" s="8">
        <v>-0.24</v>
      </c>
      <c r="O811" s="6" t="s">
        <v>6996</v>
      </c>
      <c r="P811" s="6" t="s">
        <v>6997</v>
      </c>
      <c r="Q811" s="6">
        <f>0.76%</f>
        <v>7.6E-3</v>
      </c>
      <c r="R811" s="6" t="s">
        <v>6998</v>
      </c>
      <c r="S811" s="6">
        <v>241</v>
      </c>
      <c r="T811" s="6" t="s">
        <v>6999</v>
      </c>
      <c r="U811" s="8">
        <v>-0.4</v>
      </c>
      <c r="V811" s="5" t="s">
        <v>6509</v>
      </c>
      <c r="W811" s="5" t="s">
        <v>6510</v>
      </c>
      <c r="X811" s="5" t="s">
        <v>7000</v>
      </c>
      <c r="Y811" s="5" t="s">
        <v>6339</v>
      </c>
      <c r="Z811" s="5" t="s">
        <v>7001</v>
      </c>
      <c r="AA811" s="5" t="s">
        <v>6337</v>
      </c>
      <c r="AB811" s="5" t="s">
        <v>7002</v>
      </c>
      <c r="AC811" s="5" t="s">
        <v>7003</v>
      </c>
      <c r="AD811" s="9" t="s">
        <v>7004</v>
      </c>
    </row>
    <row r="812" spans="1:30" ht="15.6" x14ac:dyDescent="0.3">
      <c r="A812" s="4">
        <v>53</v>
      </c>
      <c r="B812" s="5" t="s">
        <v>7005</v>
      </c>
      <c r="C812" s="6" t="s">
        <v>72</v>
      </c>
      <c r="D812" s="5" t="s">
        <v>7006</v>
      </c>
      <c r="E812" s="5" t="s">
        <v>48</v>
      </c>
      <c r="F812" s="6" t="s">
        <v>7007</v>
      </c>
      <c r="G812" s="6" t="s">
        <v>7008</v>
      </c>
      <c r="H812" s="6" t="s">
        <v>1649</v>
      </c>
      <c r="I812" s="6" t="s">
        <v>877</v>
      </c>
      <c r="J812" s="6" t="s">
        <v>332</v>
      </c>
      <c r="K812" s="6" t="s">
        <v>7009</v>
      </c>
      <c r="L812" s="6">
        <f>34%</f>
        <v>0.34</v>
      </c>
      <c r="M812" s="6" t="s">
        <v>7010</v>
      </c>
      <c r="N812" s="6">
        <f>34%</f>
        <v>0.34</v>
      </c>
      <c r="O812" s="6" t="s">
        <v>7011</v>
      </c>
      <c r="P812" s="6" t="s">
        <v>7012</v>
      </c>
      <c r="Q812" s="6">
        <f>2.8%</f>
        <v>2.7999999999999997E-2</v>
      </c>
      <c r="R812" s="6" t="s">
        <v>7013</v>
      </c>
      <c r="S812" s="6">
        <v>98</v>
      </c>
      <c r="T812" s="6" t="s">
        <v>7014</v>
      </c>
      <c r="U812" s="6" t="s">
        <v>7015</v>
      </c>
      <c r="V812" s="5" t="s">
        <v>7016</v>
      </c>
      <c r="W812" s="5" t="s">
        <v>6207</v>
      </c>
      <c r="X812" s="5" t="s">
        <v>7017</v>
      </c>
      <c r="Y812" s="5" t="s">
        <v>6602</v>
      </c>
      <c r="Z812" s="5" t="s">
        <v>7018</v>
      </c>
      <c r="AA812" s="5" t="s">
        <v>7019</v>
      </c>
      <c r="AB812" s="5" t="s">
        <v>7020</v>
      </c>
      <c r="AC812" s="5" t="s">
        <v>7019</v>
      </c>
      <c r="AD812" s="7"/>
    </row>
    <row r="813" spans="1:30" ht="15.6" x14ac:dyDescent="0.3">
      <c r="A813" s="4">
        <v>54</v>
      </c>
      <c r="B813" s="5" t="s">
        <v>7021</v>
      </c>
      <c r="C813" s="6" t="s">
        <v>370</v>
      </c>
      <c r="D813" s="5" t="s">
        <v>7022</v>
      </c>
      <c r="E813" s="5" t="s">
        <v>48</v>
      </c>
      <c r="F813" s="6" t="s">
        <v>7023</v>
      </c>
      <c r="G813" s="6" t="s">
        <v>7024</v>
      </c>
      <c r="H813" s="6" t="s">
        <v>1649</v>
      </c>
      <c r="I813" s="8">
        <v>-0.87</v>
      </c>
      <c r="J813" s="6" t="s">
        <v>2509</v>
      </c>
      <c r="K813" s="6" t="s">
        <v>7025</v>
      </c>
      <c r="L813" s="6" t="s">
        <v>217</v>
      </c>
      <c r="M813" s="6" t="s">
        <v>7026</v>
      </c>
      <c r="N813" s="6">
        <f>0.11%</f>
        <v>1.1000000000000001E-3</v>
      </c>
      <c r="O813" s="6" t="s">
        <v>7027</v>
      </c>
      <c r="P813" s="6" t="s">
        <v>7028</v>
      </c>
      <c r="Q813" s="6">
        <f>0.11</f>
        <v>0.11</v>
      </c>
      <c r="R813" s="6" t="s">
        <v>7029</v>
      </c>
      <c r="S813" s="6">
        <v>14</v>
      </c>
      <c r="T813" s="6">
        <v>586</v>
      </c>
      <c r="U813" s="6">
        <f>1.9%</f>
        <v>1.9E-2</v>
      </c>
      <c r="V813" s="5" t="s">
        <v>7030</v>
      </c>
      <c r="W813" s="5" t="s">
        <v>7031</v>
      </c>
      <c r="X813" s="5" t="s">
        <v>7032</v>
      </c>
      <c r="Y813" s="5" t="s">
        <v>7033</v>
      </c>
      <c r="Z813" s="5" t="s">
        <v>7034</v>
      </c>
      <c r="AA813" s="5" t="s">
        <v>7035</v>
      </c>
      <c r="AB813" s="5" t="s">
        <v>7036</v>
      </c>
      <c r="AC813" s="5" t="s">
        <v>7037</v>
      </c>
      <c r="AD813" s="9" t="s">
        <v>7038</v>
      </c>
    </row>
    <row r="814" spans="1:30" ht="15.6" x14ac:dyDescent="0.3">
      <c r="A814" s="4">
        <v>55</v>
      </c>
      <c r="B814" s="5" t="s">
        <v>7039</v>
      </c>
      <c r="C814" s="6" t="s">
        <v>72</v>
      </c>
      <c r="D814" s="5" t="s">
        <v>7040</v>
      </c>
      <c r="E814" s="5" t="s">
        <v>33</v>
      </c>
      <c r="F814" s="6" t="s">
        <v>7041</v>
      </c>
      <c r="G814" s="6" t="s">
        <v>7042</v>
      </c>
      <c r="H814" s="6" t="s">
        <v>1071</v>
      </c>
      <c r="I814" s="6" t="s">
        <v>7043</v>
      </c>
      <c r="J814" s="6" t="s">
        <v>52</v>
      </c>
      <c r="K814" s="6" t="s">
        <v>7044</v>
      </c>
      <c r="L814" s="6">
        <f>2.8%</f>
        <v>2.7999999999999997E-2</v>
      </c>
      <c r="M814" s="6" t="s">
        <v>7045</v>
      </c>
      <c r="N814" s="6">
        <f>2.8%</f>
        <v>2.7999999999999997E-2</v>
      </c>
      <c r="O814" s="6" t="s">
        <v>7046</v>
      </c>
      <c r="P814" s="6" t="s">
        <v>7047</v>
      </c>
      <c r="Q814" s="6">
        <f>5.1%</f>
        <v>5.0999999999999997E-2</v>
      </c>
      <c r="R814" s="6" t="s">
        <v>7048</v>
      </c>
      <c r="S814" s="6">
        <v>190</v>
      </c>
      <c r="T814" s="6" t="s">
        <v>7049</v>
      </c>
      <c r="U814" s="6">
        <f>6.5%</f>
        <v>6.5000000000000002E-2</v>
      </c>
      <c r="V814" s="5" t="s">
        <v>7050</v>
      </c>
      <c r="W814" s="5" t="s">
        <v>7051</v>
      </c>
      <c r="X814" s="5" t="s">
        <v>7052</v>
      </c>
      <c r="Y814" s="5" t="s">
        <v>7053</v>
      </c>
      <c r="Z814" s="5" t="s">
        <v>7054</v>
      </c>
      <c r="AA814" s="5" t="s">
        <v>7055</v>
      </c>
      <c r="AB814" s="5" t="s">
        <v>7056</v>
      </c>
      <c r="AC814" s="5" t="s">
        <v>7057</v>
      </c>
      <c r="AD814" s="9" t="s">
        <v>7058</v>
      </c>
    </row>
    <row r="815" spans="1:30" ht="15.6" x14ac:dyDescent="0.3">
      <c r="A815" s="4">
        <v>56</v>
      </c>
      <c r="B815" s="5" t="s">
        <v>7059</v>
      </c>
      <c r="C815" s="6" t="s">
        <v>85</v>
      </c>
      <c r="D815" s="5" t="s">
        <v>7060</v>
      </c>
      <c r="E815" s="5" t="s">
        <v>33</v>
      </c>
      <c r="F815" s="6" t="s">
        <v>7061</v>
      </c>
      <c r="G815" s="6" t="s">
        <v>7062</v>
      </c>
      <c r="H815" s="6" t="s">
        <v>1110</v>
      </c>
      <c r="I815" s="8">
        <v>-0.48</v>
      </c>
      <c r="J815" s="6" t="s">
        <v>36</v>
      </c>
      <c r="K815" s="6" t="s">
        <v>7063</v>
      </c>
      <c r="L815" s="6">
        <f>24%</f>
        <v>0.24</v>
      </c>
      <c r="M815" s="6" t="s">
        <v>7064</v>
      </c>
      <c r="N815" s="6">
        <f>24%</f>
        <v>0.24</v>
      </c>
      <c r="O815" s="6" t="s">
        <v>7065</v>
      </c>
      <c r="P815" s="6" t="s">
        <v>7066</v>
      </c>
      <c r="Q815" s="6">
        <f>0.056</f>
        <v>5.6000000000000001E-2</v>
      </c>
      <c r="R815" s="6" t="s">
        <v>7067</v>
      </c>
      <c r="S815" s="6">
        <v>233</v>
      </c>
      <c r="T815" s="6" t="s">
        <v>7068</v>
      </c>
      <c r="U815" s="6">
        <f>64%</f>
        <v>0.64</v>
      </c>
      <c r="V815" s="6"/>
      <c r="W815" s="6"/>
      <c r="X815" s="6"/>
      <c r="Y815" s="6"/>
      <c r="Z815" s="6"/>
      <c r="AA815" s="6"/>
      <c r="AB815" s="6"/>
      <c r="AC815" s="6"/>
      <c r="AD815" s="7"/>
    </row>
    <row r="816" spans="1:30" ht="15.6" x14ac:dyDescent="0.3">
      <c r="A816" s="4">
        <v>57</v>
      </c>
      <c r="B816" s="5" t="s">
        <v>7069</v>
      </c>
      <c r="C816" s="6" t="s">
        <v>1013</v>
      </c>
      <c r="D816" s="5" t="s">
        <v>7070</v>
      </c>
      <c r="E816" s="5" t="s">
        <v>48</v>
      </c>
      <c r="F816" s="6" t="s">
        <v>7071</v>
      </c>
      <c r="G816" s="6" t="s">
        <v>7072</v>
      </c>
      <c r="H816" s="6" t="s">
        <v>1110</v>
      </c>
      <c r="I816" s="8">
        <v>-0.94</v>
      </c>
      <c r="J816" s="6" t="s">
        <v>1184</v>
      </c>
      <c r="K816" s="6" t="s">
        <v>7073</v>
      </c>
      <c r="L816" s="6">
        <f>8.5%</f>
        <v>8.5000000000000006E-2</v>
      </c>
      <c r="M816" s="6" t="s">
        <v>7074</v>
      </c>
      <c r="N816" s="6">
        <f>8.5%</f>
        <v>8.5000000000000006E-2</v>
      </c>
      <c r="O816" s="6" t="s">
        <v>7075</v>
      </c>
      <c r="P816" s="6" t="s">
        <v>7076</v>
      </c>
      <c r="Q816" s="6">
        <f>0.03</f>
        <v>0.03</v>
      </c>
      <c r="R816" s="6" t="s">
        <v>7077</v>
      </c>
      <c r="S816" s="6">
        <v>37</v>
      </c>
      <c r="T816" s="6" t="s">
        <v>2416</v>
      </c>
      <c r="U816" s="8">
        <v>-0.51</v>
      </c>
      <c r="V816" s="5" t="s">
        <v>7078</v>
      </c>
      <c r="W816" s="5" t="s">
        <v>7079</v>
      </c>
      <c r="X816" s="5" t="s">
        <v>7080</v>
      </c>
      <c r="Y816" s="5" t="s">
        <v>7081</v>
      </c>
      <c r="Z816" s="5" t="s">
        <v>7082</v>
      </c>
      <c r="AA816" s="5" t="s">
        <v>7083</v>
      </c>
      <c r="AB816" s="5" t="s">
        <v>7084</v>
      </c>
      <c r="AC816" s="5" t="s">
        <v>7081</v>
      </c>
      <c r="AD816" s="9" t="s">
        <v>7085</v>
      </c>
    </row>
    <row r="817" spans="1:30" ht="15.6" x14ac:dyDescent="0.3">
      <c r="A817" s="4">
        <v>58</v>
      </c>
      <c r="B817" s="5" t="s">
        <v>7086</v>
      </c>
      <c r="C817" s="6" t="s">
        <v>72</v>
      </c>
      <c r="D817" s="5" t="s">
        <v>7087</v>
      </c>
      <c r="E817" s="5" t="s">
        <v>48</v>
      </c>
      <c r="F817" s="6" t="s">
        <v>7088</v>
      </c>
      <c r="G817" s="6" t="s">
        <v>7089</v>
      </c>
      <c r="H817" s="6" t="s">
        <v>1238</v>
      </c>
      <c r="I817" s="6" t="s">
        <v>7090</v>
      </c>
      <c r="J817" s="6" t="s">
        <v>131</v>
      </c>
      <c r="K817" s="6" t="s">
        <v>5135</v>
      </c>
      <c r="L817" s="8">
        <v>-0.22</v>
      </c>
      <c r="M817" s="6" t="s">
        <v>7091</v>
      </c>
      <c r="N817" s="8">
        <v>-0.22</v>
      </c>
      <c r="O817" s="6" t="s">
        <v>7092</v>
      </c>
      <c r="P817" s="6" t="s">
        <v>7093</v>
      </c>
      <c r="Q817" s="6">
        <f>7.8%</f>
        <v>7.8E-2</v>
      </c>
      <c r="R817" s="6" t="s">
        <v>7094</v>
      </c>
      <c r="S817" s="6">
        <v>180</v>
      </c>
      <c r="T817" s="6" t="s">
        <v>2724</v>
      </c>
      <c r="U817" s="6" t="s">
        <v>1788</v>
      </c>
      <c r="V817" s="5" t="s">
        <v>7095</v>
      </c>
      <c r="W817" s="5" t="s">
        <v>7096</v>
      </c>
      <c r="X817" s="5" t="s">
        <v>7097</v>
      </c>
      <c r="Y817" s="5" t="s">
        <v>7096</v>
      </c>
      <c r="Z817" s="5" t="s">
        <v>7098</v>
      </c>
      <c r="AA817" s="5" t="s">
        <v>7099</v>
      </c>
      <c r="AB817" s="5" t="s">
        <v>7100</v>
      </c>
      <c r="AC817" s="5" t="s">
        <v>7101</v>
      </c>
      <c r="AD817" s="9" t="s">
        <v>7102</v>
      </c>
    </row>
    <row r="818" spans="1:30" ht="15.6" x14ac:dyDescent="0.3">
      <c r="A818" s="4">
        <v>59</v>
      </c>
      <c r="B818" s="5" t="s">
        <v>7103</v>
      </c>
      <c r="C818" s="6" t="s">
        <v>72</v>
      </c>
      <c r="D818" s="5" t="s">
        <v>7104</v>
      </c>
      <c r="E818" s="5" t="s">
        <v>33</v>
      </c>
      <c r="F818" s="6" t="s">
        <v>7105</v>
      </c>
      <c r="G818" s="6" t="s">
        <v>7106</v>
      </c>
      <c r="H818" s="6" t="s">
        <v>1238</v>
      </c>
      <c r="I818" s="6" t="s">
        <v>217</v>
      </c>
      <c r="J818" s="6" t="s">
        <v>2776</v>
      </c>
      <c r="K818" s="6" t="s">
        <v>7107</v>
      </c>
      <c r="L818" s="6">
        <f>10%</f>
        <v>0.1</v>
      </c>
      <c r="M818" s="6" t="s">
        <v>7108</v>
      </c>
      <c r="N818" s="6">
        <f>10%</f>
        <v>0.1</v>
      </c>
      <c r="O818" s="6" t="s">
        <v>1031</v>
      </c>
      <c r="P818" s="6" t="s">
        <v>7109</v>
      </c>
      <c r="Q818" s="6">
        <f>0.05</f>
        <v>0.05</v>
      </c>
      <c r="R818" s="6" t="s">
        <v>7110</v>
      </c>
      <c r="S818" s="6">
        <v>124</v>
      </c>
      <c r="T818" s="6" t="s">
        <v>7111</v>
      </c>
      <c r="U818" s="6">
        <f>42%</f>
        <v>0.42</v>
      </c>
      <c r="V818" s="5" t="s">
        <v>7112</v>
      </c>
      <c r="W818" s="5" t="s">
        <v>6602</v>
      </c>
      <c r="X818" s="5" t="s">
        <v>7113</v>
      </c>
      <c r="Y818" s="5" t="s">
        <v>6602</v>
      </c>
      <c r="Z818" s="5" t="s">
        <v>7114</v>
      </c>
      <c r="AA818" s="5" t="s">
        <v>6602</v>
      </c>
      <c r="AB818" s="5" t="s">
        <v>7115</v>
      </c>
      <c r="AC818" s="5" t="s">
        <v>6602</v>
      </c>
      <c r="AD818" s="9" t="s">
        <v>7116</v>
      </c>
    </row>
    <row r="819" spans="1:30" ht="15.6" x14ac:dyDescent="0.3">
      <c r="A819" s="4">
        <v>60</v>
      </c>
      <c r="B819" s="5" t="s">
        <v>7117</v>
      </c>
      <c r="C819" s="6" t="s">
        <v>291</v>
      </c>
      <c r="D819" s="5" t="s">
        <v>7118</v>
      </c>
      <c r="E819" s="5" t="s">
        <v>162</v>
      </c>
      <c r="F819" s="6" t="s">
        <v>7119</v>
      </c>
      <c r="G819" s="6" t="s">
        <v>7120</v>
      </c>
      <c r="H819" s="6" t="s">
        <v>1238</v>
      </c>
      <c r="I819" s="8">
        <v>-0.44</v>
      </c>
      <c r="J819" s="6" t="s">
        <v>3975</v>
      </c>
      <c r="K819" s="6" t="s">
        <v>6872</v>
      </c>
      <c r="L819" s="6" t="s">
        <v>7121</v>
      </c>
      <c r="M819" s="6" t="s">
        <v>7122</v>
      </c>
      <c r="N819" s="6" t="s">
        <v>7121</v>
      </c>
      <c r="O819" s="6" t="s">
        <v>55</v>
      </c>
      <c r="P819" s="6" t="s">
        <v>7123</v>
      </c>
      <c r="Q819" s="6">
        <f>0.00081</f>
        <v>8.0999999999999996E-4</v>
      </c>
      <c r="R819" s="6" t="s">
        <v>7124</v>
      </c>
      <c r="S819" s="6" t="s">
        <v>7125</v>
      </c>
      <c r="T819" s="6" t="s">
        <v>7126</v>
      </c>
      <c r="U819" s="6">
        <f>0.82%</f>
        <v>8.199999999999999E-3</v>
      </c>
      <c r="V819" s="5" t="s">
        <v>7127</v>
      </c>
      <c r="W819" s="5" t="s">
        <v>6283</v>
      </c>
      <c r="X819" s="5" t="s">
        <v>7128</v>
      </c>
      <c r="Y819" s="5" t="s">
        <v>7129</v>
      </c>
      <c r="Z819" s="5" t="s">
        <v>7130</v>
      </c>
      <c r="AA819" s="5" t="s">
        <v>7129</v>
      </c>
      <c r="AB819" s="6"/>
      <c r="AC819" s="6"/>
      <c r="AD819" s="7"/>
    </row>
    <row r="820" spans="1:30" ht="15.6" x14ac:dyDescent="0.3">
      <c r="A820" s="4">
        <v>61</v>
      </c>
      <c r="B820" s="5" t="s">
        <v>7131</v>
      </c>
      <c r="C820" s="6" t="s">
        <v>126</v>
      </c>
      <c r="D820" s="5" t="s">
        <v>7132</v>
      </c>
      <c r="E820" s="5" t="s">
        <v>48</v>
      </c>
      <c r="F820" s="6" t="s">
        <v>7133</v>
      </c>
      <c r="G820" s="6" t="s">
        <v>7134</v>
      </c>
      <c r="H820" s="6" t="s">
        <v>517</v>
      </c>
      <c r="I820" s="6" t="s">
        <v>7135</v>
      </c>
      <c r="J820" s="6" t="s">
        <v>758</v>
      </c>
      <c r="K820" s="6" t="s">
        <v>7136</v>
      </c>
      <c r="L820" s="6" t="s">
        <v>217</v>
      </c>
      <c r="M820" s="6" t="s">
        <v>7137</v>
      </c>
      <c r="N820" s="6" t="s">
        <v>474</v>
      </c>
      <c r="O820" s="6" t="s">
        <v>79</v>
      </c>
      <c r="P820" s="6" t="s">
        <v>7138</v>
      </c>
      <c r="Q820" s="6">
        <f>0.1%</f>
        <v>1E-3</v>
      </c>
      <c r="R820" s="6" t="s">
        <v>7139</v>
      </c>
      <c r="S820" s="6">
        <v>226</v>
      </c>
      <c r="T820" s="6" t="s">
        <v>7140</v>
      </c>
      <c r="U820" s="8">
        <v>-0.23</v>
      </c>
      <c r="V820" s="5" t="s">
        <v>6509</v>
      </c>
      <c r="W820" s="5" t="s">
        <v>6510</v>
      </c>
      <c r="X820" s="5" t="s">
        <v>7141</v>
      </c>
      <c r="Y820" s="5" t="s">
        <v>7142</v>
      </c>
      <c r="Z820" s="5" t="s">
        <v>7143</v>
      </c>
      <c r="AA820" s="5" t="s">
        <v>7144</v>
      </c>
      <c r="AB820" s="5" t="s">
        <v>7145</v>
      </c>
      <c r="AC820" s="5" t="s">
        <v>7146</v>
      </c>
      <c r="AD820" s="9" t="s">
        <v>7147</v>
      </c>
    </row>
    <row r="821" spans="1:30" ht="15.6" x14ac:dyDescent="0.3">
      <c r="A821" s="4">
        <v>62</v>
      </c>
      <c r="B821" s="5" t="s">
        <v>7148</v>
      </c>
      <c r="C821" s="6" t="s">
        <v>31</v>
      </c>
      <c r="D821" s="5" t="s">
        <v>7149</v>
      </c>
      <c r="E821" s="5" t="s">
        <v>48</v>
      </c>
      <c r="F821" s="6" t="s">
        <v>7150</v>
      </c>
      <c r="G821" s="6" t="s">
        <v>7151</v>
      </c>
      <c r="H821" s="6" t="s">
        <v>517</v>
      </c>
      <c r="I821" s="6" t="s">
        <v>7152</v>
      </c>
      <c r="J821" s="6" t="s">
        <v>177</v>
      </c>
      <c r="K821" s="6" t="s">
        <v>607</v>
      </c>
      <c r="L821" s="6">
        <f>15%</f>
        <v>0.15</v>
      </c>
      <c r="M821" s="6" t="s">
        <v>7153</v>
      </c>
      <c r="N821" s="6">
        <f>15%</f>
        <v>0.15</v>
      </c>
      <c r="O821" s="6" t="s">
        <v>7154</v>
      </c>
      <c r="P821" s="6" t="s">
        <v>7155</v>
      </c>
      <c r="Q821" s="6">
        <f>6.4%</f>
        <v>6.4000000000000001E-2</v>
      </c>
      <c r="R821" s="6" t="s">
        <v>7156</v>
      </c>
      <c r="S821" s="6">
        <v>181</v>
      </c>
      <c r="T821" s="6" t="s">
        <v>4786</v>
      </c>
      <c r="U821" s="6">
        <f>10%</f>
        <v>0.1</v>
      </c>
      <c r="V821" s="5" t="s">
        <v>7157</v>
      </c>
      <c r="W821" s="5" t="s">
        <v>7158</v>
      </c>
      <c r="X821" s="5" t="s">
        <v>7159</v>
      </c>
      <c r="Y821" s="5" t="s">
        <v>7158</v>
      </c>
      <c r="Z821" s="5" t="s">
        <v>7160</v>
      </c>
      <c r="AA821" s="5" t="s">
        <v>7158</v>
      </c>
      <c r="AB821" s="5" t="s">
        <v>7161</v>
      </c>
      <c r="AC821" s="5" t="s">
        <v>7158</v>
      </c>
      <c r="AD821" s="9" t="s">
        <v>7162</v>
      </c>
    </row>
    <row r="822" spans="1:30" ht="15.6" x14ac:dyDescent="0.3">
      <c r="A822" s="4">
        <v>63</v>
      </c>
      <c r="B822" s="5" t="s">
        <v>7163</v>
      </c>
      <c r="C822" s="6" t="s">
        <v>291</v>
      </c>
      <c r="D822" s="5" t="s">
        <v>7164</v>
      </c>
      <c r="E822" s="5" t="s">
        <v>33</v>
      </c>
      <c r="F822" s="6" t="s">
        <v>7165</v>
      </c>
      <c r="G822" s="6" t="s">
        <v>7166</v>
      </c>
      <c r="H822" s="6" t="s">
        <v>517</v>
      </c>
      <c r="I822" s="6" t="s">
        <v>7135</v>
      </c>
      <c r="J822" s="6" t="s">
        <v>1048</v>
      </c>
      <c r="K822" s="6" t="s">
        <v>6678</v>
      </c>
      <c r="L822" s="6" t="s">
        <v>2103</v>
      </c>
      <c r="M822" s="6" t="s">
        <v>7167</v>
      </c>
      <c r="N822" s="6" t="s">
        <v>2103</v>
      </c>
      <c r="O822" s="6" t="s">
        <v>7168</v>
      </c>
      <c r="P822" s="6" t="s">
        <v>7169</v>
      </c>
      <c r="Q822" s="6">
        <f>4%</f>
        <v>0.04</v>
      </c>
      <c r="R822" s="6" t="s">
        <v>7170</v>
      </c>
      <c r="S822" s="6">
        <v>83</v>
      </c>
      <c r="T822" s="6" t="s">
        <v>7171</v>
      </c>
      <c r="U822" s="8">
        <v>-0.5</v>
      </c>
      <c r="V822" s="5" t="s">
        <v>7172</v>
      </c>
      <c r="W822" s="5" t="s">
        <v>7173</v>
      </c>
      <c r="X822" s="5" t="s">
        <v>7174</v>
      </c>
      <c r="Y822" s="5" t="s">
        <v>7175</v>
      </c>
      <c r="Z822" s="5" t="s">
        <v>7176</v>
      </c>
      <c r="AA822" s="5" t="s">
        <v>6473</v>
      </c>
      <c r="AB822" s="5" t="s">
        <v>7177</v>
      </c>
      <c r="AC822" s="5" t="s">
        <v>7178</v>
      </c>
      <c r="AD822" s="9" t="s">
        <v>7179</v>
      </c>
    </row>
    <row r="823" spans="1:30" ht="15.6" x14ac:dyDescent="0.3">
      <c r="A823" s="4">
        <v>64</v>
      </c>
      <c r="B823" s="5" t="s">
        <v>7180</v>
      </c>
      <c r="C823" s="6" t="s">
        <v>148</v>
      </c>
      <c r="D823" s="5" t="s">
        <v>7181</v>
      </c>
      <c r="E823" s="5" t="s">
        <v>48</v>
      </c>
      <c r="F823" s="6" t="s">
        <v>7182</v>
      </c>
      <c r="G823" s="6" t="s">
        <v>7183</v>
      </c>
      <c r="H823" s="6" t="s">
        <v>517</v>
      </c>
      <c r="I823" s="6" t="s">
        <v>924</v>
      </c>
      <c r="J823" s="6" t="s">
        <v>1432</v>
      </c>
      <c r="K823" s="6" t="s">
        <v>7184</v>
      </c>
      <c r="L823" s="6">
        <f>20%</f>
        <v>0.2</v>
      </c>
      <c r="M823" s="6" t="s">
        <v>7185</v>
      </c>
      <c r="N823" s="6">
        <f>20%</f>
        <v>0.2</v>
      </c>
      <c r="O823" s="6" t="s">
        <v>7186</v>
      </c>
      <c r="P823" s="6" t="s">
        <v>7187</v>
      </c>
      <c r="Q823" s="6">
        <f>0.052</f>
        <v>5.1999999999999998E-2</v>
      </c>
      <c r="R823" s="6" t="s">
        <v>7188</v>
      </c>
      <c r="S823" s="6">
        <v>259</v>
      </c>
      <c r="T823" s="6" t="s">
        <v>7189</v>
      </c>
      <c r="U823" s="6">
        <f>1.7%</f>
        <v>1.7000000000000001E-2</v>
      </c>
      <c r="V823" s="5" t="s">
        <v>7190</v>
      </c>
      <c r="W823" s="5" t="s">
        <v>7191</v>
      </c>
      <c r="X823" s="5" t="s">
        <v>7192</v>
      </c>
      <c r="Y823" s="5" t="s">
        <v>7193</v>
      </c>
      <c r="Z823" s="5" t="s">
        <v>7194</v>
      </c>
      <c r="AA823" s="5" t="s">
        <v>7193</v>
      </c>
      <c r="AB823" s="5" t="s">
        <v>7195</v>
      </c>
      <c r="AC823" s="5" t="s">
        <v>7196</v>
      </c>
      <c r="AD823" s="9" t="s">
        <v>7197</v>
      </c>
    </row>
    <row r="824" spans="1:30" ht="15.6" x14ac:dyDescent="0.3">
      <c r="A824" s="4">
        <v>65</v>
      </c>
      <c r="B824" s="5" t="s">
        <v>7198</v>
      </c>
      <c r="C824" s="6" t="s">
        <v>173</v>
      </c>
      <c r="D824" s="5" t="s">
        <v>7199</v>
      </c>
      <c r="E824" s="5" t="s">
        <v>48</v>
      </c>
      <c r="F824" s="6" t="s">
        <v>7200</v>
      </c>
      <c r="G824" s="6" t="s">
        <v>7201</v>
      </c>
      <c r="H824" s="6" t="s">
        <v>517</v>
      </c>
      <c r="I824" s="8">
        <v>-0.7</v>
      </c>
      <c r="J824" s="6" t="s">
        <v>1660</v>
      </c>
      <c r="K824" s="6" t="s">
        <v>7202</v>
      </c>
      <c r="L824" s="6">
        <f>9%</f>
        <v>0.09</v>
      </c>
      <c r="M824" s="6" t="s">
        <v>7203</v>
      </c>
      <c r="N824" s="6">
        <f>9%</f>
        <v>0.09</v>
      </c>
      <c r="O824" s="6" t="s">
        <v>7204</v>
      </c>
      <c r="P824" s="6" t="s">
        <v>68</v>
      </c>
      <c r="Q824" s="6">
        <f>0.11</f>
        <v>0.11</v>
      </c>
      <c r="R824" s="6" t="s">
        <v>7205</v>
      </c>
      <c r="S824" s="6">
        <v>67</v>
      </c>
      <c r="T824" s="6" t="s">
        <v>7206</v>
      </c>
      <c r="U824" s="6">
        <f>8.2%</f>
        <v>8.199999999999999E-2</v>
      </c>
      <c r="V824" s="5" t="s">
        <v>7207</v>
      </c>
      <c r="W824" s="5" t="s">
        <v>6107</v>
      </c>
      <c r="X824" s="5" t="s">
        <v>7208</v>
      </c>
      <c r="Y824" s="5" t="s">
        <v>6107</v>
      </c>
      <c r="Z824" s="5" t="s">
        <v>7209</v>
      </c>
      <c r="AA824" s="5" t="s">
        <v>7210</v>
      </c>
      <c r="AB824" s="6"/>
      <c r="AC824" s="6"/>
      <c r="AD824" s="7"/>
    </row>
    <row r="825" spans="1:30" ht="15.6" x14ac:dyDescent="0.3">
      <c r="A825" s="4">
        <v>66</v>
      </c>
      <c r="B825" s="5" t="s">
        <v>7211</v>
      </c>
      <c r="C825" s="6" t="s">
        <v>72</v>
      </c>
      <c r="D825" s="5" t="s">
        <v>7212</v>
      </c>
      <c r="E825" s="5" t="s">
        <v>33</v>
      </c>
      <c r="F825" s="6" t="s">
        <v>7213</v>
      </c>
      <c r="G825" s="6" t="s">
        <v>7214</v>
      </c>
      <c r="H825" s="6" t="s">
        <v>1258</v>
      </c>
      <c r="I825" s="6" t="s">
        <v>7215</v>
      </c>
      <c r="J825" s="6" t="s">
        <v>397</v>
      </c>
      <c r="K825" s="6" t="s">
        <v>7216</v>
      </c>
      <c r="L825" s="8">
        <v>-0.18</v>
      </c>
      <c r="M825" s="6" t="s">
        <v>7217</v>
      </c>
      <c r="N825" s="8">
        <v>-0.18</v>
      </c>
      <c r="O825" s="6" t="s">
        <v>7218</v>
      </c>
      <c r="P825" s="6" t="s">
        <v>7219</v>
      </c>
      <c r="Q825" s="6">
        <f>3.1%</f>
        <v>3.1E-2</v>
      </c>
      <c r="R825" s="6" t="s">
        <v>7220</v>
      </c>
      <c r="S825" s="6">
        <v>113</v>
      </c>
      <c r="T825" s="6" t="s">
        <v>7221</v>
      </c>
      <c r="U825" s="8">
        <v>-0.44</v>
      </c>
      <c r="V825" s="6"/>
      <c r="W825" s="6"/>
      <c r="X825" s="6"/>
      <c r="Y825" s="6"/>
      <c r="Z825" s="6"/>
      <c r="AA825" s="6"/>
      <c r="AB825" s="6"/>
      <c r="AC825" s="6"/>
      <c r="AD825" s="7"/>
    </row>
    <row r="826" spans="1:30" ht="15.6" x14ac:dyDescent="0.3">
      <c r="A826" s="4">
        <v>67</v>
      </c>
      <c r="B826" s="5" t="s">
        <v>7222</v>
      </c>
      <c r="C826" s="6" t="s">
        <v>820</v>
      </c>
      <c r="D826" s="5" t="s">
        <v>7223</v>
      </c>
      <c r="E826" s="5" t="s">
        <v>48</v>
      </c>
      <c r="F826" s="6" t="s">
        <v>7224</v>
      </c>
      <c r="G826" s="6" t="s">
        <v>7225</v>
      </c>
      <c r="H826" s="6" t="s">
        <v>1660</v>
      </c>
      <c r="I826" s="6" t="s">
        <v>7226</v>
      </c>
      <c r="J826" s="6" t="s">
        <v>442</v>
      </c>
      <c r="K826" s="6" t="s">
        <v>7227</v>
      </c>
      <c r="L826" s="8">
        <v>-0.28999999999999998</v>
      </c>
      <c r="M826" s="6" t="s">
        <v>7228</v>
      </c>
      <c r="N826" s="8">
        <v>-0.28999999999999998</v>
      </c>
      <c r="O826" s="6" t="s">
        <v>7229</v>
      </c>
      <c r="P826" s="6" t="s">
        <v>7230</v>
      </c>
      <c r="Q826" s="6">
        <f>14%</f>
        <v>0.14000000000000001</v>
      </c>
      <c r="R826" s="6">
        <v>275</v>
      </c>
      <c r="S826" s="6">
        <v>4</v>
      </c>
      <c r="T826" s="6" t="s">
        <v>7231</v>
      </c>
      <c r="U826" s="8">
        <v>-0.94</v>
      </c>
      <c r="V826" s="5" t="s">
        <v>7232</v>
      </c>
      <c r="W826" s="5" t="s">
        <v>7233</v>
      </c>
      <c r="X826" s="5" t="s">
        <v>7234</v>
      </c>
      <c r="Y826" s="5" t="s">
        <v>7235</v>
      </c>
      <c r="Z826" s="5" t="s">
        <v>7236</v>
      </c>
      <c r="AA826" s="5" t="s">
        <v>7237</v>
      </c>
      <c r="AB826" s="5" t="s">
        <v>7238</v>
      </c>
      <c r="AC826" s="5" t="s">
        <v>7239</v>
      </c>
      <c r="AD826" s="9" t="s">
        <v>7240</v>
      </c>
    </row>
    <row r="827" spans="1:30" ht="15.6" x14ac:dyDescent="0.3">
      <c r="A827" s="4">
        <v>68</v>
      </c>
      <c r="B827" s="5" t="s">
        <v>7241</v>
      </c>
      <c r="C827" s="6" t="s">
        <v>304</v>
      </c>
      <c r="D827" s="5" t="s">
        <v>7242</v>
      </c>
      <c r="E827" s="5" t="s">
        <v>33</v>
      </c>
      <c r="F827" s="6" t="s">
        <v>7243</v>
      </c>
      <c r="G827" s="6" t="s">
        <v>7244</v>
      </c>
      <c r="H827" s="6" t="s">
        <v>296</v>
      </c>
      <c r="I827" s="8">
        <v>-0.97</v>
      </c>
      <c r="J827" s="6" t="s">
        <v>77</v>
      </c>
      <c r="K827" s="6" t="s">
        <v>7245</v>
      </c>
      <c r="L827" s="6">
        <f>79%</f>
        <v>0.79</v>
      </c>
      <c r="M827" s="6" t="s">
        <v>7246</v>
      </c>
      <c r="N827" s="6">
        <f>79%</f>
        <v>0.79</v>
      </c>
      <c r="O827" s="6" t="s">
        <v>7247</v>
      </c>
      <c r="P827" s="6" t="s">
        <v>7248</v>
      </c>
      <c r="Q827" s="6">
        <f>0.13</f>
        <v>0.13</v>
      </c>
      <c r="R827" s="6">
        <v>267</v>
      </c>
      <c r="S827" s="6">
        <v>4</v>
      </c>
      <c r="T827" s="6">
        <v>294</v>
      </c>
      <c r="U827" s="6" t="s">
        <v>9262</v>
      </c>
      <c r="V827" s="5" t="s">
        <v>7249</v>
      </c>
      <c r="W827" s="5" t="s">
        <v>6438</v>
      </c>
      <c r="X827" s="5" t="s">
        <v>7250</v>
      </c>
      <c r="Y827" s="5" t="s">
        <v>6438</v>
      </c>
      <c r="Z827" s="5" t="s">
        <v>7251</v>
      </c>
      <c r="AA827" s="5" t="s">
        <v>6438</v>
      </c>
      <c r="AB827" s="5" t="s">
        <v>7252</v>
      </c>
      <c r="AC827" s="5" t="s">
        <v>7253</v>
      </c>
      <c r="AD827" s="9" t="s">
        <v>7254</v>
      </c>
    </row>
    <row r="828" spans="1:30" ht="15.6" x14ac:dyDescent="0.3">
      <c r="A828" s="4">
        <v>69</v>
      </c>
      <c r="B828" s="5" t="s">
        <v>7255</v>
      </c>
      <c r="C828" s="6" t="s">
        <v>148</v>
      </c>
      <c r="D828" s="5" t="s">
        <v>7256</v>
      </c>
      <c r="E828" s="5" t="s">
        <v>48</v>
      </c>
      <c r="F828" s="6" t="s">
        <v>7257</v>
      </c>
      <c r="G828" s="6" t="s">
        <v>7258</v>
      </c>
      <c r="H828" s="6" t="s">
        <v>296</v>
      </c>
      <c r="I828" s="6" t="s">
        <v>7259</v>
      </c>
      <c r="J828" s="6" t="s">
        <v>1529</v>
      </c>
      <c r="K828" s="6" t="s">
        <v>7260</v>
      </c>
      <c r="L828" s="6">
        <f>5.7%</f>
        <v>5.7000000000000002E-2</v>
      </c>
      <c r="M828" s="6" t="s">
        <v>7261</v>
      </c>
      <c r="N828" s="6">
        <f>5.7%</f>
        <v>5.7000000000000002E-2</v>
      </c>
      <c r="O828" s="6" t="s">
        <v>7262</v>
      </c>
      <c r="P828" s="6" t="s">
        <v>7263</v>
      </c>
      <c r="Q828" s="6">
        <f>4.4%</f>
        <v>4.4000000000000004E-2</v>
      </c>
      <c r="R828" s="6" t="s">
        <v>7264</v>
      </c>
      <c r="S828" s="6">
        <v>167</v>
      </c>
      <c r="T828" s="6" t="s">
        <v>7265</v>
      </c>
      <c r="U828" s="6">
        <f>24%</f>
        <v>0.24</v>
      </c>
      <c r="V828" s="5" t="s">
        <v>7266</v>
      </c>
      <c r="W828" s="5" t="s">
        <v>7267</v>
      </c>
      <c r="X828" s="5" t="s">
        <v>7268</v>
      </c>
      <c r="Y828" s="5" t="s">
        <v>6600</v>
      </c>
      <c r="Z828" s="5" t="s">
        <v>7269</v>
      </c>
      <c r="AA828" s="5" t="s">
        <v>7270</v>
      </c>
      <c r="AB828" s="5" t="s">
        <v>7271</v>
      </c>
      <c r="AC828" s="5" t="s">
        <v>7272</v>
      </c>
      <c r="AD828" s="7"/>
    </row>
    <row r="829" spans="1:30" ht="15.6" x14ac:dyDescent="0.3">
      <c r="A829" s="4">
        <v>70</v>
      </c>
      <c r="B829" s="5" t="s">
        <v>7273</v>
      </c>
      <c r="C829" s="6" t="s">
        <v>567</v>
      </c>
      <c r="D829" s="5" t="s">
        <v>7274</v>
      </c>
      <c r="E829" s="5" t="s">
        <v>33</v>
      </c>
      <c r="F829" s="6" t="s">
        <v>7275</v>
      </c>
      <c r="G829" s="6" t="s">
        <v>7276</v>
      </c>
      <c r="H829" s="6" t="s">
        <v>296</v>
      </c>
      <c r="I829" s="8">
        <v>-0.56000000000000005</v>
      </c>
      <c r="J829" s="6" t="s">
        <v>494</v>
      </c>
      <c r="K829" s="6" t="s">
        <v>7277</v>
      </c>
      <c r="L829" s="8">
        <v>-0.13</v>
      </c>
      <c r="M829" s="6" t="s">
        <v>7278</v>
      </c>
      <c r="N829" s="8">
        <v>-0.13</v>
      </c>
      <c r="O829" s="6" t="s">
        <v>7279</v>
      </c>
      <c r="P829" s="6" t="s">
        <v>7280</v>
      </c>
      <c r="Q829" s="6">
        <f>0.056</f>
        <v>5.6000000000000001E-2</v>
      </c>
      <c r="R829" s="6" t="s">
        <v>7281</v>
      </c>
      <c r="S829" s="6">
        <v>73</v>
      </c>
      <c r="T829" s="6" t="s">
        <v>7282</v>
      </c>
      <c r="U829" s="6">
        <f>350%</f>
        <v>3.5</v>
      </c>
      <c r="V829" s="5" t="s">
        <v>7283</v>
      </c>
      <c r="W829" s="5" t="s">
        <v>6372</v>
      </c>
      <c r="X829" s="5" t="s">
        <v>7284</v>
      </c>
      <c r="Y829" s="5" t="s">
        <v>7285</v>
      </c>
      <c r="Z829" s="5" t="s">
        <v>7286</v>
      </c>
      <c r="AA829" s="5" t="s">
        <v>7287</v>
      </c>
      <c r="AB829" s="6"/>
      <c r="AC829" s="6"/>
      <c r="AD829" s="7"/>
    </row>
    <row r="830" spans="1:30" ht="15.6" x14ac:dyDescent="0.3">
      <c r="A830" s="4">
        <v>71</v>
      </c>
      <c r="B830" s="5" t="s">
        <v>7288</v>
      </c>
      <c r="C830" s="6" t="s">
        <v>102</v>
      </c>
      <c r="D830" s="5" t="s">
        <v>7289</v>
      </c>
      <c r="E830" s="5" t="s">
        <v>48</v>
      </c>
      <c r="F830" s="6" t="s">
        <v>7290</v>
      </c>
      <c r="G830" s="6" t="s">
        <v>7291</v>
      </c>
      <c r="H830" s="6" t="s">
        <v>296</v>
      </c>
      <c r="I830" s="8">
        <v>-0.62</v>
      </c>
      <c r="J830" s="6" t="s">
        <v>482</v>
      </c>
      <c r="K830" s="6" t="s">
        <v>7292</v>
      </c>
      <c r="L830" s="6">
        <f>13%</f>
        <v>0.13</v>
      </c>
      <c r="M830" s="6" t="s">
        <v>7293</v>
      </c>
      <c r="N830" s="6">
        <f>13%</f>
        <v>0.13</v>
      </c>
      <c r="O830" s="6" t="s">
        <v>7294</v>
      </c>
      <c r="P830" s="6" t="s">
        <v>7295</v>
      </c>
      <c r="Q830" s="6">
        <f>0.12</f>
        <v>0.12</v>
      </c>
      <c r="R830" s="6" t="s">
        <v>7296</v>
      </c>
      <c r="S830" s="6">
        <v>127</v>
      </c>
      <c r="T830" s="6" t="s">
        <v>7297</v>
      </c>
      <c r="U830" s="6">
        <f>39%</f>
        <v>0.39</v>
      </c>
      <c r="V830" s="5" t="s">
        <v>7298</v>
      </c>
      <c r="W830" s="5" t="s">
        <v>6700</v>
      </c>
      <c r="X830" s="5" t="s">
        <v>7299</v>
      </c>
      <c r="Y830" s="5" t="s">
        <v>7300</v>
      </c>
      <c r="Z830" s="5" t="s">
        <v>7301</v>
      </c>
      <c r="AA830" s="5" t="s">
        <v>6700</v>
      </c>
      <c r="AB830" s="5" t="s">
        <v>7302</v>
      </c>
      <c r="AC830" s="5" t="s">
        <v>6700</v>
      </c>
      <c r="AD830" s="9" t="s">
        <v>7303</v>
      </c>
    </row>
    <row r="831" spans="1:30" ht="15.6" x14ac:dyDescent="0.3">
      <c r="A831" s="4">
        <v>72</v>
      </c>
      <c r="B831" s="5" t="s">
        <v>7304</v>
      </c>
      <c r="C831" s="6" t="s">
        <v>46</v>
      </c>
      <c r="D831" s="5" t="s">
        <v>7305</v>
      </c>
      <c r="E831" s="6"/>
      <c r="F831" s="6" t="s">
        <v>7306</v>
      </c>
      <c r="G831" s="6" t="s">
        <v>7307</v>
      </c>
      <c r="H831" s="6" t="s">
        <v>2474</v>
      </c>
      <c r="I831" s="8">
        <v>-0.27</v>
      </c>
      <c r="J831" s="6" t="s">
        <v>731</v>
      </c>
      <c r="K831" s="6" t="s">
        <v>799</v>
      </c>
      <c r="L831" s="6" t="s">
        <v>217</v>
      </c>
      <c r="M831" s="6" t="s">
        <v>800</v>
      </c>
      <c r="N831" s="6" t="s">
        <v>217</v>
      </c>
      <c r="O831" s="6" t="s">
        <v>800</v>
      </c>
      <c r="P831" s="6" t="s">
        <v>217</v>
      </c>
      <c r="Q831" s="6">
        <f>0.13</f>
        <v>0.13</v>
      </c>
      <c r="R831" s="6" t="s">
        <v>7308</v>
      </c>
      <c r="S831" s="6">
        <v>106</v>
      </c>
      <c r="T831" s="6" t="s">
        <v>217</v>
      </c>
      <c r="U831" s="6" t="s">
        <v>217</v>
      </c>
      <c r="V831" s="5" t="s">
        <v>7309</v>
      </c>
      <c r="W831" s="5" t="s">
        <v>7310</v>
      </c>
      <c r="X831" s="5" t="s">
        <v>7311</v>
      </c>
      <c r="Y831" s="5" t="s">
        <v>7312</v>
      </c>
      <c r="Z831" s="5" t="s">
        <v>7313</v>
      </c>
      <c r="AA831" s="5" t="s">
        <v>7314</v>
      </c>
      <c r="AB831" s="6"/>
      <c r="AC831" s="6"/>
      <c r="AD831" s="7"/>
    </row>
    <row r="832" spans="1:30" ht="15.6" x14ac:dyDescent="0.3">
      <c r="A832" s="4">
        <v>73</v>
      </c>
      <c r="B832" s="5" t="s">
        <v>7315</v>
      </c>
      <c r="C832" s="6" t="s">
        <v>267</v>
      </c>
      <c r="D832" s="5" t="s">
        <v>7316</v>
      </c>
      <c r="E832" s="5" t="s">
        <v>48</v>
      </c>
      <c r="F832" s="6" t="s">
        <v>7317</v>
      </c>
      <c r="G832" s="6" t="s">
        <v>7318</v>
      </c>
      <c r="H832" s="6" t="s">
        <v>2474</v>
      </c>
      <c r="I832" s="6" t="s">
        <v>4180</v>
      </c>
      <c r="J832" s="6" t="s">
        <v>442</v>
      </c>
      <c r="K832" s="6" t="s">
        <v>770</v>
      </c>
      <c r="L832" s="6">
        <f>48%</f>
        <v>0.48</v>
      </c>
      <c r="M832" s="6" t="s">
        <v>7319</v>
      </c>
      <c r="N832" s="6">
        <f>48%</f>
        <v>0.48</v>
      </c>
      <c r="O832" s="6" t="s">
        <v>7320</v>
      </c>
      <c r="P832" s="6" t="s">
        <v>7321</v>
      </c>
      <c r="Q832" s="6">
        <f>0.057</f>
        <v>5.7000000000000002E-2</v>
      </c>
      <c r="R832" s="6" t="s">
        <v>7322</v>
      </c>
      <c r="S832" s="6">
        <v>158</v>
      </c>
      <c r="T832" s="6" t="s">
        <v>7323</v>
      </c>
      <c r="U832" s="6">
        <f>13%</f>
        <v>0.13</v>
      </c>
      <c r="V832" s="5" t="s">
        <v>7324</v>
      </c>
      <c r="W832" s="5" t="s">
        <v>6602</v>
      </c>
      <c r="X832" s="5" t="s">
        <v>7325</v>
      </c>
      <c r="Y832" s="5" t="s">
        <v>7326</v>
      </c>
      <c r="Z832" s="5" t="s">
        <v>7327</v>
      </c>
      <c r="AA832" s="5" t="s">
        <v>6602</v>
      </c>
      <c r="AB832" s="5" t="s">
        <v>7328</v>
      </c>
      <c r="AC832" s="5" t="s">
        <v>6602</v>
      </c>
      <c r="AD832" s="7"/>
    </row>
    <row r="833" spans="1:30" ht="15.6" x14ac:dyDescent="0.3">
      <c r="A833" s="4">
        <v>74</v>
      </c>
      <c r="B833" s="5" t="s">
        <v>7329</v>
      </c>
      <c r="C833" s="6" t="s">
        <v>85</v>
      </c>
      <c r="D833" s="5" t="s">
        <v>7330</v>
      </c>
      <c r="E833" s="5" t="s">
        <v>33</v>
      </c>
      <c r="F833" s="6" t="s">
        <v>7331</v>
      </c>
      <c r="G833" s="6" t="s">
        <v>7332</v>
      </c>
      <c r="H833" s="6" t="s">
        <v>2474</v>
      </c>
      <c r="I833" s="6" t="s">
        <v>7333</v>
      </c>
      <c r="J833" s="6" t="s">
        <v>1071</v>
      </c>
      <c r="K833" s="6" t="s">
        <v>7334</v>
      </c>
      <c r="L833" s="6">
        <f>20%</f>
        <v>0.2</v>
      </c>
      <c r="M833" s="6" t="s">
        <v>7335</v>
      </c>
      <c r="N833" s="6">
        <f>20%</f>
        <v>0.2</v>
      </c>
      <c r="O833" s="6" t="s">
        <v>7336</v>
      </c>
      <c r="P833" s="6" t="s">
        <v>7337</v>
      </c>
      <c r="Q833" s="6">
        <f>48%</f>
        <v>0.48</v>
      </c>
      <c r="R833" s="6" t="s">
        <v>7338</v>
      </c>
      <c r="S833" s="6">
        <v>44</v>
      </c>
      <c r="T833" s="6" t="s">
        <v>7339</v>
      </c>
      <c r="U833" s="6">
        <f>11%</f>
        <v>0.11</v>
      </c>
      <c r="V833" s="5" t="s">
        <v>7340</v>
      </c>
      <c r="W833" s="5" t="s">
        <v>7341</v>
      </c>
      <c r="X833" s="5" t="s">
        <v>7342</v>
      </c>
      <c r="Y833" s="5" t="s">
        <v>7341</v>
      </c>
      <c r="Z833" s="5" t="s">
        <v>7343</v>
      </c>
      <c r="AA833" s="5" t="s">
        <v>7341</v>
      </c>
      <c r="AB833" s="5" t="s">
        <v>7344</v>
      </c>
      <c r="AC833" s="5" t="s">
        <v>7345</v>
      </c>
      <c r="AD833" s="7"/>
    </row>
    <row r="834" spans="1:30" ht="15.6" x14ac:dyDescent="0.3">
      <c r="A834" s="4">
        <v>75</v>
      </c>
      <c r="B834" s="5" t="s">
        <v>7346</v>
      </c>
      <c r="C834" s="6" t="s">
        <v>114</v>
      </c>
      <c r="D834" s="5" t="s">
        <v>7347</v>
      </c>
      <c r="E834" s="5" t="s">
        <v>48</v>
      </c>
      <c r="F834" s="6" t="s">
        <v>7348</v>
      </c>
      <c r="G834" s="6" t="s">
        <v>7349</v>
      </c>
      <c r="H834" s="6" t="s">
        <v>2474</v>
      </c>
      <c r="I834" s="6" t="s">
        <v>7350</v>
      </c>
      <c r="J834" s="6" t="s">
        <v>1110</v>
      </c>
      <c r="K834" s="6" t="s">
        <v>7351</v>
      </c>
      <c r="L834" s="6">
        <f>39%</f>
        <v>0.39</v>
      </c>
      <c r="M834" s="6" t="s">
        <v>7352</v>
      </c>
      <c r="N834" s="6">
        <f>39%</f>
        <v>0.39</v>
      </c>
      <c r="O834" s="6" t="s">
        <v>7353</v>
      </c>
      <c r="P834" s="6" t="s">
        <v>7354</v>
      </c>
      <c r="Q834" s="6"/>
      <c r="R834" s="6" t="s">
        <v>7355</v>
      </c>
      <c r="S834" s="6">
        <v>300</v>
      </c>
      <c r="T834" s="6" t="s">
        <v>7356</v>
      </c>
      <c r="U834" s="8">
        <v>-0.39</v>
      </c>
      <c r="V834" s="5" t="s">
        <v>7357</v>
      </c>
      <c r="W834" s="5" t="s">
        <v>7237</v>
      </c>
      <c r="X834" s="5" t="s">
        <v>7358</v>
      </c>
      <c r="Y834" s="5" t="s">
        <v>7003</v>
      </c>
      <c r="Z834" s="5" t="s">
        <v>7359</v>
      </c>
      <c r="AA834" s="5" t="s">
        <v>7360</v>
      </c>
      <c r="AB834" s="5" t="s">
        <v>7361</v>
      </c>
      <c r="AC834" s="5" t="s">
        <v>7362</v>
      </c>
      <c r="AD834" s="9" t="s">
        <v>7363</v>
      </c>
    </row>
    <row r="835" spans="1:30" ht="15.6" x14ac:dyDescent="0.3">
      <c r="A835" s="4">
        <v>76</v>
      </c>
      <c r="B835" s="5" t="s">
        <v>7364</v>
      </c>
      <c r="C835" s="6" t="s">
        <v>126</v>
      </c>
      <c r="D835" s="5" t="s">
        <v>7365</v>
      </c>
      <c r="E835" s="5" t="s">
        <v>33</v>
      </c>
      <c r="F835" s="6" t="s">
        <v>7366</v>
      </c>
      <c r="G835" s="6" t="s">
        <v>7367</v>
      </c>
      <c r="H835" s="6" t="s">
        <v>2474</v>
      </c>
      <c r="I835" s="6" t="s">
        <v>7368</v>
      </c>
      <c r="J835" s="6" t="s">
        <v>2474</v>
      </c>
      <c r="K835" s="6" t="s">
        <v>7369</v>
      </c>
      <c r="L835" s="8">
        <v>-0.13</v>
      </c>
      <c r="M835" s="6" t="s">
        <v>7370</v>
      </c>
      <c r="N835" s="8">
        <v>-0.13</v>
      </c>
      <c r="O835" s="6" t="s">
        <v>7371</v>
      </c>
      <c r="P835" s="6" t="s">
        <v>7372</v>
      </c>
      <c r="Q835" s="6">
        <f>140%</f>
        <v>1.4</v>
      </c>
      <c r="R835" s="6" t="s">
        <v>7373</v>
      </c>
      <c r="S835" s="6">
        <v>165</v>
      </c>
      <c r="T835" s="6" t="s">
        <v>7374</v>
      </c>
      <c r="U835" s="8">
        <v>-0.94</v>
      </c>
      <c r="V835" s="5" t="s">
        <v>7375</v>
      </c>
      <c r="W835" s="5" t="s">
        <v>7376</v>
      </c>
      <c r="X835" s="5" t="s">
        <v>7377</v>
      </c>
      <c r="Y835" s="5" t="s">
        <v>7378</v>
      </c>
      <c r="Z835" s="5" t="s">
        <v>7379</v>
      </c>
      <c r="AA835" s="5" t="s">
        <v>7376</v>
      </c>
      <c r="AB835" s="5" t="s">
        <v>7380</v>
      </c>
      <c r="AC835" s="5" t="s">
        <v>7376</v>
      </c>
      <c r="AD835" s="9" t="s">
        <v>7381</v>
      </c>
    </row>
    <row r="836" spans="1:30" ht="15.6" x14ac:dyDescent="0.3">
      <c r="A836" s="4">
        <v>77</v>
      </c>
      <c r="B836" s="5" t="s">
        <v>7382</v>
      </c>
      <c r="C836" s="6" t="s">
        <v>267</v>
      </c>
      <c r="D836" s="5" t="s">
        <v>7383</v>
      </c>
      <c r="E836" s="5" t="s">
        <v>48</v>
      </c>
      <c r="F836" s="6" t="s">
        <v>7384</v>
      </c>
      <c r="G836" s="6" t="s">
        <v>7385</v>
      </c>
      <c r="H836" s="6" t="s">
        <v>2474</v>
      </c>
      <c r="I836" s="6" t="s">
        <v>2350</v>
      </c>
      <c r="J836" s="6" t="s">
        <v>1609</v>
      </c>
      <c r="K836" s="6" t="s">
        <v>7386</v>
      </c>
      <c r="L836" s="6">
        <f>600%</f>
        <v>6</v>
      </c>
      <c r="M836" s="6" t="s">
        <v>7387</v>
      </c>
      <c r="N836" s="6">
        <f>600%</f>
        <v>6</v>
      </c>
      <c r="O836" s="6" t="s">
        <v>7388</v>
      </c>
      <c r="P836" s="6" t="s">
        <v>7389</v>
      </c>
      <c r="Q836" s="6">
        <f>0.13</f>
        <v>0.13</v>
      </c>
      <c r="R836" s="6" t="s">
        <v>7390</v>
      </c>
      <c r="S836" s="6">
        <v>90</v>
      </c>
      <c r="T836" s="6" t="s">
        <v>7391</v>
      </c>
      <c r="U836" s="6" t="s">
        <v>9262</v>
      </c>
      <c r="V836" s="5" t="s">
        <v>7392</v>
      </c>
      <c r="W836" s="5" t="s">
        <v>7393</v>
      </c>
      <c r="X836" s="5" t="s">
        <v>7394</v>
      </c>
      <c r="Y836" s="5" t="s">
        <v>7395</v>
      </c>
      <c r="Z836" s="5" t="s">
        <v>7396</v>
      </c>
      <c r="AA836" s="5" t="s">
        <v>7393</v>
      </c>
      <c r="AB836" s="5" t="s">
        <v>7397</v>
      </c>
      <c r="AC836" s="5" t="s">
        <v>7393</v>
      </c>
      <c r="AD836" s="9" t="s">
        <v>7398</v>
      </c>
    </row>
    <row r="837" spans="1:30" ht="15.6" x14ac:dyDescent="0.3">
      <c r="A837" s="4">
        <v>78</v>
      </c>
      <c r="B837" s="5" t="s">
        <v>7399</v>
      </c>
      <c r="C837" s="6" t="s">
        <v>567</v>
      </c>
      <c r="D837" s="5" t="s">
        <v>7400</v>
      </c>
      <c r="E837" s="5" t="s">
        <v>48</v>
      </c>
      <c r="F837" s="6" t="s">
        <v>7401</v>
      </c>
      <c r="G837" s="6" t="s">
        <v>7402</v>
      </c>
      <c r="H837" s="6" t="s">
        <v>2474</v>
      </c>
      <c r="I837" s="6" t="s">
        <v>6803</v>
      </c>
      <c r="J837" s="6" t="s">
        <v>494</v>
      </c>
      <c r="K837" s="6" t="s">
        <v>5135</v>
      </c>
      <c r="L837" s="6" t="s">
        <v>217</v>
      </c>
      <c r="M837" s="6" t="s">
        <v>7403</v>
      </c>
      <c r="N837" s="6">
        <f>0.038%</f>
        <v>3.7999999999999997E-4</v>
      </c>
      <c r="O837" s="6" t="s">
        <v>7404</v>
      </c>
      <c r="P837" s="6" t="s">
        <v>7405</v>
      </c>
      <c r="Q837" s="8">
        <v>-0.28000000000000003</v>
      </c>
      <c r="R837" s="6" t="s">
        <v>7406</v>
      </c>
      <c r="S837" s="6">
        <v>199</v>
      </c>
      <c r="T837" s="6" t="s">
        <v>7407</v>
      </c>
      <c r="U837" s="8">
        <v>-0.4</v>
      </c>
      <c r="V837" s="5" t="s">
        <v>7408</v>
      </c>
      <c r="W837" s="5" t="s">
        <v>6581</v>
      </c>
      <c r="X837" s="5" t="s">
        <v>7409</v>
      </c>
      <c r="Y837" s="5" t="s">
        <v>7410</v>
      </c>
      <c r="Z837" s="5" t="s">
        <v>7411</v>
      </c>
      <c r="AA837" s="5" t="s">
        <v>7412</v>
      </c>
      <c r="AB837" s="5" t="s">
        <v>7413</v>
      </c>
      <c r="AC837" s="5" t="s">
        <v>7414</v>
      </c>
      <c r="AD837" s="7"/>
    </row>
    <row r="838" spans="1:30" ht="15.6" x14ac:dyDescent="0.3">
      <c r="A838" s="4">
        <v>79</v>
      </c>
      <c r="B838" s="5" t="s">
        <v>7415</v>
      </c>
      <c r="C838" s="6" t="s">
        <v>114</v>
      </c>
      <c r="D838" s="5" t="s">
        <v>7416</v>
      </c>
      <c r="E838" s="5" t="s">
        <v>162</v>
      </c>
      <c r="F838" s="6" t="s">
        <v>7417</v>
      </c>
      <c r="G838" s="6" t="s">
        <v>7418</v>
      </c>
      <c r="H838" s="6" t="s">
        <v>950</v>
      </c>
      <c r="I838" s="6" t="s">
        <v>7419</v>
      </c>
      <c r="J838" s="6" t="s">
        <v>973</v>
      </c>
      <c r="K838" s="6" t="s">
        <v>7420</v>
      </c>
      <c r="L838" s="6" t="s">
        <v>217</v>
      </c>
      <c r="M838" s="6" t="s">
        <v>7421</v>
      </c>
      <c r="N838" s="8">
        <v>-0.13</v>
      </c>
      <c r="O838" s="6" t="s">
        <v>7422</v>
      </c>
      <c r="P838" s="6" t="s">
        <v>7423</v>
      </c>
      <c r="Q838" s="6">
        <f>81%</f>
        <v>0.81</v>
      </c>
      <c r="R838" s="6" t="s">
        <v>7424</v>
      </c>
      <c r="S838" s="6">
        <v>82</v>
      </c>
      <c r="T838" s="6">
        <v>869</v>
      </c>
      <c r="U838" s="6">
        <f>0.46%</f>
        <v>4.5999999999999999E-3</v>
      </c>
      <c r="V838" s="5" t="s">
        <v>7425</v>
      </c>
      <c r="W838" s="5" t="s">
        <v>7426</v>
      </c>
      <c r="X838" s="5" t="s">
        <v>7427</v>
      </c>
      <c r="Y838" s="5" t="s">
        <v>7428</v>
      </c>
      <c r="Z838" s="5" t="s">
        <v>7429</v>
      </c>
      <c r="AA838" s="5" t="s">
        <v>7430</v>
      </c>
      <c r="AB838" s="5" t="s">
        <v>7431</v>
      </c>
      <c r="AC838" s="5" t="s">
        <v>7432</v>
      </c>
      <c r="AD838" s="9" t="s">
        <v>7433</v>
      </c>
    </row>
    <row r="839" spans="1:30" ht="15.6" x14ac:dyDescent="0.3">
      <c r="A839" s="4">
        <v>80</v>
      </c>
      <c r="B839" s="5" t="s">
        <v>7434</v>
      </c>
      <c r="C839" s="6" t="s">
        <v>60</v>
      </c>
      <c r="D839" s="5" t="s">
        <v>7435</v>
      </c>
      <c r="E839" s="5" t="s">
        <v>48</v>
      </c>
      <c r="F839" s="6" t="s">
        <v>7007</v>
      </c>
      <c r="G839" s="6" t="s">
        <v>7436</v>
      </c>
      <c r="H839" s="6" t="s">
        <v>950</v>
      </c>
      <c r="I839" s="6" t="s">
        <v>7437</v>
      </c>
      <c r="J839" s="6" t="s">
        <v>272</v>
      </c>
      <c r="K839" s="6" t="s">
        <v>7438</v>
      </c>
      <c r="L839" s="6" t="s">
        <v>3016</v>
      </c>
      <c r="M839" s="6" t="s">
        <v>7439</v>
      </c>
      <c r="N839" s="6" t="s">
        <v>3016</v>
      </c>
      <c r="O839" s="6" t="s">
        <v>7440</v>
      </c>
      <c r="P839" s="6" t="s">
        <v>7441</v>
      </c>
      <c r="Q839" s="8">
        <v>-0.41</v>
      </c>
      <c r="R839" s="6" t="s">
        <v>1105</v>
      </c>
      <c r="S839" s="6">
        <v>30</v>
      </c>
      <c r="T839" s="6" t="s">
        <v>1263</v>
      </c>
      <c r="U839" s="8">
        <v>-0.21</v>
      </c>
      <c r="V839" s="5" t="s">
        <v>7016</v>
      </c>
      <c r="W839" s="5" t="s">
        <v>6207</v>
      </c>
      <c r="X839" s="5" t="s">
        <v>7017</v>
      </c>
      <c r="Y839" s="5" t="s">
        <v>6602</v>
      </c>
      <c r="Z839" s="5" t="s">
        <v>7018</v>
      </c>
      <c r="AA839" s="5" t="s">
        <v>7019</v>
      </c>
      <c r="AB839" s="5" t="s">
        <v>7020</v>
      </c>
      <c r="AC839" s="5" t="s">
        <v>7019</v>
      </c>
      <c r="AD839" s="7"/>
    </row>
    <row r="840" spans="1:30" ht="15.6" x14ac:dyDescent="0.3">
      <c r="A840" s="4">
        <v>81</v>
      </c>
      <c r="B840" s="5" t="s">
        <v>7442</v>
      </c>
      <c r="C840" s="6" t="s">
        <v>126</v>
      </c>
      <c r="D840" s="5" t="s">
        <v>7443</v>
      </c>
      <c r="E840" s="5" t="s">
        <v>33</v>
      </c>
      <c r="F840" s="6" t="s">
        <v>7444</v>
      </c>
      <c r="G840" s="6" t="s">
        <v>7445</v>
      </c>
      <c r="H840" s="6" t="s">
        <v>950</v>
      </c>
      <c r="I840" s="6" t="s">
        <v>7446</v>
      </c>
      <c r="J840" s="6" t="s">
        <v>667</v>
      </c>
      <c r="K840" s="6" t="s">
        <v>7447</v>
      </c>
      <c r="L840" s="6" t="s">
        <v>1818</v>
      </c>
      <c r="M840" s="6" t="s">
        <v>7448</v>
      </c>
      <c r="N840" s="6" t="s">
        <v>1818</v>
      </c>
      <c r="O840" s="6" t="s">
        <v>7449</v>
      </c>
      <c r="P840" s="6" t="s">
        <v>7450</v>
      </c>
      <c r="Q840" s="8">
        <v>-0.49</v>
      </c>
      <c r="R840" s="6" t="s">
        <v>7451</v>
      </c>
      <c r="S840" s="6">
        <v>100</v>
      </c>
      <c r="T840" s="6" t="s">
        <v>7452</v>
      </c>
      <c r="U840" s="8">
        <v>-0.51</v>
      </c>
      <c r="V840" s="5" t="s">
        <v>7453</v>
      </c>
      <c r="W840" s="5" t="s">
        <v>7454</v>
      </c>
      <c r="X840" s="5" t="s">
        <v>7455</v>
      </c>
      <c r="Y840" s="5" t="s">
        <v>7456</v>
      </c>
      <c r="Z840" s="5" t="s">
        <v>7457</v>
      </c>
      <c r="AA840" s="5" t="s">
        <v>7458</v>
      </c>
      <c r="AB840" s="6"/>
      <c r="AC840" s="6"/>
      <c r="AD840" s="7"/>
    </row>
    <row r="841" spans="1:30" ht="15.6" x14ac:dyDescent="0.3">
      <c r="A841" s="4">
        <v>82</v>
      </c>
      <c r="B841" s="5" t="s">
        <v>7459</v>
      </c>
      <c r="C841" s="6" t="s">
        <v>72</v>
      </c>
      <c r="D841" s="5" t="s">
        <v>7460</v>
      </c>
      <c r="E841" s="5" t="s">
        <v>48</v>
      </c>
      <c r="F841" s="6" t="s">
        <v>7461</v>
      </c>
      <c r="G841" s="6" t="s">
        <v>7462</v>
      </c>
      <c r="H841" s="6" t="s">
        <v>950</v>
      </c>
      <c r="I841" s="6" t="s">
        <v>7463</v>
      </c>
      <c r="J841" s="6" t="s">
        <v>296</v>
      </c>
      <c r="K841" s="6" t="s">
        <v>7464</v>
      </c>
      <c r="L841" s="8">
        <v>-0.14000000000000001</v>
      </c>
      <c r="M841" s="6" t="s">
        <v>7465</v>
      </c>
      <c r="N841" s="8">
        <v>-0.14000000000000001</v>
      </c>
      <c r="O841" s="6" t="s">
        <v>7466</v>
      </c>
      <c r="P841" s="6" t="s">
        <v>7467</v>
      </c>
      <c r="Q841" s="6">
        <f>3.6%</f>
        <v>3.6000000000000004E-2</v>
      </c>
      <c r="R841" s="6" t="s">
        <v>7468</v>
      </c>
      <c r="S841" s="6">
        <v>35</v>
      </c>
      <c r="T841" s="6" t="s">
        <v>2798</v>
      </c>
      <c r="U841" s="6">
        <f>100%</f>
        <v>1</v>
      </c>
      <c r="V841" s="6"/>
      <c r="W841" s="6"/>
      <c r="X841" s="6"/>
      <c r="Y841" s="6"/>
      <c r="Z841" s="6"/>
      <c r="AA841" s="6"/>
      <c r="AB841" s="6"/>
      <c r="AC841" s="6"/>
      <c r="AD841" s="7"/>
    </row>
    <row r="842" spans="1:30" ht="15.6" x14ac:dyDescent="0.3">
      <c r="A842" s="4">
        <v>83</v>
      </c>
      <c r="B842" s="5" t="s">
        <v>7469</v>
      </c>
      <c r="C842" s="6" t="s">
        <v>567</v>
      </c>
      <c r="D842" s="5" t="s">
        <v>7470</v>
      </c>
      <c r="E842" s="5" t="s">
        <v>48</v>
      </c>
      <c r="F842" s="6" t="s">
        <v>7471</v>
      </c>
      <c r="G842" s="6" t="s">
        <v>7472</v>
      </c>
      <c r="H842" s="6" t="s">
        <v>1432</v>
      </c>
      <c r="I842" s="6" t="s">
        <v>130</v>
      </c>
      <c r="J842" s="6" t="s">
        <v>1365</v>
      </c>
      <c r="K842" s="6" t="s">
        <v>7473</v>
      </c>
      <c r="L842" s="8">
        <v>-0.25</v>
      </c>
      <c r="M842" s="6" t="s">
        <v>7474</v>
      </c>
      <c r="N842" s="8">
        <v>-0.25</v>
      </c>
      <c r="O842" s="6" t="s">
        <v>7475</v>
      </c>
      <c r="P842" s="6" t="s">
        <v>7476</v>
      </c>
      <c r="Q842" s="8">
        <v>-0.88</v>
      </c>
      <c r="R842" s="6" t="s">
        <v>7477</v>
      </c>
      <c r="S842" s="6">
        <v>551</v>
      </c>
      <c r="T842" s="6" t="s">
        <v>4520</v>
      </c>
      <c r="U842" s="8">
        <v>-0.77</v>
      </c>
      <c r="V842" s="5" t="s">
        <v>7478</v>
      </c>
      <c r="W842" s="5" t="s">
        <v>7479</v>
      </c>
      <c r="X842" s="5" t="s">
        <v>7480</v>
      </c>
      <c r="Y842" s="5" t="s">
        <v>7481</v>
      </c>
      <c r="Z842" s="5" t="s">
        <v>7482</v>
      </c>
      <c r="AA842" s="5" t="s">
        <v>7483</v>
      </c>
      <c r="AB842" s="5" t="s">
        <v>7484</v>
      </c>
      <c r="AC842" s="5" t="s">
        <v>7485</v>
      </c>
      <c r="AD842" s="9" t="s">
        <v>7486</v>
      </c>
    </row>
    <row r="843" spans="1:30" ht="15.6" x14ac:dyDescent="0.3">
      <c r="A843" s="4">
        <v>84</v>
      </c>
      <c r="B843" s="5" t="s">
        <v>7487</v>
      </c>
      <c r="C843" s="6" t="s">
        <v>370</v>
      </c>
      <c r="D843" s="5" t="s">
        <v>7488</v>
      </c>
      <c r="E843" s="5" t="s">
        <v>48</v>
      </c>
      <c r="F843" s="6" t="s">
        <v>7489</v>
      </c>
      <c r="G843" s="6" t="s">
        <v>7490</v>
      </c>
      <c r="H843" s="6" t="s">
        <v>1432</v>
      </c>
      <c r="I843" s="6" t="s">
        <v>295</v>
      </c>
      <c r="J843" s="6" t="s">
        <v>411</v>
      </c>
      <c r="K843" s="6" t="s">
        <v>7491</v>
      </c>
      <c r="L843" s="6">
        <f>16%</f>
        <v>0.16</v>
      </c>
      <c r="M843" s="6" t="s">
        <v>7492</v>
      </c>
      <c r="N843" s="6">
        <f>16%</f>
        <v>0.16</v>
      </c>
      <c r="O843" s="6" t="s">
        <v>7493</v>
      </c>
      <c r="P843" s="6" t="s">
        <v>7494</v>
      </c>
      <c r="Q843" s="8">
        <v>-0.27</v>
      </c>
      <c r="R843" s="6" t="s">
        <v>7495</v>
      </c>
      <c r="S843" s="6">
        <v>205</v>
      </c>
      <c r="T843" s="6" t="s">
        <v>7496</v>
      </c>
      <c r="U843" s="8">
        <v>-0.24</v>
      </c>
      <c r="V843" s="5" t="s">
        <v>7497</v>
      </c>
      <c r="W843" s="5" t="s">
        <v>7498</v>
      </c>
      <c r="X843" s="5" t="s">
        <v>7499</v>
      </c>
      <c r="Y843" s="5" t="s">
        <v>7500</v>
      </c>
      <c r="Z843" s="5" t="s">
        <v>7501</v>
      </c>
      <c r="AA843" s="5" t="s">
        <v>7502</v>
      </c>
      <c r="AB843" s="5" t="s">
        <v>7503</v>
      </c>
      <c r="AC843" s="5" t="s">
        <v>7504</v>
      </c>
      <c r="AD843" s="9" t="s">
        <v>7505</v>
      </c>
    </row>
    <row r="844" spans="1:30" ht="15.6" x14ac:dyDescent="0.3">
      <c r="A844" s="4">
        <v>85</v>
      </c>
      <c r="B844" s="5" t="s">
        <v>7506</v>
      </c>
      <c r="C844" s="6" t="s">
        <v>114</v>
      </c>
      <c r="D844" s="5" t="s">
        <v>7507</v>
      </c>
      <c r="E844" s="5" t="s">
        <v>48</v>
      </c>
      <c r="F844" s="6" t="s">
        <v>7508</v>
      </c>
      <c r="G844" s="6" t="s">
        <v>7509</v>
      </c>
      <c r="H844" s="6" t="s">
        <v>1432</v>
      </c>
      <c r="I844" s="6" t="s">
        <v>7510</v>
      </c>
      <c r="J844" s="6" t="s">
        <v>1479</v>
      </c>
      <c r="K844" s="6" t="s">
        <v>1039</v>
      </c>
      <c r="L844" s="8">
        <v>-0.13</v>
      </c>
      <c r="M844" s="6" t="s">
        <v>7511</v>
      </c>
      <c r="N844" s="8">
        <v>-0.13</v>
      </c>
      <c r="O844" s="6" t="s">
        <v>7512</v>
      </c>
      <c r="P844" s="6" t="s">
        <v>7513</v>
      </c>
      <c r="Q844" s="6">
        <f>7%</f>
        <v>7.0000000000000007E-2</v>
      </c>
      <c r="R844" s="6" t="s">
        <v>7514</v>
      </c>
      <c r="S844" s="6">
        <v>73</v>
      </c>
      <c r="T844" s="6" t="s">
        <v>7515</v>
      </c>
      <c r="U844" s="6">
        <f>1.1%</f>
        <v>1.1000000000000001E-2</v>
      </c>
      <c r="V844" s="6"/>
      <c r="W844" s="6"/>
      <c r="X844" s="6"/>
      <c r="Y844" s="6"/>
      <c r="Z844" s="6"/>
      <c r="AA844" s="6"/>
      <c r="AB844" s="6"/>
      <c r="AC844" s="6"/>
      <c r="AD844" s="7"/>
    </row>
    <row r="845" spans="1:30" ht="15.6" x14ac:dyDescent="0.3">
      <c r="A845" s="4">
        <v>86</v>
      </c>
      <c r="B845" s="5" t="s">
        <v>7516</v>
      </c>
      <c r="C845" s="6" t="s">
        <v>72</v>
      </c>
      <c r="D845" s="5" t="s">
        <v>7517</v>
      </c>
      <c r="E845" s="6"/>
      <c r="F845" s="6" t="s">
        <v>7518</v>
      </c>
      <c r="G845" s="6" t="s">
        <v>7519</v>
      </c>
      <c r="H845" s="6" t="s">
        <v>1432</v>
      </c>
      <c r="I845" s="6">
        <f>38%</f>
        <v>0.38</v>
      </c>
      <c r="J845" s="6" t="s">
        <v>454</v>
      </c>
      <c r="K845" s="6" t="s">
        <v>799</v>
      </c>
      <c r="L845" s="6" t="s">
        <v>217</v>
      </c>
      <c r="M845" s="6" t="s">
        <v>800</v>
      </c>
      <c r="N845" s="6" t="s">
        <v>217</v>
      </c>
      <c r="O845" s="6" t="s">
        <v>800</v>
      </c>
      <c r="P845" s="6" t="s">
        <v>217</v>
      </c>
      <c r="Q845" s="6">
        <f>0.016</f>
        <v>1.6E-2</v>
      </c>
      <c r="R845" s="6" t="s">
        <v>7520</v>
      </c>
      <c r="S845" s="6">
        <v>370</v>
      </c>
      <c r="T845" s="6" t="s">
        <v>217</v>
      </c>
      <c r="U845" s="6" t="s">
        <v>217</v>
      </c>
      <c r="V845" s="5" t="s">
        <v>7521</v>
      </c>
      <c r="W845" s="5" t="s">
        <v>7522</v>
      </c>
      <c r="X845" s="5" t="s">
        <v>7523</v>
      </c>
      <c r="Y845" s="5" t="s">
        <v>7524</v>
      </c>
      <c r="Z845" s="5" t="s">
        <v>7525</v>
      </c>
      <c r="AA845" s="5" t="s">
        <v>7524</v>
      </c>
      <c r="AB845" s="5" t="s">
        <v>7526</v>
      </c>
      <c r="AC845" s="5" t="s">
        <v>7522</v>
      </c>
      <c r="AD845" s="9" t="s">
        <v>7527</v>
      </c>
    </row>
    <row r="846" spans="1:30" ht="15.6" x14ac:dyDescent="0.3">
      <c r="A846" s="4">
        <v>87</v>
      </c>
      <c r="B846" s="5" t="s">
        <v>7528</v>
      </c>
      <c r="C846" s="6" t="s">
        <v>114</v>
      </c>
      <c r="D846" s="5" t="s">
        <v>7529</v>
      </c>
      <c r="E846" s="5" t="s">
        <v>48</v>
      </c>
      <c r="F846" s="6" t="s">
        <v>7530</v>
      </c>
      <c r="G846" s="6" t="s">
        <v>7531</v>
      </c>
      <c r="H846" s="6" t="s">
        <v>199</v>
      </c>
      <c r="I846" s="6" t="s">
        <v>7532</v>
      </c>
      <c r="J846" s="6" t="s">
        <v>131</v>
      </c>
      <c r="K846" s="6" t="s">
        <v>1401</v>
      </c>
      <c r="L846" s="8">
        <v>-0.39</v>
      </c>
      <c r="M846" s="6" t="s">
        <v>7533</v>
      </c>
      <c r="N846" s="8">
        <v>-0.39</v>
      </c>
      <c r="O846" s="6" t="s">
        <v>7534</v>
      </c>
      <c r="P846" s="6" t="s">
        <v>7535</v>
      </c>
      <c r="Q846" s="8">
        <v>-0.11</v>
      </c>
      <c r="R846" s="6" t="s">
        <v>7536</v>
      </c>
      <c r="S846" s="6">
        <v>100</v>
      </c>
      <c r="T846" s="6" t="s">
        <v>7537</v>
      </c>
      <c r="U846" s="8">
        <v>-0.19</v>
      </c>
      <c r="V846" s="5" t="s">
        <v>7538</v>
      </c>
      <c r="W846" s="5" t="s">
        <v>7539</v>
      </c>
      <c r="X846" s="5" t="s">
        <v>7540</v>
      </c>
      <c r="Y846" s="5" t="s">
        <v>6283</v>
      </c>
      <c r="Z846" s="5" t="s">
        <v>7541</v>
      </c>
      <c r="AA846" s="5" t="s">
        <v>7542</v>
      </c>
      <c r="AB846" s="5" t="s">
        <v>7543</v>
      </c>
      <c r="AC846" s="5" t="s">
        <v>7544</v>
      </c>
      <c r="AD846" s="7"/>
    </row>
    <row r="847" spans="1:30" ht="15.6" x14ac:dyDescent="0.3">
      <c r="A847" s="4">
        <v>88</v>
      </c>
      <c r="B847" s="5" t="s">
        <v>7545</v>
      </c>
      <c r="C847" s="6" t="s">
        <v>1013</v>
      </c>
      <c r="D847" s="5" t="s">
        <v>7546</v>
      </c>
      <c r="E847" s="5" t="s">
        <v>48</v>
      </c>
      <c r="F847" s="6" t="s">
        <v>7547</v>
      </c>
      <c r="G847" s="6" t="s">
        <v>7548</v>
      </c>
      <c r="H847" s="6" t="s">
        <v>199</v>
      </c>
      <c r="I847" s="8">
        <v>-0.37</v>
      </c>
      <c r="J847" s="6" t="s">
        <v>225</v>
      </c>
      <c r="K847" s="6" t="s">
        <v>7549</v>
      </c>
      <c r="L847" s="6">
        <f>51%</f>
        <v>0.51</v>
      </c>
      <c r="M847" s="6" t="s">
        <v>7550</v>
      </c>
      <c r="N847" s="6">
        <f>51%</f>
        <v>0.51</v>
      </c>
      <c r="O847" s="6" t="s">
        <v>7551</v>
      </c>
      <c r="P847" s="6" t="s">
        <v>7552</v>
      </c>
      <c r="Q847" s="6">
        <f>0.055</f>
        <v>5.5E-2</v>
      </c>
      <c r="R847" s="6" t="s">
        <v>7553</v>
      </c>
      <c r="S847" s="6">
        <v>100</v>
      </c>
      <c r="T847" s="6" t="s">
        <v>7554</v>
      </c>
      <c r="U847" s="6">
        <f>5.1%</f>
        <v>5.0999999999999997E-2</v>
      </c>
      <c r="V847" s="5" t="s">
        <v>7555</v>
      </c>
      <c r="W847" s="5" t="s">
        <v>6207</v>
      </c>
      <c r="X847" s="5" t="s">
        <v>7556</v>
      </c>
      <c r="Y847" s="5" t="s">
        <v>7557</v>
      </c>
      <c r="Z847" s="5" t="s">
        <v>7558</v>
      </c>
      <c r="AA847" s="5" t="s">
        <v>7559</v>
      </c>
      <c r="AB847" s="5" t="s">
        <v>7560</v>
      </c>
      <c r="AC847" s="5" t="s">
        <v>7561</v>
      </c>
      <c r="AD847" s="7"/>
    </row>
    <row r="848" spans="1:30" ht="15.6" x14ac:dyDescent="0.3">
      <c r="A848" s="4">
        <v>89</v>
      </c>
      <c r="B848" s="5" t="s">
        <v>7562</v>
      </c>
      <c r="C848" s="6" t="s">
        <v>304</v>
      </c>
      <c r="D848" s="5" t="s">
        <v>7563</v>
      </c>
      <c r="E848" s="5" t="s">
        <v>48</v>
      </c>
      <c r="F848" s="6" t="s">
        <v>7564</v>
      </c>
      <c r="G848" s="6" t="s">
        <v>7565</v>
      </c>
      <c r="H848" s="6" t="s">
        <v>199</v>
      </c>
      <c r="I848" s="8">
        <v>-0.44</v>
      </c>
      <c r="J848" s="6" t="s">
        <v>984</v>
      </c>
      <c r="K848" s="6" t="s">
        <v>7566</v>
      </c>
      <c r="L848" s="6">
        <f>30%</f>
        <v>0.3</v>
      </c>
      <c r="M848" s="6" t="s">
        <v>7567</v>
      </c>
      <c r="N848" s="6">
        <f>30%</f>
        <v>0.3</v>
      </c>
      <c r="O848" s="6" t="s">
        <v>7568</v>
      </c>
      <c r="P848" s="6" t="s">
        <v>7569</v>
      </c>
      <c r="Q848" s="6">
        <f>0.0076</f>
        <v>7.6E-3</v>
      </c>
      <c r="R848" s="6" t="s">
        <v>7570</v>
      </c>
      <c r="S848" s="6">
        <v>730</v>
      </c>
      <c r="T848" s="6" t="s">
        <v>7571</v>
      </c>
      <c r="U848" s="6">
        <f>0.6%</f>
        <v>6.0000000000000001E-3</v>
      </c>
      <c r="V848" s="5" t="s">
        <v>6794</v>
      </c>
      <c r="W848" s="5" t="s">
        <v>6357</v>
      </c>
      <c r="X848" s="5" t="s">
        <v>7572</v>
      </c>
      <c r="Y848" s="5" t="s">
        <v>7326</v>
      </c>
      <c r="Z848" s="5" t="s">
        <v>7573</v>
      </c>
      <c r="AA848" s="5" t="s">
        <v>7574</v>
      </c>
      <c r="AB848" s="5" t="s">
        <v>7575</v>
      </c>
      <c r="AC848" s="5" t="s">
        <v>7033</v>
      </c>
      <c r="AD848" s="9" t="s">
        <v>7576</v>
      </c>
    </row>
    <row r="849" spans="1:30" ht="15.6" x14ac:dyDescent="0.3">
      <c r="A849" s="4">
        <v>90</v>
      </c>
      <c r="B849" s="5" t="s">
        <v>7577</v>
      </c>
      <c r="C849" s="6" t="s">
        <v>72</v>
      </c>
      <c r="D849" s="5" t="s">
        <v>7578</v>
      </c>
      <c r="E849" s="5" t="s">
        <v>48</v>
      </c>
      <c r="F849" s="6" t="s">
        <v>7579</v>
      </c>
      <c r="G849" s="6" t="s">
        <v>7580</v>
      </c>
      <c r="H849" s="6" t="s">
        <v>199</v>
      </c>
      <c r="I849" s="8">
        <v>-0.53</v>
      </c>
      <c r="J849" s="6" t="s">
        <v>973</v>
      </c>
      <c r="K849" s="6" t="s">
        <v>7581</v>
      </c>
      <c r="L849" s="8">
        <v>-0.02</v>
      </c>
      <c r="M849" s="6" t="s">
        <v>7582</v>
      </c>
      <c r="N849" s="8">
        <v>-0.02</v>
      </c>
      <c r="O849" s="6" t="s">
        <v>7583</v>
      </c>
      <c r="P849" s="6" t="s">
        <v>7584</v>
      </c>
      <c r="Q849" s="6">
        <f>0.024</f>
        <v>2.4E-2</v>
      </c>
      <c r="R849" s="6" t="s">
        <v>7585</v>
      </c>
      <c r="S849" s="6">
        <v>4</v>
      </c>
      <c r="T849" s="6" t="s">
        <v>7586</v>
      </c>
      <c r="U849" s="6"/>
      <c r="V849" s="6"/>
      <c r="W849" s="6"/>
      <c r="X849" s="6"/>
      <c r="Y849" s="6"/>
      <c r="Z849" s="6"/>
      <c r="AA849" s="6"/>
      <c r="AB849" s="6"/>
      <c r="AC849" s="6"/>
      <c r="AD849" s="7"/>
    </row>
    <row r="850" spans="1:30" ht="15.6" x14ac:dyDescent="0.3">
      <c r="A850" s="4">
        <v>91</v>
      </c>
      <c r="B850" s="5" t="s">
        <v>7587</v>
      </c>
      <c r="C850" s="6" t="s">
        <v>126</v>
      </c>
      <c r="D850" s="5" t="s">
        <v>7588</v>
      </c>
      <c r="E850" s="5" t="s">
        <v>48</v>
      </c>
      <c r="F850" s="6" t="s">
        <v>7589</v>
      </c>
      <c r="G850" s="6" t="s">
        <v>7590</v>
      </c>
      <c r="H850" s="6" t="s">
        <v>199</v>
      </c>
      <c r="I850" s="8">
        <v>-0.93</v>
      </c>
      <c r="J850" s="6" t="s">
        <v>1649</v>
      </c>
      <c r="K850" s="6" t="s">
        <v>7591</v>
      </c>
      <c r="L850" s="8">
        <v>-0.48</v>
      </c>
      <c r="M850" s="6" t="s">
        <v>7592</v>
      </c>
      <c r="N850" s="8">
        <v>-0.48</v>
      </c>
      <c r="O850" s="6" t="s">
        <v>7593</v>
      </c>
      <c r="P850" s="6" t="s">
        <v>7594</v>
      </c>
      <c r="Q850" s="6">
        <f>0.038</f>
        <v>3.7999999999999999E-2</v>
      </c>
      <c r="R850" s="6">
        <v>754</v>
      </c>
      <c r="S850" s="6">
        <v>28</v>
      </c>
      <c r="T850" s="6" t="s">
        <v>7595</v>
      </c>
      <c r="U850" s="6">
        <f>2.9%</f>
        <v>2.8999999999999998E-2</v>
      </c>
      <c r="V850" s="5" t="s">
        <v>7596</v>
      </c>
      <c r="W850" s="5" t="s">
        <v>7597</v>
      </c>
      <c r="X850" s="5" t="s">
        <v>7598</v>
      </c>
      <c r="Y850" s="5" t="s">
        <v>7597</v>
      </c>
      <c r="Z850" s="6"/>
      <c r="AA850" s="6"/>
      <c r="AB850" s="6"/>
      <c r="AC850" s="6"/>
      <c r="AD850" s="7"/>
    </row>
    <row r="851" spans="1:30" ht="15.6" x14ac:dyDescent="0.3">
      <c r="A851" s="4">
        <v>92</v>
      </c>
      <c r="B851" s="5" t="s">
        <v>7599</v>
      </c>
      <c r="C851" s="6" t="s">
        <v>304</v>
      </c>
      <c r="D851" s="5" t="s">
        <v>7600</v>
      </c>
      <c r="E851" s="5" t="s">
        <v>33</v>
      </c>
      <c r="F851" s="6" t="s">
        <v>7601</v>
      </c>
      <c r="G851" s="6" t="s">
        <v>7602</v>
      </c>
      <c r="H851" s="6" t="s">
        <v>199</v>
      </c>
      <c r="I851" s="8">
        <v>-0.61</v>
      </c>
      <c r="J851" s="6" t="s">
        <v>272</v>
      </c>
      <c r="K851" s="6" t="s">
        <v>7603</v>
      </c>
      <c r="L851" s="8">
        <v>-0.4</v>
      </c>
      <c r="M851" s="6" t="s">
        <v>7604</v>
      </c>
      <c r="N851" s="8">
        <v>-0.4</v>
      </c>
      <c r="O851" s="6" t="s">
        <v>7605</v>
      </c>
      <c r="P851" s="6" t="s">
        <v>7606</v>
      </c>
      <c r="Q851" s="6">
        <f>0.052</f>
        <v>5.1999999999999998E-2</v>
      </c>
      <c r="R851" s="6">
        <v>782</v>
      </c>
      <c r="S851" s="6">
        <v>8</v>
      </c>
      <c r="T851" s="6" t="s">
        <v>7607</v>
      </c>
      <c r="U851" s="6">
        <f>15%</f>
        <v>0.15</v>
      </c>
      <c r="V851" s="5" t="s">
        <v>7608</v>
      </c>
      <c r="W851" s="5" t="s">
        <v>7609</v>
      </c>
      <c r="X851" s="5" t="s">
        <v>7610</v>
      </c>
      <c r="Y851" s="5" t="s">
        <v>7609</v>
      </c>
      <c r="Z851" s="5" t="s">
        <v>7611</v>
      </c>
      <c r="AA851" s="5" t="s">
        <v>7612</v>
      </c>
      <c r="AB851" s="6"/>
      <c r="AC851" s="6"/>
      <c r="AD851" s="7"/>
    </row>
    <row r="852" spans="1:30" ht="15.6" x14ac:dyDescent="0.3">
      <c r="A852" s="4">
        <v>93</v>
      </c>
      <c r="B852" s="5" t="s">
        <v>7613</v>
      </c>
      <c r="C852" s="6" t="s">
        <v>304</v>
      </c>
      <c r="D852" s="5" t="s">
        <v>7614</v>
      </c>
      <c r="E852" s="5" t="s">
        <v>33</v>
      </c>
      <c r="F852" s="6" t="s">
        <v>7615</v>
      </c>
      <c r="G852" s="6" t="s">
        <v>7616</v>
      </c>
      <c r="H852" s="6" t="s">
        <v>431</v>
      </c>
      <c r="I852" s="6" t="s">
        <v>6347</v>
      </c>
      <c r="J852" s="6" t="s">
        <v>118</v>
      </c>
      <c r="K852" s="6" t="s">
        <v>7617</v>
      </c>
      <c r="L852" s="6" t="s">
        <v>7618</v>
      </c>
      <c r="M852" s="6" t="s">
        <v>7619</v>
      </c>
      <c r="N852" s="6" t="s">
        <v>7618</v>
      </c>
      <c r="O852" s="6" t="s">
        <v>7620</v>
      </c>
      <c r="P852" s="6" t="s">
        <v>7621</v>
      </c>
      <c r="Q852" s="6">
        <f>2.4%</f>
        <v>2.4E-2</v>
      </c>
      <c r="R852" s="6" t="s">
        <v>7622</v>
      </c>
      <c r="S852" s="6">
        <v>239</v>
      </c>
      <c r="T852" s="6" t="s">
        <v>7623</v>
      </c>
      <c r="U852" s="6">
        <f>20%</f>
        <v>0.2</v>
      </c>
      <c r="V852" s="6"/>
      <c r="W852" s="6"/>
      <c r="X852" s="6"/>
      <c r="Y852" s="6"/>
      <c r="Z852" s="6"/>
      <c r="AA852" s="6"/>
      <c r="AB852" s="6"/>
      <c r="AC852" s="6"/>
      <c r="AD852" s="7"/>
    </row>
    <row r="853" spans="1:30" ht="15.6" x14ac:dyDescent="0.3">
      <c r="A853" s="4">
        <v>94</v>
      </c>
      <c r="B853" s="5" t="s">
        <v>7624</v>
      </c>
      <c r="C853" s="6" t="s">
        <v>304</v>
      </c>
      <c r="D853" s="5" t="s">
        <v>7625</v>
      </c>
      <c r="E853" s="5" t="s">
        <v>48</v>
      </c>
      <c r="F853" s="6" t="s">
        <v>7626</v>
      </c>
      <c r="G853" s="6" t="s">
        <v>7627</v>
      </c>
      <c r="H853" s="6" t="s">
        <v>431</v>
      </c>
      <c r="I853" s="8">
        <v>-0.46</v>
      </c>
      <c r="J853" s="6" t="s">
        <v>571</v>
      </c>
      <c r="K853" s="6" t="s">
        <v>226</v>
      </c>
      <c r="L853" s="6">
        <f>13%</f>
        <v>0.13</v>
      </c>
      <c r="M853" s="6" t="s">
        <v>1556</v>
      </c>
      <c r="N853" s="6">
        <f>13%</f>
        <v>0.13</v>
      </c>
      <c r="O853" s="6" t="s">
        <v>7628</v>
      </c>
      <c r="P853" s="6" t="s">
        <v>7629</v>
      </c>
      <c r="Q853" s="6">
        <f>0.026</f>
        <v>2.5999999999999999E-2</v>
      </c>
      <c r="R853" s="6" t="s">
        <v>7630</v>
      </c>
      <c r="S853" s="6">
        <v>67</v>
      </c>
      <c r="T853" s="6" t="s">
        <v>6333</v>
      </c>
      <c r="U853" s="6">
        <f>9.8%</f>
        <v>9.8000000000000004E-2</v>
      </c>
      <c r="V853" s="5" t="s">
        <v>7631</v>
      </c>
      <c r="W853" s="5" t="s">
        <v>7632</v>
      </c>
      <c r="X853" s="5" t="s">
        <v>7633</v>
      </c>
      <c r="Y853" s="5" t="s">
        <v>7632</v>
      </c>
      <c r="Z853" s="5" t="s">
        <v>7634</v>
      </c>
      <c r="AA853" s="5" t="s">
        <v>7632</v>
      </c>
      <c r="AB853" s="5" t="s">
        <v>7635</v>
      </c>
      <c r="AC853" s="5" t="s">
        <v>7632</v>
      </c>
      <c r="AD853" s="7"/>
    </row>
    <row r="854" spans="1:30" ht="15.6" x14ac:dyDescent="0.3">
      <c r="A854" s="4">
        <v>95</v>
      </c>
      <c r="B854" s="5" t="s">
        <v>7636</v>
      </c>
      <c r="C854" s="6" t="s">
        <v>173</v>
      </c>
      <c r="D854" s="5" t="s">
        <v>7637</v>
      </c>
      <c r="E854" s="5" t="s">
        <v>48</v>
      </c>
      <c r="F854" s="6" t="s">
        <v>7638</v>
      </c>
      <c r="G854" s="6" t="s">
        <v>7639</v>
      </c>
      <c r="H854" s="6" t="s">
        <v>431</v>
      </c>
      <c r="I854" s="6" t="s">
        <v>7640</v>
      </c>
      <c r="J854" s="6" t="s">
        <v>1443</v>
      </c>
      <c r="K854" s="6" t="s">
        <v>7641</v>
      </c>
      <c r="L854" s="6" t="s">
        <v>3325</v>
      </c>
      <c r="M854" s="6" t="s">
        <v>7642</v>
      </c>
      <c r="N854" s="6" t="s">
        <v>3325</v>
      </c>
      <c r="O854" s="6" t="s">
        <v>7643</v>
      </c>
      <c r="P854" s="6" t="s">
        <v>7644</v>
      </c>
      <c r="Q854" s="6">
        <f>2.7%</f>
        <v>2.7000000000000003E-2</v>
      </c>
      <c r="R854" s="6" t="s">
        <v>7645</v>
      </c>
      <c r="S854" s="6">
        <v>553</v>
      </c>
      <c r="T854" s="6" t="s">
        <v>7646</v>
      </c>
      <c r="U854" s="6" t="s">
        <v>3915</v>
      </c>
      <c r="V854" s="5" t="s">
        <v>6509</v>
      </c>
      <c r="W854" s="5" t="s">
        <v>6510</v>
      </c>
      <c r="X854" s="6"/>
      <c r="Y854" s="6"/>
      <c r="Z854" s="6"/>
      <c r="AA854" s="6"/>
      <c r="AB854" s="6"/>
      <c r="AC854" s="6"/>
      <c r="AD854" s="7"/>
    </row>
    <row r="855" spans="1:30" ht="15.6" x14ac:dyDescent="0.3">
      <c r="A855" s="4">
        <v>96</v>
      </c>
      <c r="B855" s="5" t="s">
        <v>7647</v>
      </c>
      <c r="C855" s="6" t="s">
        <v>291</v>
      </c>
      <c r="D855" s="5" t="s">
        <v>7648</v>
      </c>
      <c r="E855" s="5" t="s">
        <v>33</v>
      </c>
      <c r="F855" s="6" t="s">
        <v>7649</v>
      </c>
      <c r="G855" s="6" t="s">
        <v>7650</v>
      </c>
      <c r="H855" s="6" t="s">
        <v>431</v>
      </c>
      <c r="I855" s="6" t="s">
        <v>1195</v>
      </c>
      <c r="J855" s="6" t="s">
        <v>454</v>
      </c>
      <c r="K855" s="6" t="s">
        <v>7651</v>
      </c>
      <c r="L855" s="8">
        <v>-0.17</v>
      </c>
      <c r="M855" s="6" t="s">
        <v>7652</v>
      </c>
      <c r="N855" s="8">
        <v>-0.17</v>
      </c>
      <c r="O855" s="6" t="s">
        <v>7653</v>
      </c>
      <c r="P855" s="6" t="s">
        <v>7654</v>
      </c>
      <c r="Q855" s="6">
        <f>4.6%</f>
        <v>4.5999999999999999E-2</v>
      </c>
      <c r="R855" s="6" t="s">
        <v>7655</v>
      </c>
      <c r="S855" s="6">
        <v>58</v>
      </c>
      <c r="T855" s="6" t="s">
        <v>3597</v>
      </c>
      <c r="U855" s="6">
        <f>1.4%</f>
        <v>1.3999999999999999E-2</v>
      </c>
      <c r="V855" s="5" t="s">
        <v>7656</v>
      </c>
      <c r="W855" s="5" t="s">
        <v>7657</v>
      </c>
      <c r="X855" s="5" t="s">
        <v>7658</v>
      </c>
      <c r="Y855" s="5" t="s">
        <v>7659</v>
      </c>
      <c r="Z855" s="5" t="s">
        <v>7660</v>
      </c>
      <c r="AA855" s="5" t="s">
        <v>7661</v>
      </c>
      <c r="AB855" s="6"/>
      <c r="AC855" s="6"/>
      <c r="AD855" s="7"/>
    </row>
    <row r="856" spans="1:30" ht="15.6" x14ac:dyDescent="0.3">
      <c r="A856" s="4">
        <v>97</v>
      </c>
      <c r="B856" s="5" t="s">
        <v>7662</v>
      </c>
      <c r="C856" s="6" t="s">
        <v>72</v>
      </c>
      <c r="D856" s="5" t="s">
        <v>7663</v>
      </c>
      <c r="E856" s="5" t="s">
        <v>48</v>
      </c>
      <c r="F856" s="6" t="s">
        <v>7664</v>
      </c>
      <c r="G856" s="6" t="s">
        <v>7665</v>
      </c>
      <c r="H856" s="6" t="s">
        <v>431</v>
      </c>
      <c r="I856" s="8">
        <v>-0.56000000000000005</v>
      </c>
      <c r="J856" s="6" t="s">
        <v>1390</v>
      </c>
      <c r="K856" s="6" t="s">
        <v>119</v>
      </c>
      <c r="L856" s="8">
        <v>-0.12</v>
      </c>
      <c r="M856" s="6" t="s">
        <v>779</v>
      </c>
      <c r="N856" s="8">
        <v>-0.12</v>
      </c>
      <c r="O856" s="6" t="s">
        <v>7666</v>
      </c>
      <c r="P856" s="6" t="s">
        <v>7667</v>
      </c>
      <c r="Q856" s="6">
        <f>0.033</f>
        <v>3.3000000000000002E-2</v>
      </c>
      <c r="R856" s="6" t="s">
        <v>7668</v>
      </c>
      <c r="S856" s="6">
        <v>71</v>
      </c>
      <c r="T856" s="6" t="s">
        <v>7669</v>
      </c>
      <c r="U856" s="8">
        <v>-0.3</v>
      </c>
      <c r="V856" s="5" t="s">
        <v>7670</v>
      </c>
      <c r="W856" s="5" t="s">
        <v>7671</v>
      </c>
      <c r="X856" s="5" t="s">
        <v>7672</v>
      </c>
      <c r="Y856" s="5" t="s">
        <v>7671</v>
      </c>
      <c r="Z856" s="5" t="s">
        <v>7673</v>
      </c>
      <c r="AA856" s="5" t="s">
        <v>7674</v>
      </c>
      <c r="AB856" s="5" t="s">
        <v>7675</v>
      </c>
      <c r="AC856" s="5" t="s">
        <v>7671</v>
      </c>
      <c r="AD856" s="7"/>
    </row>
    <row r="857" spans="1:30" ht="15.6" x14ac:dyDescent="0.3">
      <c r="A857" s="4">
        <v>98</v>
      </c>
      <c r="B857" s="5" t="s">
        <v>7676</v>
      </c>
      <c r="C857" s="6" t="s">
        <v>72</v>
      </c>
      <c r="D857" s="5" t="s">
        <v>7677</v>
      </c>
      <c r="E857" s="5" t="s">
        <v>33</v>
      </c>
      <c r="F857" s="6" t="s">
        <v>7678</v>
      </c>
      <c r="G857" s="6" t="s">
        <v>7679</v>
      </c>
      <c r="H857" s="6" t="s">
        <v>431</v>
      </c>
      <c r="I857" s="6" t="s">
        <v>7680</v>
      </c>
      <c r="J857" s="6" t="s">
        <v>296</v>
      </c>
      <c r="K857" s="6" t="s">
        <v>7369</v>
      </c>
      <c r="L857" s="6">
        <f>77%</f>
        <v>0.77</v>
      </c>
      <c r="M857" s="6" t="s">
        <v>7681</v>
      </c>
      <c r="N857" s="6">
        <f>77%</f>
        <v>0.77</v>
      </c>
      <c r="O857" s="6" t="s">
        <v>7682</v>
      </c>
      <c r="P857" s="6" t="s">
        <v>7683</v>
      </c>
      <c r="Q857" s="6">
        <f>0.084</f>
        <v>8.4000000000000005E-2</v>
      </c>
      <c r="R857" s="6" t="s">
        <v>7684</v>
      </c>
      <c r="S857" s="6">
        <v>140</v>
      </c>
      <c r="T857" s="6" t="s">
        <v>7685</v>
      </c>
      <c r="U857" s="6" t="s">
        <v>9262</v>
      </c>
      <c r="V857" s="5" t="s">
        <v>7686</v>
      </c>
      <c r="W857" s="5" t="s">
        <v>7300</v>
      </c>
      <c r="X857" s="5" t="s">
        <v>7687</v>
      </c>
      <c r="Y857" s="5" t="s">
        <v>7300</v>
      </c>
      <c r="Z857" s="5" t="s">
        <v>7688</v>
      </c>
      <c r="AA857" s="5" t="s">
        <v>7300</v>
      </c>
      <c r="AB857" s="5" t="s">
        <v>7299</v>
      </c>
      <c r="AC857" s="5" t="s">
        <v>7300</v>
      </c>
      <c r="AD857" s="9" t="s">
        <v>7689</v>
      </c>
    </row>
    <row r="858" spans="1:30" ht="15.6" x14ac:dyDescent="0.3">
      <c r="A858" s="4">
        <v>99</v>
      </c>
      <c r="B858" s="5" t="s">
        <v>7690</v>
      </c>
      <c r="C858" s="6" t="s">
        <v>114</v>
      </c>
      <c r="D858" s="5" t="s">
        <v>7691</v>
      </c>
      <c r="E858" s="5" t="s">
        <v>48</v>
      </c>
      <c r="F858" s="6" t="s">
        <v>7692</v>
      </c>
      <c r="G858" s="6" t="s">
        <v>7693</v>
      </c>
      <c r="H858" s="6" t="s">
        <v>431</v>
      </c>
      <c r="I858" s="8">
        <v>-0.4</v>
      </c>
      <c r="J858" s="6" t="s">
        <v>1453</v>
      </c>
      <c r="K858" s="6" t="s">
        <v>7694</v>
      </c>
      <c r="L858" s="8">
        <v>-0.23</v>
      </c>
      <c r="M858" s="6" t="s">
        <v>7695</v>
      </c>
      <c r="N858" s="8">
        <v>-0.23</v>
      </c>
      <c r="O858" s="6" t="s">
        <v>6350</v>
      </c>
      <c r="P858" s="6" t="s">
        <v>7696</v>
      </c>
      <c r="Q858" s="6">
        <f>0.029</f>
        <v>2.9000000000000001E-2</v>
      </c>
      <c r="R858" s="6" t="s">
        <v>7697</v>
      </c>
      <c r="S858" s="6">
        <v>488</v>
      </c>
      <c r="T858" s="6" t="s">
        <v>7698</v>
      </c>
      <c r="U858" s="6">
        <f>2.1%</f>
        <v>2.1000000000000001E-2</v>
      </c>
      <c r="V858" s="5" t="s">
        <v>7699</v>
      </c>
      <c r="W858" s="5" t="s">
        <v>7237</v>
      </c>
      <c r="X858" s="5" t="s">
        <v>7700</v>
      </c>
      <c r="Y858" s="5" t="s">
        <v>6319</v>
      </c>
      <c r="Z858" s="5" t="s">
        <v>7701</v>
      </c>
      <c r="AA858" s="5" t="s">
        <v>7702</v>
      </c>
      <c r="AB858" s="5" t="s">
        <v>7703</v>
      </c>
      <c r="AC858" s="5" t="s">
        <v>7702</v>
      </c>
      <c r="AD858" s="7"/>
    </row>
    <row r="859" spans="1:30" ht="15.6" x14ac:dyDescent="0.3">
      <c r="A859" s="4">
        <v>100</v>
      </c>
      <c r="B859" s="5" t="s">
        <v>7704</v>
      </c>
      <c r="C859" s="6" t="s">
        <v>72</v>
      </c>
      <c r="D859" s="5" t="s">
        <v>7705</v>
      </c>
      <c r="E859" s="5" t="s">
        <v>33</v>
      </c>
      <c r="F859" s="6" t="s">
        <v>7706</v>
      </c>
      <c r="G859" s="6" t="s">
        <v>7707</v>
      </c>
      <c r="H859" s="6" t="s">
        <v>431</v>
      </c>
      <c r="I859" s="8">
        <v>-0.9</v>
      </c>
      <c r="J859" s="6" t="s">
        <v>296</v>
      </c>
      <c r="K859" s="6" t="s">
        <v>7708</v>
      </c>
      <c r="L859" s="6">
        <f>91%</f>
        <v>0.91</v>
      </c>
      <c r="M859" s="6" t="s">
        <v>6628</v>
      </c>
      <c r="N859" s="6">
        <f>91%</f>
        <v>0.91</v>
      </c>
      <c r="O859" s="6" t="s">
        <v>7709</v>
      </c>
      <c r="P859" s="6" t="s">
        <v>7710</v>
      </c>
      <c r="Q859" s="6">
        <f>0.025</f>
        <v>2.5000000000000001E-2</v>
      </c>
      <c r="R859" s="6" t="s">
        <v>7711</v>
      </c>
      <c r="S859" s="6">
        <v>15</v>
      </c>
      <c r="T859" s="6" t="s">
        <v>7712</v>
      </c>
      <c r="U859" s="6">
        <f>90%</f>
        <v>0.9</v>
      </c>
      <c r="V859" s="5" t="s">
        <v>7713</v>
      </c>
      <c r="W859" s="5" t="s">
        <v>7714</v>
      </c>
      <c r="X859" s="5" t="s">
        <v>7715</v>
      </c>
      <c r="Y859" s="5" t="s">
        <v>7716</v>
      </c>
      <c r="Z859" s="5" t="s">
        <v>7717</v>
      </c>
      <c r="AA859" s="5" t="s">
        <v>7718</v>
      </c>
      <c r="AB859" s="5" t="s">
        <v>7719</v>
      </c>
      <c r="AC859" s="5" t="s">
        <v>7720</v>
      </c>
      <c r="AD859" s="9" t="s">
        <v>7721</v>
      </c>
    </row>
    <row r="860" spans="1:30" ht="15.6" x14ac:dyDescent="0.3">
      <c r="A860" s="4">
        <v>101</v>
      </c>
      <c r="B860" s="5" t="s">
        <v>7722</v>
      </c>
      <c r="C860" s="6" t="s">
        <v>31</v>
      </c>
      <c r="D860" s="5" t="s">
        <v>7723</v>
      </c>
      <c r="E860" s="5" t="s">
        <v>33</v>
      </c>
      <c r="F860" s="6" t="s">
        <v>886</v>
      </c>
      <c r="G860" s="6" t="s">
        <v>7724</v>
      </c>
      <c r="H860" s="6" t="s">
        <v>1453</v>
      </c>
      <c r="I860" s="6" t="s">
        <v>1168</v>
      </c>
      <c r="J860" s="6" t="s">
        <v>3975</v>
      </c>
      <c r="K860" s="6" t="s">
        <v>4666</v>
      </c>
      <c r="L860" s="6" t="s">
        <v>217</v>
      </c>
      <c r="M860" s="6" t="s">
        <v>7725</v>
      </c>
      <c r="N860" s="6" t="s">
        <v>5311</v>
      </c>
      <c r="O860" s="6" t="s">
        <v>7726</v>
      </c>
      <c r="P860" s="6" t="s">
        <v>7727</v>
      </c>
      <c r="Q860" s="6">
        <f>0.34%</f>
        <v>3.4000000000000002E-3</v>
      </c>
      <c r="R860" s="6" t="s">
        <v>7728</v>
      </c>
      <c r="S860" s="6">
        <v>8</v>
      </c>
      <c r="T860" s="6" t="s">
        <v>2951</v>
      </c>
      <c r="U860" s="8">
        <v>-0.65</v>
      </c>
      <c r="V860" s="5" t="s">
        <v>6648</v>
      </c>
      <c r="W860" s="5" t="s">
        <v>6649</v>
      </c>
      <c r="X860" s="5" t="s">
        <v>7729</v>
      </c>
      <c r="Y860" s="5" t="s">
        <v>7730</v>
      </c>
      <c r="Z860" s="5" t="s">
        <v>7731</v>
      </c>
      <c r="AA860" s="5" t="s">
        <v>7732</v>
      </c>
      <c r="AB860" s="5" t="s">
        <v>7733</v>
      </c>
      <c r="AC860" s="5" t="s">
        <v>7734</v>
      </c>
      <c r="AD860" s="7"/>
    </row>
    <row r="861" spans="1:30" ht="15.6" x14ac:dyDescent="0.3">
      <c r="A861" s="4">
        <v>102</v>
      </c>
      <c r="B861" s="5" t="s">
        <v>7735</v>
      </c>
      <c r="C861" s="6" t="s">
        <v>60</v>
      </c>
      <c r="D861" s="5" t="s">
        <v>7736</v>
      </c>
      <c r="E861" s="5" t="s">
        <v>48</v>
      </c>
      <c r="F861" s="6" t="s">
        <v>7737</v>
      </c>
      <c r="G861" s="6" t="s">
        <v>7738</v>
      </c>
      <c r="H861" s="6" t="s">
        <v>1453</v>
      </c>
      <c r="I861" s="6" t="s">
        <v>7463</v>
      </c>
      <c r="J861" s="6" t="s">
        <v>606</v>
      </c>
      <c r="K861" s="6" t="s">
        <v>7739</v>
      </c>
      <c r="L861" s="8">
        <v>-0.25</v>
      </c>
      <c r="M861" s="6" t="s">
        <v>7740</v>
      </c>
      <c r="N861" s="8">
        <v>-0.25</v>
      </c>
      <c r="O861" s="6" t="s">
        <v>7741</v>
      </c>
      <c r="P861" s="6" t="s">
        <v>7742</v>
      </c>
      <c r="Q861" s="8">
        <v>-0.54</v>
      </c>
      <c r="R861" s="6" t="s">
        <v>7743</v>
      </c>
      <c r="S861" s="6">
        <v>158</v>
      </c>
      <c r="T861" s="6" t="s">
        <v>7744</v>
      </c>
      <c r="U861" s="8">
        <v>-0.61</v>
      </c>
      <c r="V861" s="5" t="s">
        <v>7745</v>
      </c>
      <c r="W861" s="5" t="s">
        <v>7746</v>
      </c>
      <c r="X861" s="5" t="s">
        <v>7747</v>
      </c>
      <c r="Y861" s="5" t="s">
        <v>7748</v>
      </c>
      <c r="Z861" s="5" t="s">
        <v>7749</v>
      </c>
      <c r="AA861" s="5" t="s">
        <v>7750</v>
      </c>
      <c r="AB861" s="5" t="s">
        <v>7751</v>
      </c>
      <c r="AC861" s="5" t="s">
        <v>7752</v>
      </c>
      <c r="AD861" s="9" t="s">
        <v>7753</v>
      </c>
    </row>
    <row r="862" spans="1:30" ht="15.6" x14ac:dyDescent="0.3">
      <c r="A862" s="4">
        <v>103</v>
      </c>
      <c r="B862" s="5" t="s">
        <v>7754</v>
      </c>
      <c r="C862" s="6" t="s">
        <v>85</v>
      </c>
      <c r="D862" s="5" t="s">
        <v>7755</v>
      </c>
      <c r="E862" s="5" t="s">
        <v>33</v>
      </c>
      <c r="F862" s="6" t="s">
        <v>7756</v>
      </c>
      <c r="G862" s="6" t="s">
        <v>7757</v>
      </c>
      <c r="H862" s="6" t="s">
        <v>1453</v>
      </c>
      <c r="I862" s="8">
        <v>-0.87</v>
      </c>
      <c r="J862" s="6" t="s">
        <v>259</v>
      </c>
      <c r="K862" s="6" t="s">
        <v>7758</v>
      </c>
      <c r="L862" s="6" t="s">
        <v>573</v>
      </c>
      <c r="M862" s="6" t="s">
        <v>7759</v>
      </c>
      <c r="N862" s="6" t="s">
        <v>4443</v>
      </c>
      <c r="O862" s="6" t="s">
        <v>7760</v>
      </c>
      <c r="P862" s="6" t="s">
        <v>7761</v>
      </c>
      <c r="Q862" s="6">
        <f>0.00048</f>
        <v>4.8000000000000001E-4</v>
      </c>
      <c r="R862" s="6" t="s">
        <v>7762</v>
      </c>
      <c r="S862" s="6">
        <v>177</v>
      </c>
      <c r="T862" s="6" t="s">
        <v>7763</v>
      </c>
      <c r="U862" s="6">
        <f>66%</f>
        <v>0.66</v>
      </c>
      <c r="V862" s="5" t="s">
        <v>7764</v>
      </c>
      <c r="W862" s="5" t="s">
        <v>7765</v>
      </c>
      <c r="X862" s="5" t="s">
        <v>7766</v>
      </c>
      <c r="Y862" s="5" t="s">
        <v>7765</v>
      </c>
      <c r="Z862" s="5" t="s">
        <v>7767</v>
      </c>
      <c r="AA862" s="5" t="s">
        <v>7765</v>
      </c>
      <c r="AB862" s="5" t="s">
        <v>7768</v>
      </c>
      <c r="AC862" s="5" t="s">
        <v>7769</v>
      </c>
      <c r="AD862" s="9" t="s">
        <v>7770</v>
      </c>
    </row>
    <row r="863" spans="1:30" ht="15.6" x14ac:dyDescent="0.3">
      <c r="A863" s="4">
        <v>104</v>
      </c>
      <c r="B863" s="5" t="s">
        <v>7771</v>
      </c>
      <c r="C863" s="6" t="s">
        <v>370</v>
      </c>
      <c r="D863" s="5" t="s">
        <v>7772</v>
      </c>
      <c r="E863" s="5" t="s">
        <v>48</v>
      </c>
      <c r="F863" s="6" t="s">
        <v>7773</v>
      </c>
      <c r="G863" s="6" t="s">
        <v>7774</v>
      </c>
      <c r="H863" s="6" t="s">
        <v>1453</v>
      </c>
      <c r="I863" s="6" t="s">
        <v>7775</v>
      </c>
      <c r="J863" s="6" t="s">
        <v>284</v>
      </c>
      <c r="K863" s="6" t="s">
        <v>7776</v>
      </c>
      <c r="L863" s="6">
        <f>24%</f>
        <v>0.24</v>
      </c>
      <c r="M863" s="6" t="s">
        <v>7777</v>
      </c>
      <c r="N863" s="6">
        <f>24%</f>
        <v>0.24</v>
      </c>
      <c r="O863" s="6" t="s">
        <v>7778</v>
      </c>
      <c r="P863" s="6" t="s">
        <v>7779</v>
      </c>
      <c r="Q863" s="6">
        <f>41%</f>
        <v>0.41</v>
      </c>
      <c r="R863" s="6" t="s">
        <v>7780</v>
      </c>
      <c r="S863" s="6">
        <v>33</v>
      </c>
      <c r="T863" s="6" t="s">
        <v>703</v>
      </c>
      <c r="U863" s="6">
        <f>4.1%</f>
        <v>4.0999999999999995E-2</v>
      </c>
      <c r="V863" s="5" t="s">
        <v>7781</v>
      </c>
      <c r="W863" s="5" t="s">
        <v>7782</v>
      </c>
      <c r="X863" s="5" t="s">
        <v>7783</v>
      </c>
      <c r="Y863" s="5" t="s">
        <v>6602</v>
      </c>
      <c r="Z863" s="5" t="s">
        <v>7784</v>
      </c>
      <c r="AA863" s="5" t="s">
        <v>6602</v>
      </c>
      <c r="AB863" s="6"/>
      <c r="AC863" s="6"/>
      <c r="AD863" s="7"/>
    </row>
    <row r="864" spans="1:30" ht="15.6" x14ac:dyDescent="0.3">
      <c r="A864" s="4">
        <v>105</v>
      </c>
      <c r="B864" s="5" t="s">
        <v>7785</v>
      </c>
      <c r="C864" s="6" t="s">
        <v>173</v>
      </c>
      <c r="D864" s="5" t="s">
        <v>7786</v>
      </c>
      <c r="E864" s="5" t="s">
        <v>33</v>
      </c>
      <c r="F864" s="6" t="s">
        <v>7787</v>
      </c>
      <c r="G864" s="6" t="s">
        <v>7788</v>
      </c>
      <c r="H864" s="6" t="s">
        <v>1453</v>
      </c>
      <c r="I864" s="8">
        <v>-0.63</v>
      </c>
      <c r="J864" s="6" t="s">
        <v>259</v>
      </c>
      <c r="K864" s="6" t="s">
        <v>78</v>
      </c>
      <c r="L864" s="8">
        <v>-0.12</v>
      </c>
      <c r="M864" s="6" t="s">
        <v>7789</v>
      </c>
      <c r="N864" s="8">
        <v>-0.12</v>
      </c>
      <c r="O864" s="6" t="s">
        <v>7790</v>
      </c>
      <c r="P864" s="6" t="s">
        <v>7791</v>
      </c>
      <c r="Q864" s="6">
        <f>0.042</f>
        <v>4.2000000000000003E-2</v>
      </c>
      <c r="R864" s="6" t="s">
        <v>7792</v>
      </c>
      <c r="S864" s="6">
        <v>138</v>
      </c>
      <c r="T864" s="6" t="s">
        <v>7793</v>
      </c>
      <c r="U864" s="6">
        <f>41%</f>
        <v>0.41</v>
      </c>
      <c r="V864" s="5" t="s">
        <v>7794</v>
      </c>
      <c r="W864" s="5" t="s">
        <v>7795</v>
      </c>
      <c r="X864" s="5" t="s">
        <v>7796</v>
      </c>
      <c r="Y864" s="5" t="s">
        <v>7797</v>
      </c>
      <c r="Z864" s="6"/>
      <c r="AA864" s="6"/>
      <c r="AB864" s="6"/>
      <c r="AC864" s="6"/>
      <c r="AD864" s="7"/>
    </row>
    <row r="865" spans="1:30" ht="15.6" x14ac:dyDescent="0.3">
      <c r="A865" s="4">
        <v>106</v>
      </c>
      <c r="B865" s="5" t="s">
        <v>7798</v>
      </c>
      <c r="C865" s="6" t="s">
        <v>173</v>
      </c>
      <c r="D865" s="5" t="s">
        <v>7799</v>
      </c>
      <c r="E865" s="5" t="s">
        <v>48</v>
      </c>
      <c r="F865" s="6" t="s">
        <v>7800</v>
      </c>
      <c r="G865" s="6" t="s">
        <v>7801</v>
      </c>
      <c r="H865" s="6" t="s">
        <v>309</v>
      </c>
      <c r="I865" s="6">
        <f>37%</f>
        <v>0.37</v>
      </c>
      <c r="J865" s="6" t="s">
        <v>250</v>
      </c>
      <c r="K865" s="6" t="s">
        <v>7802</v>
      </c>
      <c r="L865" s="6">
        <f>170%</f>
        <v>1.7</v>
      </c>
      <c r="M865" s="6" t="s">
        <v>7803</v>
      </c>
      <c r="N865" s="6">
        <f>170%</f>
        <v>1.7</v>
      </c>
      <c r="O865" s="6" t="s">
        <v>7804</v>
      </c>
      <c r="P865" s="6" t="s">
        <v>7805</v>
      </c>
      <c r="Q865" s="6">
        <f>0.033</f>
        <v>3.3000000000000002E-2</v>
      </c>
      <c r="R865" s="6" t="s">
        <v>7806</v>
      </c>
      <c r="S865" s="6">
        <v>76</v>
      </c>
      <c r="T865" s="6" t="s">
        <v>7807</v>
      </c>
      <c r="U865" s="6">
        <f>220%</f>
        <v>2.2000000000000002</v>
      </c>
      <c r="V865" s="5" t="s">
        <v>7808</v>
      </c>
      <c r="W865" s="5" t="s">
        <v>6164</v>
      </c>
      <c r="X865" s="5" t="s">
        <v>7809</v>
      </c>
      <c r="Y865" s="5" t="s">
        <v>7810</v>
      </c>
      <c r="Z865" s="5" t="s">
        <v>7811</v>
      </c>
      <c r="AA865" s="5" t="s">
        <v>7812</v>
      </c>
      <c r="AB865" s="5" t="s">
        <v>7813</v>
      </c>
      <c r="AC865" s="5" t="s">
        <v>7814</v>
      </c>
      <c r="AD865" s="7"/>
    </row>
    <row r="866" spans="1:30" ht="15.6" x14ac:dyDescent="0.3">
      <c r="A866" s="4">
        <v>107</v>
      </c>
      <c r="B866" s="5" t="s">
        <v>7815</v>
      </c>
      <c r="C866" s="6" t="s">
        <v>370</v>
      </c>
      <c r="D866" s="5" t="s">
        <v>7816</v>
      </c>
      <c r="E866" s="5" t="s">
        <v>48</v>
      </c>
      <c r="F866" s="6" t="s">
        <v>7817</v>
      </c>
      <c r="G866" s="6" t="s">
        <v>7818</v>
      </c>
      <c r="H866" s="6" t="s">
        <v>309</v>
      </c>
      <c r="I866" s="8">
        <v>-0.92</v>
      </c>
      <c r="J866" s="6" t="s">
        <v>494</v>
      </c>
      <c r="K866" s="6" t="s">
        <v>7819</v>
      </c>
      <c r="L866" s="8">
        <v>-0.51</v>
      </c>
      <c r="M866" s="6" t="s">
        <v>7820</v>
      </c>
      <c r="N866" s="8">
        <v>-0.51</v>
      </c>
      <c r="O866" s="6" t="s">
        <v>7821</v>
      </c>
      <c r="P866" s="6" t="s">
        <v>7822</v>
      </c>
      <c r="Q866" s="6">
        <f>0.072</f>
        <v>7.1999999999999995E-2</v>
      </c>
      <c r="R866" s="6" t="s">
        <v>7823</v>
      </c>
      <c r="S866" s="6">
        <v>10</v>
      </c>
      <c r="T866" s="6" t="s">
        <v>7824</v>
      </c>
      <c r="U866" s="6">
        <f>1.5%</f>
        <v>1.4999999999999999E-2</v>
      </c>
      <c r="V866" s="5" t="s">
        <v>7825</v>
      </c>
      <c r="W866" s="5" t="s">
        <v>7826</v>
      </c>
      <c r="X866" s="5" t="s">
        <v>7827</v>
      </c>
      <c r="Y866" s="5" t="s">
        <v>7828</v>
      </c>
      <c r="Z866" s="5" t="s">
        <v>7829</v>
      </c>
      <c r="AA866" s="5" t="s">
        <v>7830</v>
      </c>
      <c r="AB866" s="5" t="s">
        <v>7831</v>
      </c>
      <c r="AC866" s="5" t="s">
        <v>7830</v>
      </c>
      <c r="AD866" s="9" t="s">
        <v>7832</v>
      </c>
    </row>
    <row r="867" spans="1:30" ht="15.6" x14ac:dyDescent="0.3">
      <c r="A867" s="4">
        <v>108</v>
      </c>
      <c r="B867" s="5" t="s">
        <v>7833</v>
      </c>
      <c r="C867" s="6" t="s">
        <v>1408</v>
      </c>
      <c r="D867" s="5" t="s">
        <v>7834</v>
      </c>
      <c r="E867" s="5" t="s">
        <v>33</v>
      </c>
      <c r="F867" s="6" t="s">
        <v>7835</v>
      </c>
      <c r="G867" s="6" t="s">
        <v>7836</v>
      </c>
      <c r="H867" s="6" t="s">
        <v>309</v>
      </c>
      <c r="I867" s="8">
        <v>-0.59</v>
      </c>
      <c r="J867" s="6" t="s">
        <v>2776</v>
      </c>
      <c r="K867" s="6" t="s">
        <v>7837</v>
      </c>
      <c r="L867" s="6">
        <f>37%</f>
        <v>0.37</v>
      </c>
      <c r="M867" s="6" t="s">
        <v>7838</v>
      </c>
      <c r="N867" s="6">
        <f>37%</f>
        <v>0.37</v>
      </c>
      <c r="O867" s="6" t="s">
        <v>7839</v>
      </c>
      <c r="P867" s="6" t="s">
        <v>7840</v>
      </c>
      <c r="Q867" s="6">
        <f>0.0099</f>
        <v>9.9000000000000008E-3</v>
      </c>
      <c r="R867" s="6" t="s">
        <v>7841</v>
      </c>
      <c r="S867" s="6">
        <v>366</v>
      </c>
      <c r="T867" s="6" t="s">
        <v>7842</v>
      </c>
      <c r="U867" s="6">
        <f>44%</f>
        <v>0.44</v>
      </c>
      <c r="V867" s="5" t="s">
        <v>7843</v>
      </c>
      <c r="W867" s="5" t="s">
        <v>7844</v>
      </c>
      <c r="X867" s="5" t="s">
        <v>7845</v>
      </c>
      <c r="Y867" s="5" t="s">
        <v>7846</v>
      </c>
      <c r="Z867" s="5" t="s">
        <v>7847</v>
      </c>
      <c r="AA867" s="5" t="s">
        <v>7848</v>
      </c>
      <c r="AB867" s="5" t="s">
        <v>7849</v>
      </c>
      <c r="AC867" s="5" t="s">
        <v>7850</v>
      </c>
      <c r="AD867" s="7"/>
    </row>
    <row r="868" spans="1:30" ht="15.6" x14ac:dyDescent="0.3">
      <c r="A868" s="4">
        <v>109</v>
      </c>
      <c r="B868" s="5" t="s">
        <v>7851</v>
      </c>
      <c r="C868" s="6" t="s">
        <v>148</v>
      </c>
      <c r="D868" s="5" t="s">
        <v>7852</v>
      </c>
      <c r="E868" s="5" t="s">
        <v>48</v>
      </c>
      <c r="F868" s="6" t="s">
        <v>7853</v>
      </c>
      <c r="G868" s="6" t="s">
        <v>7854</v>
      </c>
      <c r="H868" s="6" t="s">
        <v>309</v>
      </c>
      <c r="I868" s="8">
        <v>-0.43</v>
      </c>
      <c r="J868" s="6" t="s">
        <v>177</v>
      </c>
      <c r="K868" s="6" t="s">
        <v>7855</v>
      </c>
      <c r="L868" s="8">
        <v>-0.34</v>
      </c>
      <c r="M868" s="6" t="s">
        <v>7856</v>
      </c>
      <c r="N868" s="8">
        <v>-0.34</v>
      </c>
      <c r="O868" s="6" t="s">
        <v>7857</v>
      </c>
      <c r="P868" s="6" t="s">
        <v>7858</v>
      </c>
      <c r="Q868" s="6">
        <f>0.046</f>
        <v>4.5999999999999999E-2</v>
      </c>
      <c r="R868" s="6">
        <v>559</v>
      </c>
      <c r="S868" s="6">
        <v>31</v>
      </c>
      <c r="T868" s="6">
        <v>475</v>
      </c>
      <c r="U868" s="6">
        <f>20%</f>
        <v>0.2</v>
      </c>
      <c r="V868" s="5" t="s">
        <v>7859</v>
      </c>
      <c r="W868" s="5" t="s">
        <v>7860</v>
      </c>
      <c r="X868" s="5" t="s">
        <v>7861</v>
      </c>
      <c r="Y868" s="5" t="s">
        <v>7345</v>
      </c>
      <c r="Z868" s="5" t="s">
        <v>7862</v>
      </c>
      <c r="AA868" s="5" t="s">
        <v>7863</v>
      </c>
      <c r="AB868" s="5" t="s">
        <v>7864</v>
      </c>
      <c r="AC868" s="5" t="s">
        <v>7865</v>
      </c>
      <c r="AD868" s="9" t="s">
        <v>7866</v>
      </c>
    </row>
    <row r="869" spans="1:30" ht="15.6" x14ac:dyDescent="0.3">
      <c r="A869" s="4">
        <v>110</v>
      </c>
      <c r="B869" s="5" t="s">
        <v>7867</v>
      </c>
      <c r="C869" s="6" t="s">
        <v>85</v>
      </c>
      <c r="D869" s="5" t="s">
        <v>7868</v>
      </c>
      <c r="E869" s="5" t="s">
        <v>48</v>
      </c>
      <c r="F869" s="6" t="s">
        <v>7869</v>
      </c>
      <c r="G869" s="6" t="s">
        <v>7870</v>
      </c>
      <c r="H869" s="6" t="s">
        <v>309</v>
      </c>
      <c r="I869" s="8">
        <v>-0.66</v>
      </c>
      <c r="J869" s="6" t="s">
        <v>1110</v>
      </c>
      <c r="K869" s="6" t="s">
        <v>7871</v>
      </c>
      <c r="L869" s="6">
        <f>25%</f>
        <v>0.25</v>
      </c>
      <c r="M869" s="6" t="s">
        <v>7872</v>
      </c>
      <c r="N869" s="6">
        <f>25%</f>
        <v>0.25</v>
      </c>
      <c r="O869" s="6" t="s">
        <v>7873</v>
      </c>
      <c r="P869" s="6" t="s">
        <v>6683</v>
      </c>
      <c r="Q869" s="6">
        <f>0.05</f>
        <v>0.05</v>
      </c>
      <c r="R869" s="6" t="s">
        <v>5557</v>
      </c>
      <c r="S869" s="6">
        <v>3</v>
      </c>
      <c r="T869" s="6">
        <v>548</v>
      </c>
      <c r="U869" s="6">
        <f>45%</f>
        <v>0.45</v>
      </c>
      <c r="V869" s="5" t="s">
        <v>7874</v>
      </c>
      <c r="W869" s="5" t="s">
        <v>7875</v>
      </c>
      <c r="X869" s="5" t="s">
        <v>7876</v>
      </c>
      <c r="Y869" s="5" t="s">
        <v>7875</v>
      </c>
      <c r="Z869" s="6"/>
      <c r="AA869" s="6"/>
      <c r="AB869" s="6"/>
      <c r="AC869" s="6"/>
      <c r="AD869" s="7"/>
    </row>
    <row r="870" spans="1:30" ht="15.6" x14ac:dyDescent="0.3">
      <c r="A870" s="4">
        <v>111</v>
      </c>
      <c r="B870" s="5" t="s">
        <v>7877</v>
      </c>
      <c r="C870" s="6" t="s">
        <v>304</v>
      </c>
      <c r="D870" s="5" t="s">
        <v>7878</v>
      </c>
      <c r="E870" s="5" t="s">
        <v>33</v>
      </c>
      <c r="F870" s="6" t="s">
        <v>7879</v>
      </c>
      <c r="G870" s="6" t="s">
        <v>7880</v>
      </c>
      <c r="H870" s="6" t="s">
        <v>309</v>
      </c>
      <c r="I870" s="6" t="s">
        <v>7881</v>
      </c>
      <c r="J870" s="6" t="s">
        <v>354</v>
      </c>
      <c r="K870" s="6" t="s">
        <v>7882</v>
      </c>
      <c r="L870" s="6">
        <f>40%</f>
        <v>0.4</v>
      </c>
      <c r="M870" s="6" t="s">
        <v>7883</v>
      </c>
      <c r="N870" s="6">
        <f>40%</f>
        <v>0.4</v>
      </c>
      <c r="O870" s="6" t="s">
        <v>7884</v>
      </c>
      <c r="P870" s="6" t="s">
        <v>7885</v>
      </c>
      <c r="Q870" s="6">
        <f>94%</f>
        <v>0.94</v>
      </c>
      <c r="R870" s="6" t="s">
        <v>7886</v>
      </c>
      <c r="S870" s="6">
        <v>35</v>
      </c>
      <c r="T870" s="6" t="s">
        <v>7887</v>
      </c>
      <c r="U870" s="8">
        <v>-0.12</v>
      </c>
      <c r="V870" s="5" t="s">
        <v>7888</v>
      </c>
      <c r="W870" s="5" t="s">
        <v>6372</v>
      </c>
      <c r="X870" s="5" t="s">
        <v>7889</v>
      </c>
      <c r="Y870" s="5" t="s">
        <v>7890</v>
      </c>
      <c r="Z870" s="5" t="s">
        <v>7891</v>
      </c>
      <c r="AA870" s="5" t="s">
        <v>7892</v>
      </c>
      <c r="AB870" s="6"/>
      <c r="AC870" s="6"/>
      <c r="AD870" s="7"/>
    </row>
    <row r="871" spans="1:30" ht="15.6" x14ac:dyDescent="0.3">
      <c r="A871" s="4">
        <v>112</v>
      </c>
      <c r="B871" s="5" t="s">
        <v>7893</v>
      </c>
      <c r="C871" s="6" t="s">
        <v>291</v>
      </c>
      <c r="D871" s="5" t="s">
        <v>7894</v>
      </c>
      <c r="E871" s="5" t="s">
        <v>48</v>
      </c>
      <c r="F871" s="6" t="s">
        <v>7895</v>
      </c>
      <c r="G871" s="6" t="s">
        <v>7896</v>
      </c>
      <c r="H871" s="6" t="s">
        <v>309</v>
      </c>
      <c r="I871" s="6" t="s">
        <v>5134</v>
      </c>
      <c r="J871" s="6" t="s">
        <v>131</v>
      </c>
      <c r="K871" s="6" t="s">
        <v>7897</v>
      </c>
      <c r="L871" s="8">
        <v>-0.3</v>
      </c>
      <c r="M871" s="6" t="s">
        <v>7898</v>
      </c>
      <c r="N871" s="8">
        <v>-0.3</v>
      </c>
      <c r="O871" s="6" t="s">
        <v>7899</v>
      </c>
      <c r="P871" s="6" t="s">
        <v>7900</v>
      </c>
      <c r="Q871" s="8">
        <v>-0.73</v>
      </c>
      <c r="R871" s="6" t="s">
        <v>7901</v>
      </c>
      <c r="S871" s="6">
        <v>852</v>
      </c>
      <c r="T871" s="6" t="s">
        <v>535</v>
      </c>
      <c r="U871" s="8">
        <v>-0.78</v>
      </c>
      <c r="V871" s="6"/>
      <c r="W871" s="6"/>
      <c r="X871" s="6"/>
      <c r="Y871" s="6"/>
      <c r="Z871" s="6"/>
      <c r="AA871" s="6"/>
      <c r="AB871" s="6"/>
      <c r="AC871" s="6"/>
      <c r="AD871" s="7"/>
    </row>
    <row r="872" spans="1:30" ht="15.6" x14ac:dyDescent="0.3">
      <c r="A872" s="4">
        <v>113</v>
      </c>
      <c r="B872" s="5" t="s">
        <v>7902</v>
      </c>
      <c r="C872" s="6" t="s">
        <v>2277</v>
      </c>
      <c r="D872" s="5" t="s">
        <v>7903</v>
      </c>
      <c r="E872" s="5" t="s">
        <v>48</v>
      </c>
      <c r="F872" s="6" t="s">
        <v>2277</v>
      </c>
      <c r="G872" s="6" t="s">
        <v>7904</v>
      </c>
      <c r="H872" s="6" t="s">
        <v>309</v>
      </c>
      <c r="I872" s="6" t="s">
        <v>7905</v>
      </c>
      <c r="J872" s="6" t="s">
        <v>1491</v>
      </c>
      <c r="K872" s="6" t="s">
        <v>7739</v>
      </c>
      <c r="L872" s="8">
        <v>-0.45</v>
      </c>
      <c r="M872" s="6" t="s">
        <v>7906</v>
      </c>
      <c r="N872" s="8">
        <v>-0.45</v>
      </c>
      <c r="O872" s="6" t="s">
        <v>7907</v>
      </c>
      <c r="P872" s="6" t="s">
        <v>7908</v>
      </c>
      <c r="Q872" s="8">
        <v>-0.36</v>
      </c>
      <c r="R872" s="6" t="s">
        <v>7909</v>
      </c>
      <c r="S872" s="6">
        <v>228</v>
      </c>
      <c r="T872" s="6" t="s">
        <v>1032</v>
      </c>
      <c r="U872" s="8">
        <v>-0.49</v>
      </c>
      <c r="V872" s="5" t="s">
        <v>7910</v>
      </c>
      <c r="W872" s="5" t="s">
        <v>7750</v>
      </c>
      <c r="X872" s="6"/>
      <c r="Y872" s="6"/>
      <c r="Z872" s="6"/>
      <c r="AA872" s="6"/>
      <c r="AB872" s="6"/>
      <c r="AC872" s="6"/>
      <c r="AD872" s="7"/>
    </row>
    <row r="873" spans="1:30" ht="15.6" x14ac:dyDescent="0.3">
      <c r="A873" s="4">
        <v>114</v>
      </c>
      <c r="B873" s="5" t="s">
        <v>7911</v>
      </c>
      <c r="C873" s="6" t="s">
        <v>304</v>
      </c>
      <c r="D873" s="5" t="s">
        <v>7912</v>
      </c>
      <c r="E873" s="5" t="s">
        <v>33</v>
      </c>
      <c r="F873" s="6" t="s">
        <v>7913</v>
      </c>
      <c r="G873" s="6" t="s">
        <v>7914</v>
      </c>
      <c r="H873" s="6" t="s">
        <v>309</v>
      </c>
      <c r="I873" s="8">
        <v>-0.2</v>
      </c>
      <c r="J873" s="6" t="s">
        <v>250</v>
      </c>
      <c r="K873" s="6" t="s">
        <v>7915</v>
      </c>
      <c r="L873" s="6">
        <f>5.8%</f>
        <v>5.7999999999999996E-2</v>
      </c>
      <c r="M873" s="6" t="s">
        <v>7916</v>
      </c>
      <c r="N873" s="6">
        <f>5.8%</f>
        <v>5.7999999999999996E-2</v>
      </c>
      <c r="O873" s="6" t="s">
        <v>7917</v>
      </c>
      <c r="P873" s="6" t="s">
        <v>7918</v>
      </c>
      <c r="Q873" s="6">
        <f>0.053</f>
        <v>5.2999999999999999E-2</v>
      </c>
      <c r="R873" s="6" t="s">
        <v>7919</v>
      </c>
      <c r="S873" s="6">
        <v>259</v>
      </c>
      <c r="T873" s="6" t="s">
        <v>7920</v>
      </c>
      <c r="U873" s="8">
        <v>-0.81</v>
      </c>
      <c r="V873" s="5" t="s">
        <v>7921</v>
      </c>
      <c r="W873" s="5" t="s">
        <v>7922</v>
      </c>
      <c r="X873" s="6"/>
      <c r="Y873" s="6"/>
      <c r="Z873" s="6"/>
      <c r="AA873" s="6"/>
      <c r="AB873" s="6"/>
      <c r="AC873" s="6"/>
      <c r="AD873" s="7"/>
    </row>
    <row r="874" spans="1:30" ht="15.6" x14ac:dyDescent="0.3">
      <c r="A874" s="4">
        <v>115</v>
      </c>
      <c r="B874" s="5" t="s">
        <v>7923</v>
      </c>
      <c r="C874" s="6" t="s">
        <v>31</v>
      </c>
      <c r="D874" s="5" t="s">
        <v>7924</v>
      </c>
      <c r="E874" s="5" t="s">
        <v>33</v>
      </c>
      <c r="F874" s="6" t="s">
        <v>7925</v>
      </c>
      <c r="G874" s="6" t="s">
        <v>7926</v>
      </c>
      <c r="H874" s="6" t="s">
        <v>309</v>
      </c>
      <c r="I874" s="8">
        <v>-0.28000000000000003</v>
      </c>
      <c r="J874" s="6" t="s">
        <v>3435</v>
      </c>
      <c r="K874" s="6" t="s">
        <v>2923</v>
      </c>
      <c r="L874" s="6">
        <f>28%</f>
        <v>0.28000000000000003</v>
      </c>
      <c r="M874" s="6" t="s">
        <v>7927</v>
      </c>
      <c r="N874" s="6">
        <f>28%</f>
        <v>0.28000000000000003</v>
      </c>
      <c r="O874" s="6" t="s">
        <v>7928</v>
      </c>
      <c r="P874" s="6" t="s">
        <v>7929</v>
      </c>
      <c r="Q874" s="6">
        <f>0.025</f>
        <v>2.5000000000000001E-2</v>
      </c>
      <c r="R874" s="6" t="s">
        <v>7930</v>
      </c>
      <c r="S874" s="6">
        <v>14</v>
      </c>
      <c r="T874" s="6" t="s">
        <v>7931</v>
      </c>
      <c r="U874" s="6">
        <f>130%</f>
        <v>1.3</v>
      </c>
      <c r="V874" s="5" t="s">
        <v>7932</v>
      </c>
      <c r="W874" s="5" t="s">
        <v>7933</v>
      </c>
      <c r="X874" s="5" t="s">
        <v>7934</v>
      </c>
      <c r="Y874" s="5" t="s">
        <v>7935</v>
      </c>
      <c r="Z874" s="6"/>
      <c r="AA874" s="6"/>
      <c r="AB874" s="6"/>
      <c r="AC874" s="6"/>
      <c r="AD874" s="7"/>
    </row>
    <row r="875" spans="1:30" ht="15.6" x14ac:dyDescent="0.3">
      <c r="A875" s="4">
        <v>116</v>
      </c>
      <c r="B875" s="5" t="s">
        <v>7936</v>
      </c>
      <c r="C875" s="6" t="s">
        <v>102</v>
      </c>
      <c r="D875" s="5" t="s">
        <v>7937</v>
      </c>
      <c r="E875" s="5" t="s">
        <v>48</v>
      </c>
      <c r="F875" s="6" t="s">
        <v>7938</v>
      </c>
      <c r="G875" s="6" t="s">
        <v>7939</v>
      </c>
      <c r="H875" s="6" t="s">
        <v>309</v>
      </c>
      <c r="I875" s="6" t="s">
        <v>3777</v>
      </c>
      <c r="J875" s="6" t="s">
        <v>90</v>
      </c>
      <c r="K875" s="6" t="s">
        <v>4588</v>
      </c>
      <c r="L875" s="6" t="s">
        <v>217</v>
      </c>
      <c r="M875" s="6" t="s">
        <v>7940</v>
      </c>
      <c r="N875" s="6" t="s">
        <v>51</v>
      </c>
      <c r="O875" s="6" t="s">
        <v>7941</v>
      </c>
      <c r="P875" s="6" t="s">
        <v>7942</v>
      </c>
      <c r="Q875" s="6">
        <f>0.038</f>
        <v>3.7999999999999999E-2</v>
      </c>
      <c r="R875" s="6" t="s">
        <v>7943</v>
      </c>
      <c r="S875" s="6">
        <v>6</v>
      </c>
      <c r="T875" s="6" t="s">
        <v>7944</v>
      </c>
      <c r="U875" s="6">
        <f>3.6%</f>
        <v>3.6000000000000004E-2</v>
      </c>
      <c r="V875" s="6"/>
      <c r="W875" s="6"/>
      <c r="X875" s="6"/>
      <c r="Y875" s="6"/>
      <c r="Z875" s="6"/>
      <c r="AA875" s="6"/>
      <c r="AB875" s="6"/>
      <c r="AC875" s="6"/>
      <c r="AD875" s="7"/>
    </row>
    <row r="876" spans="1:30" ht="15.6" x14ac:dyDescent="0.3">
      <c r="A876" s="4">
        <v>117</v>
      </c>
      <c r="B876" s="5" t="s">
        <v>7945</v>
      </c>
      <c r="C876" s="6" t="s">
        <v>85</v>
      </c>
      <c r="D876" s="5" t="s">
        <v>7946</v>
      </c>
      <c r="E876" s="5" t="s">
        <v>162</v>
      </c>
      <c r="F876" s="6" t="s">
        <v>7947</v>
      </c>
      <c r="G876" s="6" t="s">
        <v>7948</v>
      </c>
      <c r="H876" s="6" t="s">
        <v>309</v>
      </c>
      <c r="I876" s="8">
        <v>-0.41</v>
      </c>
      <c r="J876" s="6" t="s">
        <v>2492</v>
      </c>
      <c r="K876" s="6" t="s">
        <v>7277</v>
      </c>
      <c r="L876" s="6" t="s">
        <v>3141</v>
      </c>
      <c r="M876" s="6" t="s">
        <v>7949</v>
      </c>
      <c r="N876" s="6" t="s">
        <v>3141</v>
      </c>
      <c r="O876" s="6" t="s">
        <v>6076</v>
      </c>
      <c r="P876" s="6" t="s">
        <v>7950</v>
      </c>
      <c r="Q876" s="6">
        <f>0.057</f>
        <v>5.7000000000000002E-2</v>
      </c>
      <c r="R876" s="6" t="s">
        <v>2780</v>
      </c>
      <c r="S876" s="6">
        <v>3</v>
      </c>
      <c r="T876" s="6" t="s">
        <v>7951</v>
      </c>
      <c r="U876" s="6">
        <f>0.16%</f>
        <v>1.6000000000000001E-3</v>
      </c>
      <c r="V876" s="5" t="s">
        <v>7952</v>
      </c>
      <c r="W876" s="5" t="s">
        <v>6103</v>
      </c>
      <c r="X876" s="5" t="s">
        <v>7953</v>
      </c>
      <c r="Y876" s="5" t="s">
        <v>7954</v>
      </c>
      <c r="Z876" s="6"/>
      <c r="AA876" s="6"/>
      <c r="AB876" s="6"/>
      <c r="AC876" s="6"/>
      <c r="AD876" s="7"/>
    </row>
    <row r="877" spans="1:30" ht="15.6" x14ac:dyDescent="0.3">
      <c r="A877" s="4">
        <v>118</v>
      </c>
      <c r="B877" s="5" t="s">
        <v>7955</v>
      </c>
      <c r="C877" s="6" t="s">
        <v>60</v>
      </c>
      <c r="D877" s="5" t="s">
        <v>7956</v>
      </c>
      <c r="E877" s="5" t="s">
        <v>33</v>
      </c>
      <c r="F877" s="6" t="s">
        <v>7957</v>
      </c>
      <c r="G877" s="6" t="s">
        <v>7958</v>
      </c>
      <c r="H877" s="6" t="s">
        <v>309</v>
      </c>
      <c r="I877" s="6">
        <f>39%</f>
        <v>0.39</v>
      </c>
      <c r="J877" s="6" t="s">
        <v>950</v>
      </c>
      <c r="K877" s="6" t="s">
        <v>7959</v>
      </c>
      <c r="L877" s="6">
        <f>110%</f>
        <v>1.1000000000000001</v>
      </c>
      <c r="M877" s="6" t="s">
        <v>7960</v>
      </c>
      <c r="N877" s="6">
        <f>110%</f>
        <v>1.1000000000000001</v>
      </c>
      <c r="O877" s="6" t="s">
        <v>7961</v>
      </c>
      <c r="P877" s="6" t="s">
        <v>7962</v>
      </c>
      <c r="Q877" s="6">
        <f>0.033</f>
        <v>3.3000000000000002E-2</v>
      </c>
      <c r="R877" s="6" t="s">
        <v>7963</v>
      </c>
      <c r="S877" s="6">
        <v>286</v>
      </c>
      <c r="T877" s="6" t="s">
        <v>7964</v>
      </c>
      <c r="U877" s="6">
        <f>12%</f>
        <v>0.12</v>
      </c>
      <c r="V877" s="5" t="s">
        <v>7965</v>
      </c>
      <c r="W877" s="5" t="s">
        <v>7966</v>
      </c>
      <c r="X877" s="5" t="s">
        <v>7967</v>
      </c>
      <c r="Y877" s="5" t="s">
        <v>7033</v>
      </c>
      <c r="Z877" s="5" t="s">
        <v>6975</v>
      </c>
      <c r="AA877" s="5" t="s">
        <v>7968</v>
      </c>
      <c r="AB877" s="5" t="s">
        <v>7969</v>
      </c>
      <c r="AC877" s="5" t="s">
        <v>7970</v>
      </c>
      <c r="AD877" s="7"/>
    </row>
    <row r="878" spans="1:30" ht="15.6" x14ac:dyDescent="0.3">
      <c r="A878" s="4">
        <v>119</v>
      </c>
      <c r="B878" s="5" t="s">
        <v>7971</v>
      </c>
      <c r="C878" s="6" t="s">
        <v>567</v>
      </c>
      <c r="D878" s="5" t="s">
        <v>7972</v>
      </c>
      <c r="E878" s="5" t="s">
        <v>48</v>
      </c>
      <c r="F878" s="6" t="s">
        <v>7973</v>
      </c>
      <c r="G878" s="6" t="s">
        <v>7974</v>
      </c>
      <c r="H878" s="6" t="s">
        <v>1491</v>
      </c>
      <c r="I878" s="6" t="s">
        <v>3997</v>
      </c>
      <c r="J878" s="6" t="s">
        <v>719</v>
      </c>
      <c r="K878" s="6" t="s">
        <v>7975</v>
      </c>
      <c r="L878" s="6" t="s">
        <v>217</v>
      </c>
      <c r="M878" s="6" t="s">
        <v>7976</v>
      </c>
      <c r="N878" s="6">
        <f>0.015%</f>
        <v>1.4999999999999999E-4</v>
      </c>
      <c r="O878" s="6" t="s">
        <v>7977</v>
      </c>
      <c r="P878" s="6" t="s">
        <v>7978</v>
      </c>
      <c r="Q878" s="6">
        <f>0.025</f>
        <v>2.5000000000000001E-2</v>
      </c>
      <c r="R878" s="6" t="s">
        <v>7979</v>
      </c>
      <c r="S878" s="6">
        <v>79</v>
      </c>
      <c r="T878" s="6" t="s">
        <v>7980</v>
      </c>
      <c r="U878" s="6">
        <f>5.7%</f>
        <v>5.7000000000000002E-2</v>
      </c>
      <c r="V878" s="5" t="s">
        <v>7981</v>
      </c>
      <c r="W878" s="5" t="s">
        <v>7982</v>
      </c>
      <c r="X878" s="6"/>
      <c r="Y878" s="6"/>
      <c r="Z878" s="6"/>
      <c r="AA878" s="6"/>
      <c r="AB878" s="6"/>
      <c r="AC878" s="6"/>
      <c r="AD878" s="7"/>
    </row>
    <row r="879" spans="1:30" ht="15.6" x14ac:dyDescent="0.3">
      <c r="A879" s="4">
        <v>120</v>
      </c>
      <c r="B879" s="5" t="s">
        <v>7983</v>
      </c>
      <c r="C879" s="6" t="s">
        <v>267</v>
      </c>
      <c r="D879" s="5" t="s">
        <v>7984</v>
      </c>
      <c r="E879" s="5" t="s">
        <v>33</v>
      </c>
      <c r="F879" s="6" t="s">
        <v>7985</v>
      </c>
      <c r="G879" s="6" t="s">
        <v>7986</v>
      </c>
      <c r="H879" s="6" t="s">
        <v>1491</v>
      </c>
      <c r="I879" s="8">
        <v>-0.61</v>
      </c>
      <c r="J879" s="6" t="s">
        <v>571</v>
      </c>
      <c r="K879" s="6" t="s">
        <v>7987</v>
      </c>
      <c r="L879" s="8">
        <v>-0.22</v>
      </c>
      <c r="M879" s="6" t="s">
        <v>7988</v>
      </c>
      <c r="N879" s="8">
        <v>-0.22</v>
      </c>
      <c r="O879" s="6" t="s">
        <v>7989</v>
      </c>
      <c r="P879" s="6" t="s">
        <v>7990</v>
      </c>
      <c r="Q879" s="6">
        <f>0.007</f>
        <v>7.0000000000000001E-3</v>
      </c>
      <c r="R879" s="6">
        <v>14</v>
      </c>
      <c r="S879" s="6">
        <v>0</v>
      </c>
      <c r="T879" s="6">
        <v>64</v>
      </c>
      <c r="U879" s="6">
        <f>1.6%</f>
        <v>1.6E-2</v>
      </c>
      <c r="V879" s="5" t="s">
        <v>7991</v>
      </c>
      <c r="W879" s="5" t="s">
        <v>7992</v>
      </c>
      <c r="X879" s="5" t="s">
        <v>7993</v>
      </c>
      <c r="Y879" s="5" t="s">
        <v>7992</v>
      </c>
      <c r="Z879" s="5" t="s">
        <v>7994</v>
      </c>
      <c r="AA879" s="5" t="s">
        <v>7933</v>
      </c>
      <c r="AB879" s="6"/>
      <c r="AC879" s="6"/>
      <c r="AD879" s="7"/>
    </row>
    <row r="880" spans="1:30" ht="15.6" x14ac:dyDescent="0.3">
      <c r="A880" s="4">
        <v>121</v>
      </c>
      <c r="B880" s="5" t="s">
        <v>7995</v>
      </c>
      <c r="C880" s="6" t="s">
        <v>148</v>
      </c>
      <c r="D880" s="5" t="s">
        <v>7996</v>
      </c>
      <c r="E880" s="5" t="s">
        <v>48</v>
      </c>
      <c r="F880" s="6" t="s">
        <v>7997</v>
      </c>
      <c r="G880" s="6" t="s">
        <v>7998</v>
      </c>
      <c r="H880" s="6" t="s">
        <v>1491</v>
      </c>
      <c r="I880" s="8">
        <v>-0.87</v>
      </c>
      <c r="J880" s="6" t="s">
        <v>719</v>
      </c>
      <c r="K880" s="6" t="s">
        <v>7739</v>
      </c>
      <c r="L880" s="6" t="s">
        <v>1290</v>
      </c>
      <c r="M880" s="6" t="s">
        <v>7999</v>
      </c>
      <c r="N880" s="6" t="s">
        <v>1290</v>
      </c>
      <c r="O880" s="6" t="s">
        <v>8000</v>
      </c>
      <c r="P880" s="6" t="s">
        <v>8001</v>
      </c>
      <c r="Q880" s="6">
        <f>0.046</f>
        <v>4.5999999999999999E-2</v>
      </c>
      <c r="R880" s="6" t="s">
        <v>8002</v>
      </c>
      <c r="S880" s="6">
        <v>228</v>
      </c>
      <c r="T880" s="6" t="s">
        <v>8003</v>
      </c>
      <c r="U880" s="6">
        <f>19%</f>
        <v>0.19</v>
      </c>
      <c r="V880" s="6"/>
      <c r="W880" s="6"/>
      <c r="X880" s="6"/>
      <c r="Y880" s="6"/>
      <c r="Z880" s="6"/>
      <c r="AA880" s="6"/>
      <c r="AB880" s="6"/>
      <c r="AC880" s="6"/>
      <c r="AD880" s="7"/>
    </row>
    <row r="881" spans="1:30" ht="15.6" x14ac:dyDescent="0.3">
      <c r="A881" s="4">
        <v>122</v>
      </c>
      <c r="B881" s="5" t="s">
        <v>8004</v>
      </c>
      <c r="C881" s="6" t="s">
        <v>267</v>
      </c>
      <c r="D881" s="5" t="s">
        <v>8005</v>
      </c>
      <c r="E881" s="5" t="s">
        <v>33</v>
      </c>
      <c r="F881" s="6" t="s">
        <v>8006</v>
      </c>
      <c r="G881" s="6" t="s">
        <v>8007</v>
      </c>
      <c r="H881" s="6" t="s">
        <v>1491</v>
      </c>
      <c r="I881" s="6" t="s">
        <v>6501</v>
      </c>
      <c r="J881" s="6" t="s">
        <v>2009</v>
      </c>
      <c r="K881" s="6" t="s">
        <v>5295</v>
      </c>
      <c r="L881" s="6">
        <f>16%</f>
        <v>0.16</v>
      </c>
      <c r="M881" s="6" t="s">
        <v>8008</v>
      </c>
      <c r="N881" s="6">
        <f>16%</f>
        <v>0.16</v>
      </c>
      <c r="O881" s="6" t="s">
        <v>848</v>
      </c>
      <c r="P881" s="6" t="s">
        <v>8009</v>
      </c>
      <c r="Q881" s="6">
        <f>0.11%</f>
        <v>1.1000000000000001E-3</v>
      </c>
      <c r="R881" s="6" t="s">
        <v>8010</v>
      </c>
      <c r="S881" s="6">
        <v>31</v>
      </c>
      <c r="T881" s="6" t="s">
        <v>8011</v>
      </c>
      <c r="U881" s="8">
        <v>-0.78</v>
      </c>
      <c r="V881" s="5" t="s">
        <v>8012</v>
      </c>
      <c r="W881" s="5" t="s">
        <v>8013</v>
      </c>
      <c r="X881" s="5" t="s">
        <v>8014</v>
      </c>
      <c r="Y881" s="5" t="s">
        <v>8015</v>
      </c>
      <c r="Z881" s="5" t="s">
        <v>8016</v>
      </c>
      <c r="AA881" s="5" t="s">
        <v>8017</v>
      </c>
      <c r="AB881" s="5" t="s">
        <v>8018</v>
      </c>
      <c r="AC881" s="5" t="s">
        <v>8019</v>
      </c>
      <c r="AD881" s="7"/>
    </row>
    <row r="882" spans="1:30" ht="15.6" x14ac:dyDescent="0.3">
      <c r="A882" s="4">
        <v>123</v>
      </c>
      <c r="B882" s="5" t="s">
        <v>8020</v>
      </c>
      <c r="C882" s="6" t="s">
        <v>820</v>
      </c>
      <c r="D882" s="5" t="s">
        <v>8021</v>
      </c>
      <c r="E882" s="5" t="s">
        <v>33</v>
      </c>
      <c r="F882" s="6" t="s">
        <v>8022</v>
      </c>
      <c r="G882" s="6" t="s">
        <v>8023</v>
      </c>
      <c r="H882" s="6" t="s">
        <v>1491</v>
      </c>
      <c r="I882" s="6" t="s">
        <v>834</v>
      </c>
      <c r="J882" s="6" t="s">
        <v>38</v>
      </c>
      <c r="K882" s="6" t="s">
        <v>2677</v>
      </c>
      <c r="L882" s="6" t="s">
        <v>387</v>
      </c>
      <c r="M882" s="6" t="s">
        <v>8024</v>
      </c>
      <c r="N882" s="6" t="s">
        <v>387</v>
      </c>
      <c r="O882" s="6" t="s">
        <v>8025</v>
      </c>
      <c r="P882" s="6" t="s">
        <v>8026</v>
      </c>
      <c r="Q882" s="8">
        <v>-0.64</v>
      </c>
      <c r="R882" s="6" t="s">
        <v>8027</v>
      </c>
      <c r="S882" s="6">
        <v>412</v>
      </c>
      <c r="T882" s="6" t="s">
        <v>8028</v>
      </c>
      <c r="U882" s="8">
        <v>-0.7</v>
      </c>
      <c r="V882" s="5" t="s">
        <v>8029</v>
      </c>
      <c r="W882" s="5" t="s">
        <v>7933</v>
      </c>
      <c r="X882" s="5" t="s">
        <v>8030</v>
      </c>
      <c r="Y882" s="5" t="s">
        <v>8031</v>
      </c>
      <c r="Z882" s="6"/>
      <c r="AA882" s="6"/>
      <c r="AB882" s="6"/>
      <c r="AC882" s="6"/>
      <c r="AD882" s="7"/>
    </row>
    <row r="883" spans="1:30" ht="15.6" x14ac:dyDescent="0.3">
      <c r="A883" s="4">
        <v>124</v>
      </c>
      <c r="B883" s="5" t="s">
        <v>8032</v>
      </c>
      <c r="C883" s="6" t="s">
        <v>72</v>
      </c>
      <c r="D883" s="5" t="s">
        <v>8033</v>
      </c>
      <c r="E883" s="5" t="s">
        <v>162</v>
      </c>
      <c r="F883" s="6" t="s">
        <v>4148</v>
      </c>
      <c r="G883" s="6" t="s">
        <v>8034</v>
      </c>
      <c r="H883" s="6" t="s">
        <v>1491</v>
      </c>
      <c r="I883" s="8">
        <v>-0.86</v>
      </c>
      <c r="J883" s="6" t="s">
        <v>731</v>
      </c>
      <c r="K883" s="6" t="s">
        <v>8035</v>
      </c>
      <c r="L883" s="8">
        <v>-0.49</v>
      </c>
      <c r="M883" s="6" t="s">
        <v>8036</v>
      </c>
      <c r="N883" s="8">
        <v>-0.49</v>
      </c>
      <c r="O883" s="6" t="s">
        <v>8037</v>
      </c>
      <c r="P883" s="6" t="s">
        <v>8038</v>
      </c>
      <c r="Q883" s="6">
        <f>0.036</f>
        <v>3.5999999999999997E-2</v>
      </c>
      <c r="R883" s="6">
        <v>753</v>
      </c>
      <c r="S883" s="6">
        <v>16</v>
      </c>
      <c r="T883" s="6" t="s">
        <v>535</v>
      </c>
      <c r="U883" s="8">
        <v>-0.95</v>
      </c>
      <c r="V883" s="5" t="s">
        <v>8039</v>
      </c>
      <c r="W883" s="5" t="s">
        <v>8040</v>
      </c>
      <c r="X883" s="5" t="s">
        <v>8041</v>
      </c>
      <c r="Y883" s="5" t="s">
        <v>8042</v>
      </c>
      <c r="Z883" s="6"/>
      <c r="AA883" s="6"/>
      <c r="AB883" s="6"/>
      <c r="AC883" s="6"/>
      <c r="AD883" s="7"/>
    </row>
    <row r="884" spans="1:30" ht="15.6" x14ac:dyDescent="0.3">
      <c r="A884" s="4">
        <v>125</v>
      </c>
      <c r="B884" s="5" t="s">
        <v>8043</v>
      </c>
      <c r="C884" s="6" t="s">
        <v>546</v>
      </c>
      <c r="D884" s="5" t="s">
        <v>8044</v>
      </c>
      <c r="E884" s="5" t="s">
        <v>48</v>
      </c>
      <c r="F884" s="6" t="s">
        <v>8045</v>
      </c>
      <c r="G884" s="6" t="s">
        <v>8046</v>
      </c>
      <c r="H884" s="6" t="s">
        <v>1491</v>
      </c>
      <c r="I884" s="6">
        <f>2.8%</f>
        <v>2.7999999999999997E-2</v>
      </c>
      <c r="J884" s="6" t="s">
        <v>1390</v>
      </c>
      <c r="K884" s="6" t="s">
        <v>273</v>
      </c>
      <c r="L884" s="6">
        <f>35%</f>
        <v>0.35</v>
      </c>
      <c r="M884" s="6" t="s">
        <v>8047</v>
      </c>
      <c r="N884" s="6">
        <f>35%</f>
        <v>0.35</v>
      </c>
      <c r="O884" s="6" t="s">
        <v>8048</v>
      </c>
      <c r="P884" s="6" t="s">
        <v>8049</v>
      </c>
      <c r="Q884" s="6">
        <f>0.059</f>
        <v>5.8999999999999997E-2</v>
      </c>
      <c r="R884" s="6" t="s">
        <v>8050</v>
      </c>
      <c r="S884" s="6">
        <v>78</v>
      </c>
      <c r="T884" s="6" t="s">
        <v>8051</v>
      </c>
      <c r="U884" s="6">
        <f>110%</f>
        <v>1.1000000000000001</v>
      </c>
      <c r="V884" s="5" t="s">
        <v>6915</v>
      </c>
      <c r="W884" s="5" t="s">
        <v>6916</v>
      </c>
      <c r="X884" s="5" t="s">
        <v>6921</v>
      </c>
      <c r="Y884" s="5" t="s">
        <v>6916</v>
      </c>
      <c r="Z884" s="6"/>
      <c r="AA884" s="6"/>
      <c r="AB884" s="6"/>
      <c r="AC884" s="6"/>
      <c r="AD884" s="7"/>
    </row>
    <row r="885" spans="1:30" ht="15.6" x14ac:dyDescent="0.3">
      <c r="A885" s="4">
        <v>126</v>
      </c>
      <c r="B885" s="5" t="s">
        <v>8052</v>
      </c>
      <c r="C885" s="6" t="s">
        <v>304</v>
      </c>
      <c r="D885" s="5" t="s">
        <v>8053</v>
      </c>
      <c r="E885" s="6"/>
      <c r="F885" s="6" t="s">
        <v>8054</v>
      </c>
      <c r="G885" s="6" t="s">
        <v>8055</v>
      </c>
      <c r="H885" s="6" t="s">
        <v>1491</v>
      </c>
      <c r="I885" s="6">
        <f>260%</f>
        <v>2.6</v>
      </c>
      <c r="J885" s="6" t="s">
        <v>984</v>
      </c>
      <c r="K885" s="6" t="s">
        <v>799</v>
      </c>
      <c r="L885" s="6" t="s">
        <v>217</v>
      </c>
      <c r="M885" s="6" t="s">
        <v>800</v>
      </c>
      <c r="N885" s="6" t="s">
        <v>217</v>
      </c>
      <c r="O885" s="6" t="s">
        <v>800</v>
      </c>
      <c r="P885" s="6" t="s">
        <v>217</v>
      </c>
      <c r="Q885" s="6">
        <f>0.059</f>
        <v>5.8999999999999997E-2</v>
      </c>
      <c r="R885" s="6" t="s">
        <v>8056</v>
      </c>
      <c r="S885" s="6">
        <v>30</v>
      </c>
      <c r="T885" s="6" t="s">
        <v>217</v>
      </c>
      <c r="U885" s="6" t="s">
        <v>217</v>
      </c>
      <c r="V885" s="5" t="s">
        <v>8057</v>
      </c>
      <c r="W885" s="5" t="s">
        <v>8058</v>
      </c>
      <c r="X885" s="5" t="s">
        <v>8059</v>
      </c>
      <c r="Y885" s="5" t="s">
        <v>8058</v>
      </c>
      <c r="Z885" s="6"/>
      <c r="AA885" s="6"/>
      <c r="AB885" s="6"/>
      <c r="AC885" s="6"/>
      <c r="AD885" s="7"/>
    </row>
    <row r="886" spans="1:30" ht="15.6" x14ac:dyDescent="0.3">
      <c r="A886" s="4">
        <v>127</v>
      </c>
      <c r="B886" s="5" t="s">
        <v>8060</v>
      </c>
      <c r="C886" s="6" t="s">
        <v>85</v>
      </c>
      <c r="D886" s="5" t="s">
        <v>8061</v>
      </c>
      <c r="E886" s="5" t="s">
        <v>162</v>
      </c>
      <c r="F886" s="6" t="s">
        <v>8062</v>
      </c>
      <c r="G886" s="6" t="s">
        <v>8063</v>
      </c>
      <c r="H886" s="6" t="s">
        <v>1491</v>
      </c>
      <c r="I886" s="6">
        <f>430%</f>
        <v>4.3</v>
      </c>
      <c r="J886" s="6" t="s">
        <v>236</v>
      </c>
      <c r="K886" s="6" t="s">
        <v>5429</v>
      </c>
      <c r="L886" s="6">
        <f>34%</f>
        <v>0.34</v>
      </c>
      <c r="M886" s="6" t="s">
        <v>8064</v>
      </c>
      <c r="N886" s="6">
        <f>34%</f>
        <v>0.34</v>
      </c>
      <c r="O886" s="6" t="s">
        <v>8065</v>
      </c>
      <c r="P886" s="6" t="s">
        <v>8066</v>
      </c>
      <c r="Q886" s="6">
        <f>0.014</f>
        <v>1.4E-2</v>
      </c>
      <c r="R886" s="6">
        <v>201</v>
      </c>
      <c r="S886" s="6">
        <v>2</v>
      </c>
      <c r="T886" s="6">
        <v>941</v>
      </c>
      <c r="U886" s="6">
        <f>9.9%</f>
        <v>9.9000000000000005E-2</v>
      </c>
      <c r="V886" s="5" t="s">
        <v>8067</v>
      </c>
      <c r="W886" s="5" t="s">
        <v>8068</v>
      </c>
      <c r="X886" s="6"/>
      <c r="Y886" s="6"/>
      <c r="Z886" s="6"/>
      <c r="AA886" s="6"/>
      <c r="AB886" s="6"/>
      <c r="AC886" s="6"/>
      <c r="AD886" s="7"/>
    </row>
    <row r="887" spans="1:30" ht="15.6" x14ac:dyDescent="0.3">
      <c r="A887" s="4">
        <v>128</v>
      </c>
      <c r="B887" s="5" t="s">
        <v>8069</v>
      </c>
      <c r="C887" s="6" t="s">
        <v>304</v>
      </c>
      <c r="D887" s="5" t="s">
        <v>8070</v>
      </c>
      <c r="E887" s="5" t="s">
        <v>48</v>
      </c>
      <c r="F887" s="6" t="s">
        <v>8071</v>
      </c>
      <c r="G887" s="6" t="s">
        <v>8072</v>
      </c>
      <c r="H887" s="6" t="s">
        <v>1491</v>
      </c>
      <c r="I887" s="6" t="s">
        <v>6519</v>
      </c>
      <c r="J887" s="6" t="s">
        <v>888</v>
      </c>
      <c r="K887" s="6" t="s">
        <v>108</v>
      </c>
      <c r="L887" s="8">
        <v>-0.31</v>
      </c>
      <c r="M887" s="6" t="s">
        <v>8073</v>
      </c>
      <c r="N887" s="8">
        <v>-0.31</v>
      </c>
      <c r="O887" s="6" t="s">
        <v>8074</v>
      </c>
      <c r="P887" s="6" t="s">
        <v>8075</v>
      </c>
      <c r="Q887" s="6">
        <f>2.7%</f>
        <v>2.7000000000000003E-2</v>
      </c>
      <c r="R887" s="6" t="s">
        <v>622</v>
      </c>
      <c r="S887" s="6">
        <v>28</v>
      </c>
      <c r="T887" s="6" t="s">
        <v>2241</v>
      </c>
      <c r="U887" s="8">
        <v>-0.24</v>
      </c>
      <c r="V887" s="5" t="s">
        <v>8076</v>
      </c>
      <c r="W887" s="5" t="s">
        <v>6489</v>
      </c>
      <c r="X887" s="5" t="s">
        <v>8077</v>
      </c>
      <c r="Y887" s="5" t="s">
        <v>8078</v>
      </c>
      <c r="Z887" s="6"/>
      <c r="AA887" s="6"/>
      <c r="AB887" s="6"/>
      <c r="AC887" s="6"/>
      <c r="AD887" s="7"/>
    </row>
    <row r="888" spans="1:30" ht="15.6" x14ac:dyDescent="0.3">
      <c r="A888" s="4">
        <v>129</v>
      </c>
      <c r="B888" s="5" t="s">
        <v>8079</v>
      </c>
      <c r="C888" s="6" t="s">
        <v>185</v>
      </c>
      <c r="D888" s="5" t="s">
        <v>8080</v>
      </c>
      <c r="E888" s="5" t="s">
        <v>48</v>
      </c>
      <c r="F888" s="6" t="s">
        <v>8081</v>
      </c>
      <c r="G888" s="6" t="s">
        <v>8082</v>
      </c>
      <c r="H888" s="6" t="s">
        <v>1491</v>
      </c>
      <c r="I888" s="8">
        <v>-0.14000000000000001</v>
      </c>
      <c r="J888" s="6" t="s">
        <v>118</v>
      </c>
      <c r="K888" s="6" t="s">
        <v>8083</v>
      </c>
      <c r="L888" s="6">
        <f>1.3%</f>
        <v>1.3000000000000001E-2</v>
      </c>
      <c r="M888" s="6" t="s">
        <v>8084</v>
      </c>
      <c r="N888" s="6">
        <f>1.3%</f>
        <v>1.3000000000000001E-2</v>
      </c>
      <c r="O888" s="6" t="s">
        <v>8085</v>
      </c>
      <c r="P888" s="6" t="s">
        <v>8086</v>
      </c>
      <c r="Q888" s="6">
        <f>0.042</f>
        <v>4.2000000000000003E-2</v>
      </c>
      <c r="R888" s="6" t="s">
        <v>8087</v>
      </c>
      <c r="S888" s="6">
        <v>331</v>
      </c>
      <c r="T888" s="6" t="s">
        <v>8088</v>
      </c>
      <c r="U888" s="6">
        <f>0.14%</f>
        <v>1.4000000000000002E-3</v>
      </c>
      <c r="V888" s="5" t="s">
        <v>8089</v>
      </c>
      <c r="W888" s="5" t="s">
        <v>8090</v>
      </c>
      <c r="X888" s="6"/>
      <c r="Y888" s="6"/>
      <c r="Z888" s="6"/>
      <c r="AA888" s="6"/>
      <c r="AB888" s="6"/>
      <c r="AC888" s="6"/>
      <c r="AD888" s="7"/>
    </row>
    <row r="889" spans="1:30" ht="15.6" x14ac:dyDescent="0.3">
      <c r="A889" s="4">
        <v>130</v>
      </c>
      <c r="B889" s="5" t="s">
        <v>8091</v>
      </c>
      <c r="C889" s="6" t="s">
        <v>126</v>
      </c>
      <c r="D889" s="5" t="s">
        <v>8092</v>
      </c>
      <c r="E889" s="5" t="s">
        <v>48</v>
      </c>
      <c r="F889" s="6" t="s">
        <v>8093</v>
      </c>
      <c r="G889" s="6" t="s">
        <v>8094</v>
      </c>
      <c r="H889" s="6" t="s">
        <v>1491</v>
      </c>
      <c r="I889" s="6" t="s">
        <v>1290</v>
      </c>
      <c r="J889" s="6" t="s">
        <v>131</v>
      </c>
      <c r="K889" s="6" t="s">
        <v>178</v>
      </c>
      <c r="L889" s="6">
        <f>33%</f>
        <v>0.33</v>
      </c>
      <c r="M889" s="6" t="s">
        <v>8095</v>
      </c>
      <c r="N889" s="6">
        <f>33%</f>
        <v>0.33</v>
      </c>
      <c r="O889" s="6" t="s">
        <v>8096</v>
      </c>
      <c r="P889" s="6" t="s">
        <v>8097</v>
      </c>
      <c r="Q889" s="6">
        <f>0.046</f>
        <v>4.5999999999999999E-2</v>
      </c>
      <c r="R889" s="6" t="s">
        <v>8098</v>
      </c>
      <c r="S889" s="6">
        <v>20</v>
      </c>
      <c r="T889" s="6" t="s">
        <v>8099</v>
      </c>
      <c r="U889" s="6">
        <f>0.054%</f>
        <v>5.4000000000000001E-4</v>
      </c>
      <c r="V889" s="6"/>
      <c r="W889" s="6"/>
      <c r="X889" s="6"/>
      <c r="Y889" s="6"/>
      <c r="Z889" s="6"/>
      <c r="AA889" s="6"/>
      <c r="AB889" s="6"/>
      <c r="AC889" s="6"/>
      <c r="AD889" s="7"/>
    </row>
    <row r="890" spans="1:30" ht="15.6" x14ac:dyDescent="0.3">
      <c r="A890" s="4">
        <v>131</v>
      </c>
      <c r="B890" s="5" t="s">
        <v>8100</v>
      </c>
      <c r="C890" s="6" t="s">
        <v>567</v>
      </c>
      <c r="D890" s="5" t="s">
        <v>8101</v>
      </c>
      <c r="E890" s="5" t="s">
        <v>221</v>
      </c>
      <c r="F890" s="6" t="s">
        <v>8102</v>
      </c>
      <c r="G890" s="6" t="s">
        <v>8103</v>
      </c>
      <c r="H890" s="6" t="s">
        <v>332</v>
      </c>
      <c r="I890" s="6" t="s">
        <v>8104</v>
      </c>
      <c r="J890" s="6" t="s">
        <v>687</v>
      </c>
      <c r="K890" s="6" t="s">
        <v>813</v>
      </c>
      <c r="L890" s="8">
        <v>-0.7</v>
      </c>
      <c r="M890" s="6" t="s">
        <v>8105</v>
      </c>
      <c r="N890" s="8">
        <v>-0.7</v>
      </c>
      <c r="O890" s="6" t="s">
        <v>8106</v>
      </c>
      <c r="P890" s="6" t="s">
        <v>8107</v>
      </c>
      <c r="Q890" s="6">
        <f>260%</f>
        <v>2.6</v>
      </c>
      <c r="R890" s="6" t="s">
        <v>8108</v>
      </c>
      <c r="S890" s="6">
        <v>39</v>
      </c>
      <c r="T890" s="6" t="s">
        <v>1543</v>
      </c>
      <c r="U890" s="6" t="s">
        <v>217</v>
      </c>
      <c r="V890" s="6"/>
      <c r="W890" s="6"/>
      <c r="X890" s="6"/>
      <c r="Y890" s="6"/>
      <c r="Z890" s="6"/>
      <c r="AA890" s="6"/>
      <c r="AB890" s="6"/>
      <c r="AC890" s="6"/>
      <c r="AD890" s="7"/>
    </row>
    <row r="891" spans="1:30" ht="15.6" x14ac:dyDescent="0.3">
      <c r="A891" s="4">
        <v>132</v>
      </c>
      <c r="B891" s="5" t="s">
        <v>8109</v>
      </c>
      <c r="C891" s="6" t="s">
        <v>46</v>
      </c>
      <c r="D891" s="5" t="s">
        <v>8110</v>
      </c>
      <c r="E891" s="5" t="s">
        <v>33</v>
      </c>
      <c r="F891" s="6" t="s">
        <v>8111</v>
      </c>
      <c r="G891" s="6" t="s">
        <v>8112</v>
      </c>
      <c r="H891" s="6" t="s">
        <v>332</v>
      </c>
      <c r="I891" s="6" t="s">
        <v>8113</v>
      </c>
      <c r="J891" s="6" t="s">
        <v>647</v>
      </c>
      <c r="K891" s="6" t="s">
        <v>8114</v>
      </c>
      <c r="L891" s="8">
        <v>-0.11</v>
      </c>
      <c r="M891" s="6" t="s">
        <v>8115</v>
      </c>
      <c r="N891" s="8">
        <v>-0.11</v>
      </c>
      <c r="O891" s="6" t="s">
        <v>8116</v>
      </c>
      <c r="P891" s="6" t="s">
        <v>8117</v>
      </c>
      <c r="Q891" s="6">
        <f>2.9%</f>
        <v>2.8999999999999998E-2</v>
      </c>
      <c r="R891" s="6" t="s">
        <v>5843</v>
      </c>
      <c r="S891" s="6">
        <v>43</v>
      </c>
      <c r="T891" s="6" t="s">
        <v>8118</v>
      </c>
      <c r="U891" s="8">
        <v>-0.5</v>
      </c>
      <c r="V891" s="6"/>
      <c r="W891" s="6"/>
      <c r="X891" s="6"/>
      <c r="Y891" s="6"/>
      <c r="Z891" s="6"/>
      <c r="AA891" s="6"/>
      <c r="AB891" s="6"/>
      <c r="AC891" s="6"/>
      <c r="AD891" s="7"/>
    </row>
    <row r="892" spans="1:30" ht="15.6" x14ac:dyDescent="0.3">
      <c r="A892" s="4">
        <v>133</v>
      </c>
      <c r="B892" s="5" t="s">
        <v>8119</v>
      </c>
      <c r="C892" s="6" t="s">
        <v>126</v>
      </c>
      <c r="D892" s="5" t="s">
        <v>8120</v>
      </c>
      <c r="E892" s="5" t="s">
        <v>48</v>
      </c>
      <c r="F892" s="6" t="s">
        <v>8121</v>
      </c>
      <c r="G892" s="6" t="s">
        <v>8122</v>
      </c>
      <c r="H892" s="6" t="s">
        <v>332</v>
      </c>
      <c r="I892" s="6" t="s">
        <v>8123</v>
      </c>
      <c r="J892" s="6" t="s">
        <v>36</v>
      </c>
      <c r="K892" s="6" t="s">
        <v>8124</v>
      </c>
      <c r="L892" s="6" t="s">
        <v>3655</v>
      </c>
      <c r="M892" s="6" t="s">
        <v>8125</v>
      </c>
      <c r="N892" s="6" t="s">
        <v>3655</v>
      </c>
      <c r="O892" s="6" t="s">
        <v>8126</v>
      </c>
      <c r="P892" s="6" t="s">
        <v>8127</v>
      </c>
      <c r="Q892" s="8">
        <v>-0.5</v>
      </c>
      <c r="R892" s="6" t="s">
        <v>8128</v>
      </c>
      <c r="S892" s="6">
        <v>107</v>
      </c>
      <c r="T892" s="6" t="s">
        <v>8129</v>
      </c>
      <c r="U892" s="8">
        <v>-0.42</v>
      </c>
      <c r="V892" s="5" t="s">
        <v>8130</v>
      </c>
      <c r="W892" s="5" t="s">
        <v>8131</v>
      </c>
      <c r="X892" s="5" t="s">
        <v>8132</v>
      </c>
      <c r="Y892" s="5" t="s">
        <v>8133</v>
      </c>
      <c r="Z892" s="6"/>
      <c r="AA892" s="6"/>
      <c r="AB892" s="6"/>
      <c r="AC892" s="6"/>
      <c r="AD892" s="7"/>
    </row>
    <row r="893" spans="1:30" ht="15.6" x14ac:dyDescent="0.3">
      <c r="A893" s="4">
        <v>134</v>
      </c>
      <c r="B893" s="5" t="s">
        <v>8134</v>
      </c>
      <c r="C893" s="6" t="s">
        <v>185</v>
      </c>
      <c r="D893" s="5" t="s">
        <v>8135</v>
      </c>
      <c r="E893" s="5" t="s">
        <v>33</v>
      </c>
      <c r="F893" s="6" t="s">
        <v>8136</v>
      </c>
      <c r="G893" s="6" t="s">
        <v>8137</v>
      </c>
      <c r="H893" s="6" t="s">
        <v>332</v>
      </c>
      <c r="I893" s="6" t="s">
        <v>8138</v>
      </c>
      <c r="J893" s="6" t="s">
        <v>296</v>
      </c>
      <c r="K893" s="6" t="s">
        <v>6926</v>
      </c>
      <c r="L893" s="6">
        <f>13%</f>
        <v>0.13</v>
      </c>
      <c r="M893" s="6" t="s">
        <v>8139</v>
      </c>
      <c r="N893" s="6">
        <f>13%</f>
        <v>0.13</v>
      </c>
      <c r="O893" s="6" t="s">
        <v>8140</v>
      </c>
      <c r="P893" s="6" t="s">
        <v>8141</v>
      </c>
      <c r="Q893" s="6">
        <f>250%</f>
        <v>2.5</v>
      </c>
      <c r="R893" s="6" t="s">
        <v>1262</v>
      </c>
      <c r="S893" s="6">
        <v>35</v>
      </c>
      <c r="T893" s="6" t="s">
        <v>8142</v>
      </c>
      <c r="U893" s="6">
        <f>3.4%</f>
        <v>3.4000000000000002E-2</v>
      </c>
      <c r="V893" s="5" t="s">
        <v>6601</v>
      </c>
      <c r="W893" s="5" t="s">
        <v>6602</v>
      </c>
      <c r="X893" s="5" t="s">
        <v>8143</v>
      </c>
      <c r="Y893" s="5" t="s">
        <v>8144</v>
      </c>
      <c r="Z893" s="5" t="s">
        <v>8145</v>
      </c>
      <c r="AA893" s="5" t="s">
        <v>8144</v>
      </c>
      <c r="AB893" s="5" t="s">
        <v>8146</v>
      </c>
      <c r="AC893" s="5" t="s">
        <v>8147</v>
      </c>
      <c r="AD893" s="7"/>
    </row>
    <row r="894" spans="1:30" ht="15.6" x14ac:dyDescent="0.3">
      <c r="A894" s="4">
        <v>135</v>
      </c>
      <c r="B894" s="5" t="s">
        <v>8148</v>
      </c>
      <c r="C894" s="6" t="s">
        <v>219</v>
      </c>
      <c r="D894" s="5" t="s">
        <v>8149</v>
      </c>
      <c r="E894" s="5" t="s">
        <v>33</v>
      </c>
      <c r="F894" s="6" t="s">
        <v>8150</v>
      </c>
      <c r="G894" s="6" t="s">
        <v>8151</v>
      </c>
      <c r="H894" s="6" t="s">
        <v>332</v>
      </c>
      <c r="I894" s="8">
        <v>-0.37</v>
      </c>
      <c r="J894" s="6" t="s">
        <v>1851</v>
      </c>
      <c r="K894" s="6" t="s">
        <v>8152</v>
      </c>
      <c r="L894" s="6">
        <f>73%</f>
        <v>0.73</v>
      </c>
      <c r="M894" s="6" t="s">
        <v>8153</v>
      </c>
      <c r="N894" s="6">
        <f>73%</f>
        <v>0.73</v>
      </c>
      <c r="O894" s="6" t="s">
        <v>8154</v>
      </c>
      <c r="P894" s="6" t="s">
        <v>8155</v>
      </c>
      <c r="Q894" s="6">
        <f>0.021</f>
        <v>2.1000000000000001E-2</v>
      </c>
      <c r="R894" s="6" t="s">
        <v>8156</v>
      </c>
      <c r="S894" s="6">
        <v>60</v>
      </c>
      <c r="T894" s="6" t="s">
        <v>8157</v>
      </c>
      <c r="U894" s="6">
        <f>29%</f>
        <v>0.28999999999999998</v>
      </c>
      <c r="V894" s="5" t="s">
        <v>8158</v>
      </c>
      <c r="W894" s="5" t="s">
        <v>8159</v>
      </c>
      <c r="X894" s="6"/>
      <c r="Y894" s="6"/>
      <c r="Z894" s="6"/>
      <c r="AA894" s="6"/>
      <c r="AB894" s="6"/>
      <c r="AC894" s="6"/>
      <c r="AD894" s="7"/>
    </row>
    <row r="895" spans="1:30" ht="15.6" x14ac:dyDescent="0.3">
      <c r="A895" s="4">
        <v>136</v>
      </c>
      <c r="B895" s="5" t="s">
        <v>8160</v>
      </c>
      <c r="C895" s="6" t="s">
        <v>148</v>
      </c>
      <c r="D895" s="5" t="s">
        <v>8161</v>
      </c>
      <c r="E895" s="5" t="s">
        <v>48</v>
      </c>
      <c r="F895" s="6" t="s">
        <v>8162</v>
      </c>
      <c r="G895" s="6" t="s">
        <v>8163</v>
      </c>
      <c r="H895" s="6" t="s">
        <v>332</v>
      </c>
      <c r="I895" s="8">
        <v>-0.6</v>
      </c>
      <c r="J895" s="6" t="s">
        <v>1649</v>
      </c>
      <c r="K895" s="6" t="s">
        <v>1196</v>
      </c>
      <c r="L895" s="6">
        <f>12%</f>
        <v>0.12</v>
      </c>
      <c r="M895" s="6" t="s">
        <v>7804</v>
      </c>
      <c r="N895" s="6">
        <f>8.2%</f>
        <v>8.199999999999999E-2</v>
      </c>
      <c r="O895" s="6" t="s">
        <v>8164</v>
      </c>
      <c r="P895" s="6" t="s">
        <v>8165</v>
      </c>
      <c r="Q895" s="6">
        <f>0.0054</f>
        <v>5.4000000000000003E-3</v>
      </c>
      <c r="R895" s="6" t="s">
        <v>8166</v>
      </c>
      <c r="S895" s="6">
        <v>113</v>
      </c>
      <c r="T895" s="6" t="s">
        <v>8167</v>
      </c>
      <c r="U895" s="6">
        <f>0.93%</f>
        <v>9.300000000000001E-3</v>
      </c>
      <c r="V895" s="6"/>
      <c r="W895" s="6"/>
      <c r="X895" s="6"/>
      <c r="Y895" s="6"/>
      <c r="Z895" s="6"/>
      <c r="AA895" s="6"/>
      <c r="AB895" s="6"/>
      <c r="AC895" s="6"/>
      <c r="AD895" s="7"/>
    </row>
    <row r="896" spans="1:30" ht="15.6" x14ac:dyDescent="0.3">
      <c r="A896" s="4">
        <v>137</v>
      </c>
      <c r="B896" s="5" t="s">
        <v>8168</v>
      </c>
      <c r="C896" s="6">
        <v>1</v>
      </c>
      <c r="D896" s="5" t="s">
        <v>8169</v>
      </c>
      <c r="E896" s="5" t="s">
        <v>33</v>
      </c>
      <c r="F896" s="6" t="s">
        <v>8170</v>
      </c>
      <c r="G896" s="6" t="s">
        <v>8171</v>
      </c>
      <c r="H896" s="6" t="s">
        <v>332</v>
      </c>
      <c r="I896" s="8">
        <v>-0.56000000000000005</v>
      </c>
      <c r="J896" s="6" t="s">
        <v>421</v>
      </c>
      <c r="K896" s="6" t="s">
        <v>8172</v>
      </c>
      <c r="L896" s="6">
        <f>150%</f>
        <v>1.5</v>
      </c>
      <c r="M896" s="6" t="s">
        <v>8173</v>
      </c>
      <c r="N896" s="6">
        <f>150%</f>
        <v>1.5</v>
      </c>
      <c r="O896" s="6" t="s">
        <v>8174</v>
      </c>
      <c r="P896" s="6" t="s">
        <v>7012</v>
      </c>
      <c r="Q896" s="6">
        <f>0.047</f>
        <v>4.7E-2</v>
      </c>
      <c r="R896" s="6" t="s">
        <v>8175</v>
      </c>
      <c r="S896" s="6">
        <v>57</v>
      </c>
      <c r="T896" s="6" t="s">
        <v>8176</v>
      </c>
      <c r="U896" s="6">
        <f>110%</f>
        <v>1.1000000000000001</v>
      </c>
      <c r="V896" s="5" t="s">
        <v>8177</v>
      </c>
      <c r="W896" s="5" t="s">
        <v>8178</v>
      </c>
      <c r="X896" s="5" t="s">
        <v>8179</v>
      </c>
      <c r="Y896" s="5" t="s">
        <v>8180</v>
      </c>
      <c r="Z896" s="5" t="s">
        <v>8181</v>
      </c>
      <c r="AA896" s="5" t="s">
        <v>8180</v>
      </c>
      <c r="AB896" s="5" t="s">
        <v>8182</v>
      </c>
      <c r="AC896" s="5" t="s">
        <v>8183</v>
      </c>
      <c r="AD896" s="9" t="s">
        <v>8184</v>
      </c>
    </row>
    <row r="897" spans="1:30" ht="15.6" x14ac:dyDescent="0.3">
      <c r="A897" s="4">
        <v>138</v>
      </c>
      <c r="B897" s="5" t="s">
        <v>8185</v>
      </c>
      <c r="C897" s="6" t="s">
        <v>370</v>
      </c>
      <c r="D897" s="5" t="s">
        <v>8186</v>
      </c>
      <c r="E897" s="5" t="s">
        <v>48</v>
      </c>
      <c r="F897" s="6" t="s">
        <v>8187</v>
      </c>
      <c r="G897" s="6" t="s">
        <v>8188</v>
      </c>
      <c r="H897" s="6" t="s">
        <v>332</v>
      </c>
      <c r="I897" s="6" t="s">
        <v>5134</v>
      </c>
      <c r="J897" s="6" t="s">
        <v>984</v>
      </c>
      <c r="K897" s="6" t="s">
        <v>8189</v>
      </c>
      <c r="L897" s="6" t="s">
        <v>4306</v>
      </c>
      <c r="M897" s="6" t="s">
        <v>8190</v>
      </c>
      <c r="N897" s="6" t="s">
        <v>4306</v>
      </c>
      <c r="O897" s="6" t="s">
        <v>8191</v>
      </c>
      <c r="P897" s="6" t="s">
        <v>8192</v>
      </c>
      <c r="Q897" s="6" t="s">
        <v>2391</v>
      </c>
      <c r="R897" s="6" t="s">
        <v>8193</v>
      </c>
      <c r="S897" s="6">
        <v>179</v>
      </c>
      <c r="T897" s="6" t="s">
        <v>8194</v>
      </c>
      <c r="U897" s="8">
        <v>-0.38</v>
      </c>
      <c r="V897" s="5" t="s">
        <v>8195</v>
      </c>
      <c r="W897" s="5" t="s">
        <v>8196</v>
      </c>
      <c r="X897" s="5" t="s">
        <v>8197</v>
      </c>
      <c r="Y897" s="5" t="s">
        <v>8198</v>
      </c>
      <c r="Z897" s="6"/>
      <c r="AA897" s="6"/>
      <c r="AB897" s="6"/>
      <c r="AC897" s="6"/>
      <c r="AD897" s="7"/>
    </row>
    <row r="898" spans="1:30" ht="15.6" x14ac:dyDescent="0.3">
      <c r="A898" s="4">
        <v>139</v>
      </c>
      <c r="B898" s="5" t="s">
        <v>8199</v>
      </c>
      <c r="C898" s="6" t="s">
        <v>291</v>
      </c>
      <c r="D898" s="5" t="s">
        <v>8200</v>
      </c>
      <c r="E898" s="5" t="s">
        <v>48</v>
      </c>
      <c r="F898" s="6" t="s">
        <v>8201</v>
      </c>
      <c r="G898" s="6" t="s">
        <v>8202</v>
      </c>
      <c r="H898" s="6" t="s">
        <v>332</v>
      </c>
      <c r="I898" s="6" t="s">
        <v>573</v>
      </c>
      <c r="J898" s="6" t="s">
        <v>2492</v>
      </c>
      <c r="K898" s="6" t="s">
        <v>8203</v>
      </c>
      <c r="L898" s="6">
        <f>390%</f>
        <v>3.9</v>
      </c>
      <c r="M898" s="6" t="s">
        <v>8204</v>
      </c>
      <c r="N898" s="6">
        <f>390%</f>
        <v>3.9</v>
      </c>
      <c r="O898" s="6" t="s">
        <v>8205</v>
      </c>
      <c r="P898" s="6" t="s">
        <v>8206</v>
      </c>
      <c r="Q898" s="6">
        <f>0.048</f>
        <v>4.8000000000000001E-2</v>
      </c>
      <c r="R898" s="6" t="s">
        <v>8207</v>
      </c>
      <c r="S898" s="6">
        <v>133</v>
      </c>
      <c r="T898" s="6">
        <v>853</v>
      </c>
      <c r="U898" s="8">
        <v>-0.56000000000000005</v>
      </c>
      <c r="V898" s="5" t="s">
        <v>8208</v>
      </c>
      <c r="W898" s="5" t="s">
        <v>8209</v>
      </c>
      <c r="X898" s="5" t="s">
        <v>8210</v>
      </c>
      <c r="Y898" s="5" t="s">
        <v>8211</v>
      </c>
      <c r="Z898" s="5" t="s">
        <v>8212</v>
      </c>
      <c r="AA898" s="5" t="s">
        <v>8213</v>
      </c>
      <c r="AB898" s="6"/>
      <c r="AC898" s="6"/>
      <c r="AD898" s="7"/>
    </row>
    <row r="899" spans="1:30" ht="15.6" x14ac:dyDescent="0.3">
      <c r="A899" s="4">
        <v>140</v>
      </c>
      <c r="B899" s="5" t="s">
        <v>8214</v>
      </c>
      <c r="C899" s="6" t="s">
        <v>1244</v>
      </c>
      <c r="D899" s="5" t="s">
        <v>8215</v>
      </c>
      <c r="E899" s="5" t="s">
        <v>48</v>
      </c>
      <c r="F899" s="6" t="s">
        <v>8216</v>
      </c>
      <c r="G899" s="6" t="s">
        <v>8217</v>
      </c>
      <c r="H899" s="6" t="s">
        <v>332</v>
      </c>
      <c r="I899" s="8">
        <v>-0.09</v>
      </c>
      <c r="J899" s="6" t="s">
        <v>199</v>
      </c>
      <c r="K899" s="6" t="s">
        <v>8218</v>
      </c>
      <c r="L899" s="6">
        <f>130%</f>
        <v>1.3</v>
      </c>
      <c r="M899" s="6" t="s">
        <v>8219</v>
      </c>
      <c r="N899" s="6">
        <f>130%</f>
        <v>1.3</v>
      </c>
      <c r="O899" s="6" t="s">
        <v>8220</v>
      </c>
      <c r="P899" s="6" t="s">
        <v>8221</v>
      </c>
      <c r="Q899" s="6">
        <f>0.037</f>
        <v>3.6999999999999998E-2</v>
      </c>
      <c r="R899" s="6" t="s">
        <v>8222</v>
      </c>
      <c r="S899" s="6">
        <v>262</v>
      </c>
      <c r="T899" s="6" t="s">
        <v>8223</v>
      </c>
      <c r="U899" s="6">
        <f>150%</f>
        <v>1.5</v>
      </c>
      <c r="V899" s="6"/>
      <c r="W899" s="6"/>
      <c r="X899" s="6"/>
      <c r="Y899" s="6"/>
      <c r="Z899" s="6"/>
      <c r="AA899" s="6"/>
      <c r="AB899" s="6"/>
      <c r="AC899" s="6"/>
      <c r="AD899" s="7"/>
    </row>
    <row r="900" spans="1:30" ht="15.6" x14ac:dyDescent="0.3">
      <c r="A900" s="4">
        <v>141</v>
      </c>
      <c r="B900" s="5" t="s">
        <v>8224</v>
      </c>
      <c r="C900" s="6" t="s">
        <v>291</v>
      </c>
      <c r="D900" s="5" t="s">
        <v>8225</v>
      </c>
      <c r="E900" s="5" t="s">
        <v>48</v>
      </c>
      <c r="F900" s="6" t="s">
        <v>7649</v>
      </c>
      <c r="G900" s="6" t="s">
        <v>8226</v>
      </c>
      <c r="H900" s="6" t="s">
        <v>332</v>
      </c>
      <c r="I900" s="6" t="s">
        <v>210</v>
      </c>
      <c r="J900" s="6" t="s">
        <v>259</v>
      </c>
      <c r="K900" s="6" t="s">
        <v>3851</v>
      </c>
      <c r="L900" s="8">
        <v>-0.25</v>
      </c>
      <c r="M900" s="6" t="s">
        <v>8227</v>
      </c>
      <c r="N900" s="8">
        <v>-0.25</v>
      </c>
      <c r="O900" s="6" t="s">
        <v>8228</v>
      </c>
      <c r="P900" s="6" t="s">
        <v>8229</v>
      </c>
      <c r="Q900" s="8">
        <v>-0.72</v>
      </c>
      <c r="R900" s="6">
        <v>291</v>
      </c>
      <c r="S900" s="6">
        <v>5</v>
      </c>
      <c r="T900" s="6">
        <v>227</v>
      </c>
      <c r="U900" s="8">
        <v>-1</v>
      </c>
      <c r="V900" s="5" t="s">
        <v>7656</v>
      </c>
      <c r="W900" s="5" t="s">
        <v>7657</v>
      </c>
      <c r="X900" s="5" t="s">
        <v>7660</v>
      </c>
      <c r="Y900" s="5" t="s">
        <v>7661</v>
      </c>
      <c r="Z900" s="6"/>
      <c r="AA900" s="6"/>
      <c r="AB900" s="6"/>
      <c r="AC900" s="6"/>
      <c r="AD900" s="7"/>
    </row>
    <row r="901" spans="1:30" ht="15.6" x14ac:dyDescent="0.3">
      <c r="A901" s="4">
        <v>142</v>
      </c>
      <c r="B901" s="5" t="s">
        <v>8230</v>
      </c>
      <c r="C901" s="6" t="s">
        <v>102</v>
      </c>
      <c r="D901" s="5" t="s">
        <v>8231</v>
      </c>
      <c r="E901" s="5" t="s">
        <v>33</v>
      </c>
      <c r="F901" s="6" t="s">
        <v>8232</v>
      </c>
      <c r="G901" s="6" t="s">
        <v>8233</v>
      </c>
      <c r="H901" s="6" t="s">
        <v>332</v>
      </c>
      <c r="I901" s="6" t="s">
        <v>8234</v>
      </c>
      <c r="J901" s="6" t="s">
        <v>272</v>
      </c>
      <c r="K901" s="6" t="s">
        <v>8235</v>
      </c>
      <c r="L901" s="8">
        <v>-0.1</v>
      </c>
      <c r="M901" s="6" t="s">
        <v>8236</v>
      </c>
      <c r="N901" s="8">
        <v>-0.1</v>
      </c>
      <c r="O901" s="6" t="s">
        <v>8237</v>
      </c>
      <c r="P901" s="10">
        <v>45673</v>
      </c>
      <c r="Q901" s="6">
        <f>0.057%</f>
        <v>5.6999999999999998E-4</v>
      </c>
      <c r="R901" s="6">
        <v>732</v>
      </c>
      <c r="S901" s="6">
        <v>28</v>
      </c>
      <c r="T901" s="6" t="s">
        <v>8238</v>
      </c>
      <c r="U901" s="6" t="s">
        <v>217</v>
      </c>
      <c r="V901" s="5" t="s">
        <v>8239</v>
      </c>
      <c r="W901" s="5" t="s">
        <v>8240</v>
      </c>
      <c r="X901" s="6"/>
      <c r="Y901" s="6"/>
      <c r="Z901" s="6"/>
      <c r="AA901" s="6"/>
      <c r="AB901" s="6"/>
      <c r="AC901" s="6"/>
      <c r="AD901" s="7"/>
    </row>
    <row r="902" spans="1:30" ht="15.6" x14ac:dyDescent="0.3">
      <c r="A902" s="4">
        <v>143</v>
      </c>
      <c r="B902" s="5" t="s">
        <v>8241</v>
      </c>
      <c r="C902" s="6" t="s">
        <v>126</v>
      </c>
      <c r="D902" s="5" t="s">
        <v>8242</v>
      </c>
      <c r="E902" s="5" t="s">
        <v>33</v>
      </c>
      <c r="F902" s="6" t="s">
        <v>3973</v>
      </c>
      <c r="G902" s="6" t="s">
        <v>8243</v>
      </c>
      <c r="H902" s="6" t="s">
        <v>332</v>
      </c>
      <c r="I902" s="6" t="s">
        <v>8244</v>
      </c>
      <c r="J902" s="6" t="s">
        <v>1354</v>
      </c>
      <c r="K902" s="6" t="s">
        <v>8245</v>
      </c>
      <c r="L902" s="8">
        <v>-0.16</v>
      </c>
      <c r="M902" s="6" t="s">
        <v>8246</v>
      </c>
      <c r="N902" s="8">
        <v>-0.88</v>
      </c>
      <c r="O902" s="6" t="s">
        <v>7153</v>
      </c>
      <c r="P902" s="6" t="s">
        <v>8247</v>
      </c>
      <c r="Q902" s="6">
        <f>64%</f>
        <v>0.64</v>
      </c>
      <c r="R902" s="6" t="s">
        <v>8248</v>
      </c>
      <c r="S902" s="6">
        <v>922</v>
      </c>
      <c r="T902" s="6" t="s">
        <v>8249</v>
      </c>
      <c r="U902" s="6">
        <f>0.071%</f>
        <v>7.0999999999999991E-4</v>
      </c>
      <c r="V902" s="5" t="s">
        <v>8250</v>
      </c>
      <c r="W902" s="5" t="s">
        <v>8251</v>
      </c>
      <c r="X902" s="6"/>
      <c r="Y902" s="6"/>
      <c r="Z902" s="6"/>
      <c r="AA902" s="6"/>
      <c r="AB902" s="6"/>
      <c r="AC902" s="6"/>
      <c r="AD902" s="7"/>
    </row>
    <row r="903" spans="1:30" ht="15.6" x14ac:dyDescent="0.3">
      <c r="A903" s="4">
        <v>144</v>
      </c>
      <c r="B903" s="5" t="s">
        <v>8252</v>
      </c>
      <c r="C903" s="6" t="s">
        <v>85</v>
      </c>
      <c r="D903" s="5" t="s">
        <v>8253</v>
      </c>
      <c r="E903" s="5" t="s">
        <v>48</v>
      </c>
      <c r="F903" s="6" t="s">
        <v>1697</v>
      </c>
      <c r="G903" s="6" t="s">
        <v>8254</v>
      </c>
      <c r="H903" s="6" t="s">
        <v>332</v>
      </c>
      <c r="I903" s="6" t="s">
        <v>8255</v>
      </c>
      <c r="J903" s="6" t="s">
        <v>550</v>
      </c>
      <c r="K903" s="6" t="s">
        <v>8256</v>
      </c>
      <c r="L903" s="6" t="s">
        <v>217</v>
      </c>
      <c r="M903" s="6" t="s">
        <v>8257</v>
      </c>
      <c r="N903" s="8">
        <v>-0.09</v>
      </c>
      <c r="O903" s="6" t="s">
        <v>3495</v>
      </c>
      <c r="P903" s="6" t="s">
        <v>8258</v>
      </c>
      <c r="Q903" s="6">
        <f>0.41%</f>
        <v>4.0999999999999995E-3</v>
      </c>
      <c r="R903" s="6">
        <v>654</v>
      </c>
      <c r="S903" s="6">
        <v>2</v>
      </c>
      <c r="T903" s="6" t="s">
        <v>3011</v>
      </c>
      <c r="U903" s="6" t="s">
        <v>217</v>
      </c>
      <c r="V903" s="5" t="s">
        <v>8259</v>
      </c>
      <c r="W903" s="5" t="s">
        <v>8260</v>
      </c>
      <c r="X903" s="5" t="s">
        <v>7100</v>
      </c>
      <c r="Y903" s="5" t="s">
        <v>7101</v>
      </c>
      <c r="Z903" s="5" t="s">
        <v>8261</v>
      </c>
      <c r="AA903" s="5" t="s">
        <v>8262</v>
      </c>
      <c r="AB903" s="5" t="s">
        <v>8263</v>
      </c>
      <c r="AC903" s="5" t="s">
        <v>8264</v>
      </c>
      <c r="AD903" s="9" t="s">
        <v>8265</v>
      </c>
    </row>
    <row r="904" spans="1:30" ht="15.6" x14ac:dyDescent="0.3">
      <c r="A904" s="4">
        <v>145</v>
      </c>
      <c r="B904" s="5" t="s">
        <v>8266</v>
      </c>
      <c r="C904" s="6" t="s">
        <v>370</v>
      </c>
      <c r="D904" s="5" t="s">
        <v>8267</v>
      </c>
      <c r="E904" s="5" t="s">
        <v>162</v>
      </c>
      <c r="F904" s="6" t="s">
        <v>8268</v>
      </c>
      <c r="G904" s="6" t="s">
        <v>8269</v>
      </c>
      <c r="H904" s="6" t="s">
        <v>332</v>
      </c>
      <c r="I904" s="8">
        <v>-0.92</v>
      </c>
      <c r="J904" s="6" t="s">
        <v>1912</v>
      </c>
      <c r="K904" s="6" t="s">
        <v>7184</v>
      </c>
      <c r="L904" s="8">
        <v>-0.06</v>
      </c>
      <c r="M904" s="6" t="s">
        <v>8270</v>
      </c>
      <c r="N904" s="8">
        <v>-0.06</v>
      </c>
      <c r="O904" s="6" t="s">
        <v>8271</v>
      </c>
      <c r="P904" s="6" t="s">
        <v>2066</v>
      </c>
      <c r="Q904" s="6">
        <f>0.028</f>
        <v>2.8000000000000001E-2</v>
      </c>
      <c r="R904" s="6" t="s">
        <v>8272</v>
      </c>
      <c r="S904" s="6">
        <v>89</v>
      </c>
      <c r="T904" s="6" t="s">
        <v>8273</v>
      </c>
      <c r="U904" s="6" t="s">
        <v>217</v>
      </c>
      <c r="V904" s="5" t="s">
        <v>8274</v>
      </c>
      <c r="W904" s="5" t="s">
        <v>8275</v>
      </c>
      <c r="X904" s="6"/>
      <c r="Y904" s="6"/>
      <c r="Z904" s="6"/>
      <c r="AA904" s="6"/>
      <c r="AB904" s="6"/>
      <c r="AC904" s="6"/>
      <c r="AD904" s="7"/>
    </row>
    <row r="905" spans="1:30" ht="15.6" x14ac:dyDescent="0.3">
      <c r="A905" s="4">
        <v>146</v>
      </c>
      <c r="B905" s="5" t="s">
        <v>8276</v>
      </c>
      <c r="C905" s="6" t="s">
        <v>370</v>
      </c>
      <c r="D905" s="5" t="s">
        <v>8277</v>
      </c>
      <c r="E905" s="5" t="s">
        <v>48</v>
      </c>
      <c r="F905" s="6" t="s">
        <v>8278</v>
      </c>
      <c r="G905" s="6" t="s">
        <v>8279</v>
      </c>
      <c r="H905" s="6" t="s">
        <v>2009</v>
      </c>
      <c r="I905" s="6" t="s">
        <v>453</v>
      </c>
      <c r="J905" s="6" t="s">
        <v>1432</v>
      </c>
      <c r="K905" s="6" t="s">
        <v>297</v>
      </c>
      <c r="L905" s="6">
        <f>25%</f>
        <v>0.25</v>
      </c>
      <c r="M905" s="6" t="s">
        <v>8280</v>
      </c>
      <c r="N905" s="6">
        <f>25%</f>
        <v>0.25</v>
      </c>
      <c r="O905" s="6" t="s">
        <v>8281</v>
      </c>
      <c r="P905" s="6" t="s">
        <v>8282</v>
      </c>
      <c r="Q905" s="6">
        <f>4.4%</f>
        <v>4.4000000000000004E-2</v>
      </c>
      <c r="R905" s="6" t="s">
        <v>8283</v>
      </c>
      <c r="S905" s="6">
        <v>199</v>
      </c>
      <c r="T905" s="6" t="s">
        <v>8284</v>
      </c>
      <c r="U905" s="8">
        <v>-0.31</v>
      </c>
      <c r="V905" s="5" t="s">
        <v>8285</v>
      </c>
      <c r="W905" s="5" t="s">
        <v>6124</v>
      </c>
      <c r="X905" s="5" t="s">
        <v>8286</v>
      </c>
      <c r="Y905" s="5" t="s">
        <v>8287</v>
      </c>
      <c r="Z905" s="6"/>
      <c r="AA905" s="6"/>
      <c r="AB905" s="6"/>
      <c r="AC905" s="6"/>
      <c r="AD905" s="7"/>
    </row>
    <row r="906" spans="1:30" ht="15.6" x14ac:dyDescent="0.3">
      <c r="A906" s="4">
        <v>147</v>
      </c>
      <c r="B906" s="5" t="s">
        <v>8288</v>
      </c>
      <c r="C906" s="6" t="s">
        <v>126</v>
      </c>
      <c r="D906" s="5" t="s">
        <v>8289</v>
      </c>
      <c r="E906" s="5" t="s">
        <v>48</v>
      </c>
      <c r="F906" s="6" t="s">
        <v>8290</v>
      </c>
      <c r="G906" s="6" t="s">
        <v>8291</v>
      </c>
      <c r="H906" s="6" t="s">
        <v>2009</v>
      </c>
      <c r="I906" s="6" t="s">
        <v>1490</v>
      </c>
      <c r="J906" s="8">
        <v>0</v>
      </c>
      <c r="K906" s="6" t="s">
        <v>8292</v>
      </c>
      <c r="L906" s="8">
        <v>-0.27</v>
      </c>
      <c r="M906" s="6" t="s">
        <v>8293</v>
      </c>
      <c r="N906" s="8">
        <v>-0.27</v>
      </c>
      <c r="O906" s="6" t="s">
        <v>8294</v>
      </c>
      <c r="P906" s="6" t="s">
        <v>8295</v>
      </c>
      <c r="Q906" s="8">
        <v>-0.34</v>
      </c>
      <c r="R906" s="6" t="s">
        <v>8296</v>
      </c>
      <c r="S906" s="6">
        <v>8</v>
      </c>
      <c r="T906" s="6" t="s">
        <v>3398</v>
      </c>
      <c r="U906" s="8">
        <v>-0.42</v>
      </c>
      <c r="V906" s="5" t="s">
        <v>8297</v>
      </c>
      <c r="W906" s="5" t="s">
        <v>8298</v>
      </c>
      <c r="X906" s="5" t="s">
        <v>8299</v>
      </c>
      <c r="Y906" s="5" t="s">
        <v>8300</v>
      </c>
      <c r="Z906" s="5" t="s">
        <v>8301</v>
      </c>
      <c r="AA906" s="5" t="s">
        <v>7875</v>
      </c>
      <c r="AB906" s="5" t="s">
        <v>8302</v>
      </c>
      <c r="AC906" s="5" t="s">
        <v>8303</v>
      </c>
      <c r="AD906" s="9" t="s">
        <v>8304</v>
      </c>
    </row>
    <row r="907" spans="1:30" ht="15.6" x14ac:dyDescent="0.3">
      <c r="A907" s="4">
        <v>148</v>
      </c>
      <c r="B907" s="5" t="s">
        <v>8305</v>
      </c>
      <c r="C907" s="6" t="s">
        <v>46</v>
      </c>
      <c r="D907" s="5" t="s">
        <v>8306</v>
      </c>
      <c r="E907" s="5" t="s">
        <v>48</v>
      </c>
      <c r="F907" s="6" t="s">
        <v>8307</v>
      </c>
      <c r="G907" s="6" t="s">
        <v>8308</v>
      </c>
      <c r="H907" s="6" t="s">
        <v>2009</v>
      </c>
      <c r="I907" s="6" t="s">
        <v>505</v>
      </c>
      <c r="J907" s="6" t="s">
        <v>36</v>
      </c>
      <c r="K907" s="6" t="s">
        <v>8309</v>
      </c>
      <c r="L907" s="8">
        <v>-0.14000000000000001</v>
      </c>
      <c r="M907" s="6" t="s">
        <v>8310</v>
      </c>
      <c r="N907" s="8">
        <v>-0.15</v>
      </c>
      <c r="O907" s="6" t="s">
        <v>8311</v>
      </c>
      <c r="P907" s="6" t="s">
        <v>8312</v>
      </c>
      <c r="Q907" s="6">
        <f>0.019</f>
        <v>1.9E-2</v>
      </c>
      <c r="R907" s="6" t="s">
        <v>8313</v>
      </c>
      <c r="S907" s="6">
        <v>11</v>
      </c>
      <c r="T907" s="6" t="s">
        <v>2986</v>
      </c>
      <c r="U907" s="6">
        <f>940%</f>
        <v>9.4</v>
      </c>
      <c r="V907" s="6"/>
      <c r="W907" s="6"/>
      <c r="X907" s="6"/>
      <c r="Y907" s="6"/>
      <c r="Z907" s="6"/>
      <c r="AA907" s="6"/>
      <c r="AB907" s="6"/>
      <c r="AC907" s="6"/>
      <c r="AD907" s="7"/>
    </row>
    <row r="908" spans="1:30" ht="15.6" x14ac:dyDescent="0.3">
      <c r="A908" s="4">
        <v>149</v>
      </c>
      <c r="B908" s="5" t="s">
        <v>8314</v>
      </c>
      <c r="C908" s="6" t="s">
        <v>267</v>
      </c>
      <c r="D908" s="5" t="s">
        <v>8315</v>
      </c>
      <c r="E908" s="5" t="s">
        <v>48</v>
      </c>
      <c r="F908" s="6" t="s">
        <v>8316</v>
      </c>
      <c r="G908" s="6" t="s">
        <v>8317</v>
      </c>
      <c r="H908" s="6" t="s">
        <v>2009</v>
      </c>
      <c r="I908" s="8">
        <v>-0.96</v>
      </c>
      <c r="J908" s="6" t="s">
        <v>1048</v>
      </c>
      <c r="K908" s="6" t="s">
        <v>4025</v>
      </c>
      <c r="L908" s="8">
        <v>-0.86</v>
      </c>
      <c r="M908" s="6" t="s">
        <v>8318</v>
      </c>
      <c r="N908" s="8">
        <v>-0.86</v>
      </c>
      <c r="O908" s="6" t="s">
        <v>8319</v>
      </c>
      <c r="P908" s="6" t="s">
        <v>8320</v>
      </c>
      <c r="Q908" s="6">
        <f>0.023</f>
        <v>2.3E-2</v>
      </c>
      <c r="R908" s="6" t="s">
        <v>8321</v>
      </c>
      <c r="S908" s="6">
        <v>51</v>
      </c>
      <c r="T908" s="6" t="s">
        <v>8322</v>
      </c>
      <c r="U908" s="6" t="s">
        <v>9262</v>
      </c>
      <c r="V908" s="5" t="s">
        <v>8323</v>
      </c>
      <c r="W908" s="5" t="s">
        <v>8324</v>
      </c>
      <c r="X908" s="5" t="s">
        <v>8325</v>
      </c>
      <c r="Y908" s="5" t="s">
        <v>8326</v>
      </c>
      <c r="Z908" s="6"/>
      <c r="AA908" s="6"/>
      <c r="AB908" s="6"/>
      <c r="AC908" s="6"/>
      <c r="AD908" s="7"/>
    </row>
    <row r="909" spans="1:30" ht="15.6" x14ac:dyDescent="0.3">
      <c r="A909" s="4">
        <v>150</v>
      </c>
      <c r="B909" s="5" t="s">
        <v>8327</v>
      </c>
      <c r="C909" s="6" t="s">
        <v>185</v>
      </c>
      <c r="D909" s="5" t="s">
        <v>8328</v>
      </c>
      <c r="E909" s="5" t="s">
        <v>48</v>
      </c>
      <c r="F909" s="6" t="s">
        <v>8307</v>
      </c>
      <c r="G909" s="6" t="s">
        <v>8329</v>
      </c>
      <c r="H909" s="6" t="s">
        <v>2009</v>
      </c>
      <c r="I909" s="8">
        <v>-1</v>
      </c>
      <c r="J909" s="6" t="s">
        <v>698</v>
      </c>
      <c r="K909" s="6" t="s">
        <v>8330</v>
      </c>
      <c r="L909" s="8">
        <v>-0.99</v>
      </c>
      <c r="M909" s="6" t="s">
        <v>8331</v>
      </c>
      <c r="N909" s="8">
        <v>-0.99</v>
      </c>
      <c r="O909" s="6" t="s">
        <v>4382</v>
      </c>
      <c r="P909" s="6" t="s">
        <v>8332</v>
      </c>
      <c r="Q909" s="6">
        <f>0.019</f>
        <v>1.9E-2</v>
      </c>
      <c r="R909" s="6">
        <v>484</v>
      </c>
      <c r="S909" s="6">
        <v>0</v>
      </c>
      <c r="T909" s="6">
        <v>326</v>
      </c>
      <c r="U909" s="6" t="s">
        <v>9262</v>
      </c>
      <c r="V909" s="6"/>
      <c r="W909" s="6"/>
      <c r="X909" s="6"/>
      <c r="Y909" s="6"/>
      <c r="Z909" s="6"/>
      <c r="AA909" s="6"/>
      <c r="AB909" s="6"/>
      <c r="AC909" s="6"/>
      <c r="AD909" s="7"/>
    </row>
    <row r="910" spans="1:30" ht="15.6" x14ac:dyDescent="0.3">
      <c r="A910" s="4">
        <v>151</v>
      </c>
      <c r="B910" s="5" t="s">
        <v>8333</v>
      </c>
      <c r="C910" s="6" t="s">
        <v>304</v>
      </c>
      <c r="D910" s="5" t="s">
        <v>407</v>
      </c>
      <c r="E910" s="5" t="s">
        <v>48</v>
      </c>
      <c r="F910" s="6" t="s">
        <v>8334</v>
      </c>
      <c r="G910" s="6" t="s">
        <v>8335</v>
      </c>
      <c r="H910" s="6" t="s">
        <v>2009</v>
      </c>
      <c r="I910" s="6" t="s">
        <v>1112</v>
      </c>
      <c r="J910" s="6" t="s">
        <v>1365</v>
      </c>
      <c r="K910" s="6" t="s">
        <v>2677</v>
      </c>
      <c r="L910" s="6">
        <f>170%</f>
        <v>1.7</v>
      </c>
      <c r="M910" s="6" t="s">
        <v>8336</v>
      </c>
      <c r="N910" s="6">
        <f>170%</f>
        <v>1.7</v>
      </c>
      <c r="O910" s="6" t="s">
        <v>8337</v>
      </c>
      <c r="P910" s="6" t="s">
        <v>8338</v>
      </c>
      <c r="Q910" s="6">
        <f>0.032</f>
        <v>3.2000000000000001E-2</v>
      </c>
      <c r="R910" s="6" t="s">
        <v>8339</v>
      </c>
      <c r="S910" s="6">
        <v>34</v>
      </c>
      <c r="T910" s="6" t="s">
        <v>8340</v>
      </c>
      <c r="U910" s="6">
        <f>27%</f>
        <v>0.27</v>
      </c>
      <c r="V910" s="5" t="s">
        <v>8341</v>
      </c>
      <c r="W910" s="5" t="s">
        <v>8342</v>
      </c>
      <c r="X910" s="6"/>
      <c r="Y910" s="6"/>
      <c r="Z910" s="6"/>
      <c r="AA910" s="6"/>
      <c r="AB910" s="6"/>
      <c r="AC910" s="6"/>
      <c r="AD910" s="7"/>
    </row>
    <row r="911" spans="1:30" ht="15.6" x14ac:dyDescent="0.3">
      <c r="A911" s="4">
        <v>152</v>
      </c>
      <c r="B911" s="5" t="s">
        <v>8343</v>
      </c>
      <c r="C911" s="6" t="s">
        <v>173</v>
      </c>
      <c r="D911" s="5" t="s">
        <v>8344</v>
      </c>
      <c r="E911" s="5" t="s">
        <v>48</v>
      </c>
      <c r="F911" s="6" t="s">
        <v>8345</v>
      </c>
      <c r="G911" s="6" t="s">
        <v>8346</v>
      </c>
      <c r="H911" s="6" t="s">
        <v>2009</v>
      </c>
      <c r="I911" s="6" t="s">
        <v>8347</v>
      </c>
      <c r="J911" s="6" t="s">
        <v>131</v>
      </c>
      <c r="K911" s="6" t="s">
        <v>285</v>
      </c>
      <c r="L911" s="6" t="s">
        <v>217</v>
      </c>
      <c r="M911" s="6" t="s">
        <v>8348</v>
      </c>
      <c r="N911" s="6">
        <f>0.0078%</f>
        <v>7.7999999999999999E-5</v>
      </c>
      <c r="O911" s="6" t="s">
        <v>8349</v>
      </c>
      <c r="P911" s="6" t="s">
        <v>8350</v>
      </c>
      <c r="Q911" s="6">
        <f>12%</f>
        <v>0.12</v>
      </c>
      <c r="R911" s="6" t="s">
        <v>8351</v>
      </c>
      <c r="S911" s="6">
        <v>87</v>
      </c>
      <c r="T911" s="6" t="s">
        <v>1615</v>
      </c>
      <c r="U911" s="8">
        <v>-0.37</v>
      </c>
      <c r="V911" s="5" t="s">
        <v>8352</v>
      </c>
      <c r="W911" s="5" t="s">
        <v>8353</v>
      </c>
      <c r="X911" s="5" t="s">
        <v>8354</v>
      </c>
      <c r="Y911" s="5" t="s">
        <v>8353</v>
      </c>
      <c r="Z911" s="5" t="s">
        <v>8355</v>
      </c>
      <c r="AA911" s="5" t="s">
        <v>8356</v>
      </c>
      <c r="AB911" s="5" t="s">
        <v>8357</v>
      </c>
      <c r="AC911" s="5" t="s">
        <v>8358</v>
      </c>
      <c r="AD911" s="9" t="s">
        <v>8359</v>
      </c>
    </row>
    <row r="912" spans="1:30" ht="15.6" x14ac:dyDescent="0.3">
      <c r="A912" s="4">
        <v>153</v>
      </c>
      <c r="B912" s="5" t="s">
        <v>8360</v>
      </c>
      <c r="C912" s="6" t="s">
        <v>267</v>
      </c>
      <c r="D912" s="5" t="s">
        <v>8361</v>
      </c>
      <c r="E912" s="5" t="s">
        <v>48</v>
      </c>
      <c r="F912" s="6" t="s">
        <v>8362</v>
      </c>
      <c r="G912" s="6" t="s">
        <v>8363</v>
      </c>
      <c r="H912" s="6" t="s">
        <v>2009</v>
      </c>
      <c r="I912" s="8">
        <v>-1</v>
      </c>
      <c r="J912" s="6" t="s">
        <v>667</v>
      </c>
      <c r="K912" s="6" t="s">
        <v>8364</v>
      </c>
      <c r="L912" s="6" t="s">
        <v>217</v>
      </c>
      <c r="M912" s="6" t="s">
        <v>8365</v>
      </c>
      <c r="N912" s="6">
        <f>0.016%</f>
        <v>1.6000000000000001E-4</v>
      </c>
      <c r="O912" s="6" t="s">
        <v>2321</v>
      </c>
      <c r="P912" s="6" t="s">
        <v>8366</v>
      </c>
      <c r="Q912" s="6">
        <f>0.04</f>
        <v>0.04</v>
      </c>
      <c r="R912" s="6">
        <v>869</v>
      </c>
      <c r="S912" s="6">
        <v>5</v>
      </c>
      <c r="T912" s="6">
        <v>306</v>
      </c>
      <c r="U912" s="6" t="s">
        <v>217</v>
      </c>
      <c r="V912" s="5" t="s">
        <v>8367</v>
      </c>
      <c r="W912" s="5" t="s">
        <v>8368</v>
      </c>
      <c r="X912" s="5" t="s">
        <v>8369</v>
      </c>
      <c r="Y912" s="5" t="s">
        <v>8370</v>
      </c>
      <c r="Z912" s="5" t="s">
        <v>8371</v>
      </c>
      <c r="AA912" s="5" t="s">
        <v>8372</v>
      </c>
      <c r="AB912" s="5" t="s">
        <v>8373</v>
      </c>
      <c r="AC912" s="5" t="s">
        <v>8374</v>
      </c>
      <c r="AD912" s="9" t="s">
        <v>8375</v>
      </c>
    </row>
    <row r="913" spans="1:30" ht="15.6" x14ac:dyDescent="0.3">
      <c r="A913" s="4">
        <v>154</v>
      </c>
      <c r="B913" s="5" t="s">
        <v>8376</v>
      </c>
      <c r="C913" s="6" t="s">
        <v>370</v>
      </c>
      <c r="D913" s="5" t="s">
        <v>8377</v>
      </c>
      <c r="E913" s="5" t="s">
        <v>48</v>
      </c>
      <c r="F913" s="6" t="s">
        <v>2472</v>
      </c>
      <c r="G913" s="6" t="s">
        <v>8378</v>
      </c>
      <c r="H913" s="6" t="s">
        <v>2009</v>
      </c>
      <c r="I913" s="6" t="s">
        <v>295</v>
      </c>
      <c r="J913" s="6" t="s">
        <v>973</v>
      </c>
      <c r="K913" s="6" t="s">
        <v>8379</v>
      </c>
      <c r="L913" s="8">
        <v>-0.14000000000000001</v>
      </c>
      <c r="M913" s="6" t="s">
        <v>4495</v>
      </c>
      <c r="N913" s="8">
        <v>-0.14000000000000001</v>
      </c>
      <c r="O913" s="6" t="s">
        <v>3999</v>
      </c>
      <c r="P913" s="6" t="s">
        <v>217</v>
      </c>
      <c r="Q913" s="6" t="s">
        <v>217</v>
      </c>
      <c r="R913" s="6">
        <v>468</v>
      </c>
      <c r="S913" s="6">
        <v>3</v>
      </c>
      <c r="T913" s="6">
        <v>333</v>
      </c>
      <c r="U913" s="6" t="s">
        <v>217</v>
      </c>
      <c r="V913" s="5" t="s">
        <v>8380</v>
      </c>
      <c r="W913" s="5" t="s">
        <v>8381</v>
      </c>
      <c r="X913" s="5" t="s">
        <v>8382</v>
      </c>
      <c r="Y913" s="5" t="s">
        <v>8383</v>
      </c>
      <c r="Z913" s="5" t="s">
        <v>8384</v>
      </c>
      <c r="AA913" s="5" t="s">
        <v>8385</v>
      </c>
      <c r="AB913" s="5" t="s">
        <v>8386</v>
      </c>
      <c r="AC913" s="5" t="s">
        <v>8387</v>
      </c>
      <c r="AD913" s="7"/>
    </row>
    <row r="914" spans="1:30" ht="15.6" x14ac:dyDescent="0.3">
      <c r="A914" s="4">
        <v>155</v>
      </c>
      <c r="B914" s="5" t="s">
        <v>8388</v>
      </c>
      <c r="C914" s="6" t="s">
        <v>304</v>
      </c>
      <c r="D914" s="5" t="s">
        <v>8389</v>
      </c>
      <c r="E914" s="5" t="s">
        <v>48</v>
      </c>
      <c r="F914" s="6" t="s">
        <v>8390</v>
      </c>
      <c r="G914" s="6" t="s">
        <v>8391</v>
      </c>
      <c r="H914" s="6" t="s">
        <v>2009</v>
      </c>
      <c r="I914" s="8">
        <v>-0.99</v>
      </c>
      <c r="J914" s="6" t="s">
        <v>421</v>
      </c>
      <c r="K914" s="6" t="s">
        <v>8392</v>
      </c>
      <c r="L914" s="8">
        <v>-0.43</v>
      </c>
      <c r="M914" s="6" t="s">
        <v>8393</v>
      </c>
      <c r="N914" s="8">
        <v>-0.43</v>
      </c>
      <c r="O914" s="6" t="s">
        <v>8394</v>
      </c>
      <c r="P914" s="6" t="s">
        <v>8395</v>
      </c>
      <c r="Q914" s="6">
        <f>0.027</f>
        <v>2.7E-2</v>
      </c>
      <c r="R914" s="6">
        <v>154</v>
      </c>
      <c r="S914" s="6">
        <v>2</v>
      </c>
      <c r="T914" s="6" t="s">
        <v>8396</v>
      </c>
      <c r="U914" s="8">
        <v>-0.85</v>
      </c>
      <c r="V914" s="5" t="s">
        <v>8397</v>
      </c>
      <c r="W914" s="5" t="s">
        <v>8398</v>
      </c>
      <c r="X914" s="6"/>
      <c r="Y914" s="6"/>
      <c r="Z914" s="6"/>
      <c r="AA914" s="6"/>
      <c r="AB914" s="6"/>
      <c r="AC914" s="6"/>
      <c r="AD914" s="7"/>
    </row>
    <row r="915" spans="1:30" ht="15.6" x14ac:dyDescent="0.3">
      <c r="A915" s="4">
        <v>156</v>
      </c>
      <c r="B915" s="5" t="s">
        <v>8399</v>
      </c>
      <c r="C915" s="6" t="s">
        <v>60</v>
      </c>
      <c r="D915" s="5" t="s">
        <v>8400</v>
      </c>
      <c r="E915" s="5" t="s">
        <v>33</v>
      </c>
      <c r="F915" s="6" t="s">
        <v>8401</v>
      </c>
      <c r="G915" s="6" t="s">
        <v>8402</v>
      </c>
      <c r="H915" s="6" t="s">
        <v>2009</v>
      </c>
      <c r="I915" s="6" t="s">
        <v>8403</v>
      </c>
      <c r="J915" s="6" t="s">
        <v>1491</v>
      </c>
      <c r="K915" s="6" t="s">
        <v>8404</v>
      </c>
      <c r="L915" s="6">
        <f>41%</f>
        <v>0.41</v>
      </c>
      <c r="M915" s="6" t="s">
        <v>8405</v>
      </c>
      <c r="N915" s="6">
        <f>41%</f>
        <v>0.41</v>
      </c>
      <c r="O915" s="6" t="s">
        <v>8406</v>
      </c>
      <c r="P915" s="6" t="s">
        <v>8407</v>
      </c>
      <c r="Q915" s="6">
        <f>15%</f>
        <v>0.15</v>
      </c>
      <c r="R915" s="6" t="s">
        <v>8408</v>
      </c>
      <c r="S915" s="6">
        <v>63</v>
      </c>
      <c r="T915" s="6" t="s">
        <v>8409</v>
      </c>
      <c r="U915" s="6">
        <f>0.31%</f>
        <v>3.0999999999999999E-3</v>
      </c>
      <c r="V915" s="6"/>
      <c r="W915" s="6"/>
      <c r="X915" s="6"/>
      <c r="Y915" s="6"/>
      <c r="Z915" s="6"/>
      <c r="AA915" s="6"/>
      <c r="AB915" s="6"/>
      <c r="AC915" s="6"/>
      <c r="AD915" s="7"/>
    </row>
    <row r="916" spans="1:30" ht="15.6" x14ac:dyDescent="0.3">
      <c r="A916" s="4">
        <v>157</v>
      </c>
      <c r="B916" s="5" t="s">
        <v>8410</v>
      </c>
      <c r="C916" s="6" t="s">
        <v>102</v>
      </c>
      <c r="D916" s="5" t="s">
        <v>8411</v>
      </c>
      <c r="E916" s="5" t="s">
        <v>48</v>
      </c>
      <c r="F916" s="6" t="s">
        <v>8412</v>
      </c>
      <c r="G916" s="6" t="s">
        <v>8413</v>
      </c>
      <c r="H916" s="6" t="s">
        <v>2009</v>
      </c>
      <c r="I916" s="8">
        <v>-0.26</v>
      </c>
      <c r="J916" s="6" t="s">
        <v>177</v>
      </c>
      <c r="K916" s="6" t="s">
        <v>8414</v>
      </c>
      <c r="L916" s="8">
        <v>-0.35</v>
      </c>
      <c r="M916" s="6" t="s">
        <v>8415</v>
      </c>
      <c r="N916" s="8">
        <v>-0.35</v>
      </c>
      <c r="O916" s="6" t="s">
        <v>2038</v>
      </c>
      <c r="P916" s="6" t="s">
        <v>8416</v>
      </c>
      <c r="Q916" s="6">
        <f>0.039</f>
        <v>3.9E-2</v>
      </c>
      <c r="R916" s="6">
        <v>220</v>
      </c>
      <c r="S916" s="6">
        <v>0</v>
      </c>
      <c r="T916" s="6">
        <v>629</v>
      </c>
      <c r="U916" s="6">
        <f>350%</f>
        <v>3.5</v>
      </c>
      <c r="V916" s="6"/>
      <c r="W916" s="6"/>
      <c r="X916" s="6"/>
      <c r="Y916" s="6"/>
      <c r="Z916" s="6"/>
      <c r="AA916" s="6"/>
      <c r="AB916" s="6"/>
      <c r="AC916" s="6"/>
      <c r="AD916" s="7"/>
    </row>
    <row r="917" spans="1:30" ht="15.6" x14ac:dyDescent="0.3">
      <c r="A917" s="4">
        <v>158</v>
      </c>
      <c r="B917" s="5" t="s">
        <v>8417</v>
      </c>
      <c r="C917" s="6" t="s">
        <v>114</v>
      </c>
      <c r="D917" s="5" t="s">
        <v>8418</v>
      </c>
      <c r="E917" s="5" t="s">
        <v>33</v>
      </c>
      <c r="F917" s="6" t="s">
        <v>8419</v>
      </c>
      <c r="G917" s="6" t="s">
        <v>8420</v>
      </c>
      <c r="H917" s="6" t="s">
        <v>2009</v>
      </c>
      <c r="I917" s="8">
        <v>-0.85</v>
      </c>
      <c r="J917" s="6" t="s">
        <v>540</v>
      </c>
      <c r="K917" s="6" t="s">
        <v>8421</v>
      </c>
      <c r="L917" s="6">
        <f>280%</f>
        <v>2.8</v>
      </c>
      <c r="M917" s="6" t="s">
        <v>8422</v>
      </c>
      <c r="N917" s="6">
        <f>280%</f>
        <v>2.8</v>
      </c>
      <c r="O917" s="6" t="s">
        <v>8423</v>
      </c>
      <c r="P917" s="6" t="s">
        <v>8424</v>
      </c>
      <c r="Q917" s="6">
        <f>0.03</f>
        <v>0.03</v>
      </c>
      <c r="R917" s="6" t="s">
        <v>8425</v>
      </c>
      <c r="S917" s="6">
        <v>92</v>
      </c>
      <c r="T917" s="6" t="s">
        <v>8426</v>
      </c>
      <c r="U917" s="6" t="s">
        <v>9262</v>
      </c>
      <c r="V917" s="5" t="s">
        <v>8427</v>
      </c>
      <c r="W917" s="5" t="s">
        <v>6759</v>
      </c>
      <c r="X917" s="5" t="s">
        <v>8428</v>
      </c>
      <c r="Y917" s="5" t="s">
        <v>8429</v>
      </c>
      <c r="Z917" s="6"/>
      <c r="AA917" s="6"/>
      <c r="AB917" s="6"/>
      <c r="AC917" s="6"/>
      <c r="AD917" s="7"/>
    </row>
    <row r="918" spans="1:30" ht="15.6" x14ac:dyDescent="0.3">
      <c r="A918" s="4">
        <v>159</v>
      </c>
      <c r="B918" s="5" t="s">
        <v>8430</v>
      </c>
      <c r="C918" s="6" t="s">
        <v>60</v>
      </c>
      <c r="D918" s="5" t="s">
        <v>8431</v>
      </c>
      <c r="E918" s="5" t="s">
        <v>33</v>
      </c>
      <c r="F918" s="6" t="s">
        <v>8432</v>
      </c>
      <c r="G918" s="6" t="s">
        <v>8433</v>
      </c>
      <c r="H918" s="6" t="s">
        <v>2009</v>
      </c>
      <c r="I918" s="6" t="s">
        <v>8434</v>
      </c>
      <c r="J918" s="6" t="s">
        <v>2776</v>
      </c>
      <c r="K918" s="6" t="s">
        <v>5492</v>
      </c>
      <c r="L918" s="8">
        <v>-0.19</v>
      </c>
      <c r="M918" s="6" t="s">
        <v>8435</v>
      </c>
      <c r="N918" s="8">
        <v>-0.19</v>
      </c>
      <c r="O918" s="6" t="s">
        <v>8436</v>
      </c>
      <c r="P918" s="6" t="s">
        <v>8437</v>
      </c>
      <c r="Q918" s="6">
        <f>35%</f>
        <v>0.35</v>
      </c>
      <c r="R918" s="6" t="s">
        <v>8438</v>
      </c>
      <c r="S918" s="6">
        <v>74</v>
      </c>
      <c r="T918" s="6" t="s">
        <v>8439</v>
      </c>
      <c r="U918" s="8">
        <v>-0.53</v>
      </c>
      <c r="V918" s="5" t="s">
        <v>8440</v>
      </c>
      <c r="W918" s="5" t="s">
        <v>8441</v>
      </c>
      <c r="X918" s="5" t="s">
        <v>8442</v>
      </c>
      <c r="Y918" s="5" t="s">
        <v>8443</v>
      </c>
      <c r="Z918" s="5" t="s">
        <v>8444</v>
      </c>
      <c r="AA918" s="5" t="s">
        <v>8445</v>
      </c>
      <c r="AB918" s="5" t="s">
        <v>8446</v>
      </c>
      <c r="AC918" s="5" t="s">
        <v>8447</v>
      </c>
      <c r="AD918" s="9" t="s">
        <v>8448</v>
      </c>
    </row>
    <row r="919" spans="1:30" ht="15.6" x14ac:dyDescent="0.3">
      <c r="A919" s="4">
        <v>160</v>
      </c>
      <c r="B919" s="5" t="s">
        <v>8449</v>
      </c>
      <c r="C919" s="6" t="s">
        <v>304</v>
      </c>
      <c r="D919" s="5" t="s">
        <v>8450</v>
      </c>
      <c r="E919" s="5" t="s">
        <v>48</v>
      </c>
      <c r="F919" s="6" t="s">
        <v>8451</v>
      </c>
      <c r="G919" s="6" t="s">
        <v>8452</v>
      </c>
      <c r="H919" s="6" t="s">
        <v>2009</v>
      </c>
      <c r="I919" s="8">
        <v>-0.55000000000000004</v>
      </c>
      <c r="J919" s="6" t="s">
        <v>296</v>
      </c>
      <c r="K919" s="6" t="s">
        <v>6872</v>
      </c>
      <c r="L919" s="6">
        <f>56%</f>
        <v>0.56000000000000005</v>
      </c>
      <c r="M919" s="6" t="s">
        <v>8453</v>
      </c>
      <c r="N919" s="6">
        <f>56%</f>
        <v>0.56000000000000005</v>
      </c>
      <c r="O919" s="6" t="s">
        <v>8454</v>
      </c>
      <c r="P919" s="6" t="s">
        <v>8455</v>
      </c>
      <c r="Q919" s="6">
        <f>0.033</f>
        <v>3.3000000000000002E-2</v>
      </c>
      <c r="R919" s="6" t="s">
        <v>8456</v>
      </c>
      <c r="S919" s="6">
        <v>127</v>
      </c>
      <c r="T919" s="6" t="s">
        <v>8457</v>
      </c>
      <c r="U919" s="6">
        <f>2.8%</f>
        <v>2.7999999999999997E-2</v>
      </c>
      <c r="V919" s="5" t="s">
        <v>8458</v>
      </c>
      <c r="W919" s="5" t="s">
        <v>8459</v>
      </c>
      <c r="X919" s="6"/>
      <c r="Y919" s="6"/>
      <c r="Z919" s="6"/>
      <c r="AA919" s="6"/>
      <c r="AB919" s="6"/>
      <c r="AC919" s="6"/>
      <c r="AD919" s="7"/>
    </row>
    <row r="920" spans="1:30" ht="15.6" x14ac:dyDescent="0.3">
      <c r="A920" s="4">
        <v>161</v>
      </c>
      <c r="B920" s="5" t="s">
        <v>8460</v>
      </c>
      <c r="C920" s="6" t="s">
        <v>31</v>
      </c>
      <c r="D920" s="5" t="s">
        <v>8461</v>
      </c>
      <c r="E920" s="5" t="s">
        <v>48</v>
      </c>
      <c r="F920" s="6" t="s">
        <v>8462</v>
      </c>
      <c r="G920" s="6" t="s">
        <v>8463</v>
      </c>
      <c r="H920" s="6" t="s">
        <v>2009</v>
      </c>
      <c r="I920" s="6" t="s">
        <v>89</v>
      </c>
      <c r="J920" s="6" t="s">
        <v>1110</v>
      </c>
      <c r="K920" s="6" t="s">
        <v>8083</v>
      </c>
      <c r="L920" s="6">
        <f>19%</f>
        <v>0.19</v>
      </c>
      <c r="M920" s="6" t="s">
        <v>8084</v>
      </c>
      <c r="N920" s="6">
        <f>19%</f>
        <v>0.19</v>
      </c>
      <c r="O920" s="6" t="s">
        <v>8464</v>
      </c>
      <c r="P920" s="6" t="s">
        <v>8465</v>
      </c>
      <c r="Q920" s="6">
        <f>0.6%</f>
        <v>6.0000000000000001E-3</v>
      </c>
      <c r="R920" s="6" t="s">
        <v>8466</v>
      </c>
      <c r="S920" s="6">
        <v>469</v>
      </c>
      <c r="T920" s="6" t="s">
        <v>8467</v>
      </c>
      <c r="U920" s="8">
        <v>-0.2</v>
      </c>
      <c r="V920" s="5" t="s">
        <v>8468</v>
      </c>
      <c r="W920" s="5" t="s">
        <v>8469</v>
      </c>
      <c r="X920" s="6"/>
      <c r="Y920" s="6"/>
      <c r="Z920" s="6"/>
      <c r="AA920" s="6"/>
      <c r="AB920" s="6"/>
      <c r="AC920" s="6"/>
      <c r="AD920" s="7"/>
    </row>
    <row r="921" spans="1:30" ht="15.6" x14ac:dyDescent="0.3">
      <c r="A921" s="4">
        <v>162</v>
      </c>
      <c r="B921" s="5" t="s">
        <v>8470</v>
      </c>
      <c r="C921" s="6" t="s">
        <v>114</v>
      </c>
      <c r="D921" s="5" t="s">
        <v>8471</v>
      </c>
      <c r="E921" s="5" t="s">
        <v>33</v>
      </c>
      <c r="F921" s="6" t="s">
        <v>8472</v>
      </c>
      <c r="G921" s="6" t="s">
        <v>8473</v>
      </c>
      <c r="H921" s="6" t="s">
        <v>2009</v>
      </c>
      <c r="I921" s="6" t="s">
        <v>2775</v>
      </c>
      <c r="J921" s="6" t="s">
        <v>1059</v>
      </c>
      <c r="K921" s="6" t="s">
        <v>8474</v>
      </c>
      <c r="L921" s="6">
        <f>52%</f>
        <v>0.52</v>
      </c>
      <c r="M921" s="6" t="s">
        <v>8475</v>
      </c>
      <c r="N921" s="6">
        <f>52%</f>
        <v>0.52</v>
      </c>
      <c r="O921" s="6" t="s">
        <v>8476</v>
      </c>
      <c r="P921" s="6" t="s">
        <v>8477</v>
      </c>
      <c r="Q921" s="8">
        <v>-0.26</v>
      </c>
      <c r="R921" s="6" t="s">
        <v>8478</v>
      </c>
      <c r="S921" s="6">
        <v>42</v>
      </c>
      <c r="T921" s="6" t="s">
        <v>8479</v>
      </c>
      <c r="U921" s="8">
        <v>-0.56000000000000005</v>
      </c>
      <c r="V921" s="5" t="s">
        <v>8480</v>
      </c>
      <c r="W921" s="5" t="s">
        <v>7144</v>
      </c>
      <c r="X921" s="6"/>
      <c r="Y921" s="6"/>
      <c r="Z921" s="6"/>
      <c r="AA921" s="6"/>
      <c r="AB921" s="6"/>
      <c r="AC921" s="6"/>
      <c r="AD921" s="7"/>
    </row>
    <row r="922" spans="1:30" ht="15.6" x14ac:dyDescent="0.3">
      <c r="A922" s="4">
        <v>163</v>
      </c>
      <c r="B922" s="5" t="s">
        <v>8481</v>
      </c>
      <c r="C922" s="6" t="s">
        <v>291</v>
      </c>
      <c r="D922" s="5" t="s">
        <v>8482</v>
      </c>
      <c r="E922" s="5" t="s">
        <v>48</v>
      </c>
      <c r="F922" s="6" t="s">
        <v>8483</v>
      </c>
      <c r="G922" s="6" t="s">
        <v>8484</v>
      </c>
      <c r="H922" s="6" t="s">
        <v>2009</v>
      </c>
      <c r="I922" s="8">
        <v>-1</v>
      </c>
      <c r="J922" s="6" t="s">
        <v>259</v>
      </c>
      <c r="K922" s="6" t="s">
        <v>8485</v>
      </c>
      <c r="L922" s="6">
        <f>35%</f>
        <v>0.35</v>
      </c>
      <c r="M922" s="6" t="s">
        <v>8486</v>
      </c>
      <c r="N922" s="6">
        <f>35%</f>
        <v>0.35</v>
      </c>
      <c r="O922" s="6" t="s">
        <v>8487</v>
      </c>
      <c r="P922" s="6" t="s">
        <v>8488</v>
      </c>
      <c r="Q922" s="6">
        <f>0.036</f>
        <v>3.5999999999999997E-2</v>
      </c>
      <c r="R922" s="6" t="s">
        <v>8489</v>
      </c>
      <c r="S922" s="6">
        <v>18</v>
      </c>
      <c r="T922" s="6" t="s">
        <v>1349</v>
      </c>
      <c r="U922" s="6" t="s">
        <v>9262</v>
      </c>
      <c r="V922" s="5" t="s">
        <v>8490</v>
      </c>
      <c r="W922" s="5" t="s">
        <v>7378</v>
      </c>
      <c r="X922" s="6"/>
      <c r="Y922" s="6"/>
      <c r="Z922" s="6"/>
      <c r="AA922" s="6"/>
      <c r="AB922" s="6"/>
      <c r="AC922" s="6"/>
      <c r="AD922" s="7"/>
    </row>
    <row r="923" spans="1:30" ht="15.6" x14ac:dyDescent="0.3">
      <c r="A923" s="4">
        <v>164</v>
      </c>
      <c r="B923" s="5" t="s">
        <v>8491</v>
      </c>
      <c r="C923" s="6" t="s">
        <v>1408</v>
      </c>
      <c r="D923" s="5" t="s">
        <v>8492</v>
      </c>
      <c r="E923" s="5" t="s">
        <v>48</v>
      </c>
      <c r="F923" s="6" t="s">
        <v>8493</v>
      </c>
      <c r="G923" s="6" t="s">
        <v>8494</v>
      </c>
      <c r="H923" s="6" t="s">
        <v>2009</v>
      </c>
      <c r="I923" s="8">
        <v>-0.42</v>
      </c>
      <c r="J923" s="6" t="s">
        <v>321</v>
      </c>
      <c r="K923" s="6" t="s">
        <v>8495</v>
      </c>
      <c r="L923" s="8">
        <v>-0.33</v>
      </c>
      <c r="M923" s="6" t="s">
        <v>8496</v>
      </c>
      <c r="N923" s="8">
        <v>-0.33</v>
      </c>
      <c r="O923" s="6" t="s">
        <v>8497</v>
      </c>
      <c r="P923" s="6" t="s">
        <v>8498</v>
      </c>
      <c r="Q923" s="6">
        <f>0.036</f>
        <v>3.5999999999999997E-2</v>
      </c>
      <c r="R923" s="6" t="s">
        <v>8499</v>
      </c>
      <c r="S923" s="6">
        <v>24</v>
      </c>
      <c r="T923" s="6" t="s">
        <v>735</v>
      </c>
      <c r="U923" s="6">
        <f>2.5%</f>
        <v>2.5000000000000001E-2</v>
      </c>
      <c r="V923" s="5" t="s">
        <v>8500</v>
      </c>
      <c r="W923" s="5" t="s">
        <v>8501</v>
      </c>
      <c r="X923" s="5" t="s">
        <v>8502</v>
      </c>
      <c r="Y923" s="5" t="s">
        <v>8503</v>
      </c>
      <c r="Z923" s="5" t="s">
        <v>8504</v>
      </c>
      <c r="AA923" s="5" t="s">
        <v>8503</v>
      </c>
      <c r="AB923" s="6"/>
      <c r="AC923" s="6"/>
      <c r="AD923" s="7"/>
    </row>
    <row r="924" spans="1:30" ht="15.6" x14ac:dyDescent="0.3">
      <c r="A924" s="4">
        <v>165</v>
      </c>
      <c r="B924" s="5" t="s">
        <v>8505</v>
      </c>
      <c r="C924" s="6" t="s">
        <v>173</v>
      </c>
      <c r="D924" s="5" t="s">
        <v>8506</v>
      </c>
      <c r="E924" s="5" t="s">
        <v>33</v>
      </c>
      <c r="F924" s="6" t="s">
        <v>8507</v>
      </c>
      <c r="G924" s="6" t="s">
        <v>8508</v>
      </c>
      <c r="H924" s="6" t="s">
        <v>2009</v>
      </c>
      <c r="I924" s="6" t="s">
        <v>130</v>
      </c>
      <c r="J924" s="6" t="s">
        <v>321</v>
      </c>
      <c r="K924" s="6" t="s">
        <v>8509</v>
      </c>
      <c r="L924" s="6" t="s">
        <v>3386</v>
      </c>
      <c r="M924" s="6" t="s">
        <v>8510</v>
      </c>
      <c r="N924" s="6" t="s">
        <v>3386</v>
      </c>
      <c r="O924" s="6" t="s">
        <v>8511</v>
      </c>
      <c r="P924" s="6" t="s">
        <v>8512</v>
      </c>
      <c r="Q924" s="6">
        <f>180%</f>
        <v>1.8</v>
      </c>
      <c r="R924" s="6" t="s">
        <v>8513</v>
      </c>
      <c r="S924" s="6">
        <v>123</v>
      </c>
      <c r="T924" s="6" t="s">
        <v>8514</v>
      </c>
      <c r="U924" s="6"/>
      <c r="V924" s="6"/>
      <c r="W924" s="6"/>
      <c r="X924" s="6"/>
      <c r="Y924" s="6"/>
      <c r="Z924" s="6"/>
      <c r="AA924" s="6"/>
      <c r="AB924" s="6"/>
      <c r="AC924" s="6"/>
      <c r="AD924" s="7"/>
    </row>
    <row r="925" spans="1:30" ht="15.6" x14ac:dyDescent="0.3">
      <c r="A925" s="4">
        <v>166</v>
      </c>
      <c r="B925" s="5" t="s">
        <v>8515</v>
      </c>
      <c r="C925" s="6" t="s">
        <v>1408</v>
      </c>
      <c r="D925" s="5" t="s">
        <v>8516</v>
      </c>
      <c r="E925" s="5" t="s">
        <v>48</v>
      </c>
      <c r="F925" s="6" t="s">
        <v>8517</v>
      </c>
      <c r="G925" s="6" t="s">
        <v>8518</v>
      </c>
      <c r="H925" s="6" t="s">
        <v>2009</v>
      </c>
      <c r="I925" s="8">
        <v>-0.94</v>
      </c>
      <c r="J925" s="6" t="s">
        <v>667</v>
      </c>
      <c r="K925" s="6" t="s">
        <v>8519</v>
      </c>
      <c r="L925" s="6" t="s">
        <v>217</v>
      </c>
      <c r="M925" s="6" t="s">
        <v>8520</v>
      </c>
      <c r="N925" s="6">
        <f>1.5%</f>
        <v>1.4999999999999999E-2</v>
      </c>
      <c r="O925" s="6" t="s">
        <v>3643</v>
      </c>
      <c r="P925" s="6" t="s">
        <v>8521</v>
      </c>
      <c r="Q925" s="6">
        <f>0.021</f>
        <v>2.1000000000000001E-2</v>
      </c>
      <c r="R925" s="6">
        <v>142</v>
      </c>
      <c r="S925" s="6">
        <v>13</v>
      </c>
      <c r="T925" s="6">
        <v>220</v>
      </c>
      <c r="U925" s="8">
        <v>-0.94</v>
      </c>
      <c r="V925" s="5" t="s">
        <v>8522</v>
      </c>
      <c r="W925" s="5" t="s">
        <v>8523</v>
      </c>
      <c r="X925" s="6"/>
      <c r="Y925" s="6"/>
      <c r="Z925" s="6"/>
      <c r="AA925" s="6"/>
      <c r="AB925" s="6"/>
      <c r="AC925" s="6"/>
      <c r="AD925" s="7"/>
    </row>
    <row r="926" spans="1:30" ht="15.6" x14ac:dyDescent="0.3">
      <c r="A926" s="4">
        <v>167</v>
      </c>
      <c r="B926" s="5" t="s">
        <v>8524</v>
      </c>
      <c r="C926" s="6" t="s">
        <v>291</v>
      </c>
      <c r="D926" s="5" t="s">
        <v>8525</v>
      </c>
      <c r="E926" s="5" t="s">
        <v>48</v>
      </c>
      <c r="F926" s="6" t="s">
        <v>8526</v>
      </c>
      <c r="G926" s="6" t="s">
        <v>8527</v>
      </c>
      <c r="H926" s="6" t="s">
        <v>2009</v>
      </c>
      <c r="I926" s="6" t="s">
        <v>6803</v>
      </c>
      <c r="J926" s="6" t="s">
        <v>177</v>
      </c>
      <c r="K926" s="6" t="s">
        <v>285</v>
      </c>
      <c r="L926" s="6">
        <f>17%</f>
        <v>0.17</v>
      </c>
      <c r="M926" s="6" t="s">
        <v>597</v>
      </c>
      <c r="N926" s="6">
        <f>17%</f>
        <v>0.17</v>
      </c>
      <c r="O926" s="6" t="s">
        <v>8528</v>
      </c>
      <c r="P926" s="6" t="s">
        <v>8529</v>
      </c>
      <c r="Q926" s="8">
        <v>-0.56000000000000005</v>
      </c>
      <c r="R926" s="6" t="s">
        <v>8530</v>
      </c>
      <c r="S926" s="6">
        <v>25</v>
      </c>
      <c r="T926" s="6" t="s">
        <v>4953</v>
      </c>
      <c r="U926" s="8">
        <v>-0.59</v>
      </c>
      <c r="V926" s="6"/>
      <c r="W926" s="6"/>
      <c r="X926" s="6"/>
      <c r="Y926" s="6"/>
      <c r="Z926" s="6"/>
      <c r="AA926" s="6"/>
      <c r="AB926" s="6"/>
      <c r="AC926" s="6"/>
      <c r="AD926" s="7"/>
    </row>
    <row r="927" spans="1:30" ht="15.6" x14ac:dyDescent="0.3">
      <c r="A927" s="4">
        <v>168</v>
      </c>
      <c r="B927" s="5" t="s">
        <v>8531</v>
      </c>
      <c r="C927" s="6" t="s">
        <v>148</v>
      </c>
      <c r="D927" s="5" t="s">
        <v>8532</v>
      </c>
      <c r="E927" s="5" t="s">
        <v>48</v>
      </c>
      <c r="F927" s="6" t="s">
        <v>8533</v>
      </c>
      <c r="G927" s="6" t="s">
        <v>8534</v>
      </c>
      <c r="H927" s="6" t="s">
        <v>2009</v>
      </c>
      <c r="I927" s="6" t="s">
        <v>8535</v>
      </c>
      <c r="J927" s="6" t="s">
        <v>177</v>
      </c>
      <c r="K927" s="6" t="s">
        <v>297</v>
      </c>
      <c r="L927" s="6">
        <f>120%</f>
        <v>1.2</v>
      </c>
      <c r="M927" s="6" t="s">
        <v>8536</v>
      </c>
      <c r="N927" s="6">
        <f>120%</f>
        <v>1.2</v>
      </c>
      <c r="O927" s="6" t="s">
        <v>8537</v>
      </c>
      <c r="P927" s="6" t="s">
        <v>8538</v>
      </c>
      <c r="Q927" s="6">
        <f>48%</f>
        <v>0.48</v>
      </c>
      <c r="R927" s="6" t="s">
        <v>8539</v>
      </c>
      <c r="S927" s="6">
        <v>144</v>
      </c>
      <c r="T927" s="6" t="s">
        <v>8540</v>
      </c>
      <c r="U927" s="6">
        <f>2.2%</f>
        <v>2.2000000000000002E-2</v>
      </c>
      <c r="V927" s="5" t="s">
        <v>8541</v>
      </c>
      <c r="W927" s="5" t="s">
        <v>8542</v>
      </c>
      <c r="X927" s="6"/>
      <c r="Y927" s="6"/>
      <c r="Z927" s="6"/>
      <c r="AA927" s="6"/>
      <c r="AB927" s="6"/>
      <c r="AC927" s="6"/>
      <c r="AD927" s="7"/>
    </row>
    <row r="928" spans="1:30" ht="15.6" x14ac:dyDescent="0.3">
      <c r="A928" s="4">
        <v>169</v>
      </c>
      <c r="B928" s="5" t="s">
        <v>8543</v>
      </c>
      <c r="C928" s="6" t="s">
        <v>304</v>
      </c>
      <c r="D928" s="5" t="s">
        <v>8544</v>
      </c>
      <c r="E928" s="6"/>
      <c r="F928" s="6" t="s">
        <v>8545</v>
      </c>
      <c r="G928" s="6" t="s">
        <v>8546</v>
      </c>
      <c r="H928" s="6" t="s">
        <v>719</v>
      </c>
      <c r="I928" s="6">
        <f>84%</f>
        <v>0.84</v>
      </c>
      <c r="J928" s="6" t="s">
        <v>687</v>
      </c>
      <c r="K928" s="6" t="s">
        <v>799</v>
      </c>
      <c r="L928" s="6" t="s">
        <v>217</v>
      </c>
      <c r="M928" s="6" t="s">
        <v>800</v>
      </c>
      <c r="N928" s="6" t="s">
        <v>217</v>
      </c>
      <c r="O928" s="6" t="s">
        <v>800</v>
      </c>
      <c r="P928" s="6" t="s">
        <v>217</v>
      </c>
      <c r="Q928" s="6">
        <f>0.019</f>
        <v>1.9E-2</v>
      </c>
      <c r="R928" s="6" t="s">
        <v>8547</v>
      </c>
      <c r="S928" s="6">
        <v>92</v>
      </c>
      <c r="T928" s="6" t="s">
        <v>217</v>
      </c>
      <c r="U928" s="6" t="s">
        <v>217</v>
      </c>
      <c r="V928" s="6"/>
      <c r="W928" s="6"/>
      <c r="X928" s="6"/>
      <c r="Y928" s="6"/>
      <c r="Z928" s="6"/>
      <c r="AA928" s="6"/>
      <c r="AB928" s="6"/>
      <c r="AC928" s="6"/>
      <c r="AD928" s="7"/>
    </row>
    <row r="929" spans="1:30" ht="15.6" x14ac:dyDescent="0.3">
      <c r="A929" s="4">
        <v>170</v>
      </c>
      <c r="B929" s="5" t="s">
        <v>8548</v>
      </c>
      <c r="C929" s="6" t="s">
        <v>114</v>
      </c>
      <c r="D929" s="5" t="s">
        <v>8549</v>
      </c>
      <c r="E929" s="5" t="s">
        <v>48</v>
      </c>
      <c r="F929" s="6" t="s">
        <v>8550</v>
      </c>
      <c r="G929" s="6" t="s">
        <v>8551</v>
      </c>
      <c r="H929" s="6" t="s">
        <v>719</v>
      </c>
      <c r="I929" s="8">
        <v>-0.46</v>
      </c>
      <c r="J929" s="6" t="s">
        <v>141</v>
      </c>
      <c r="K929" s="6" t="s">
        <v>91</v>
      </c>
      <c r="L929" s="6">
        <f>48%</f>
        <v>0.48</v>
      </c>
      <c r="M929" s="6" t="s">
        <v>8552</v>
      </c>
      <c r="N929" s="6">
        <f>48%</f>
        <v>0.48</v>
      </c>
      <c r="O929" s="6" t="s">
        <v>8553</v>
      </c>
      <c r="P929" s="6" t="s">
        <v>8554</v>
      </c>
      <c r="Q929" s="6">
        <f>0.025</f>
        <v>2.5000000000000001E-2</v>
      </c>
      <c r="R929" s="6" t="s">
        <v>8555</v>
      </c>
      <c r="S929" s="6">
        <v>101</v>
      </c>
      <c r="T929" s="6" t="s">
        <v>8556</v>
      </c>
      <c r="U929" s="6">
        <f>4.3%</f>
        <v>4.2999999999999997E-2</v>
      </c>
      <c r="V929" s="5" t="s">
        <v>8557</v>
      </c>
      <c r="W929" s="5" t="s">
        <v>8558</v>
      </c>
      <c r="X929" s="6"/>
      <c r="Y929" s="6"/>
      <c r="Z929" s="6"/>
      <c r="AA929" s="6"/>
      <c r="AB929" s="6"/>
      <c r="AC929" s="6"/>
      <c r="AD929" s="7"/>
    </row>
    <row r="930" spans="1:30" ht="15.6" x14ac:dyDescent="0.3">
      <c r="A930" s="4">
        <v>171</v>
      </c>
      <c r="B930" s="5" t="s">
        <v>8559</v>
      </c>
      <c r="C930" s="6" t="s">
        <v>1645</v>
      </c>
      <c r="D930" s="5" t="s">
        <v>8560</v>
      </c>
      <c r="E930" s="5" t="s">
        <v>48</v>
      </c>
      <c r="F930" s="6" t="s">
        <v>8561</v>
      </c>
      <c r="G930" s="6" t="s">
        <v>8562</v>
      </c>
      <c r="H930" s="6" t="s">
        <v>719</v>
      </c>
      <c r="I930" s="6" t="s">
        <v>130</v>
      </c>
      <c r="J930" s="6" t="s">
        <v>2474</v>
      </c>
      <c r="K930" s="6" t="s">
        <v>2646</v>
      </c>
      <c r="L930" s="6">
        <f>57%</f>
        <v>0.56999999999999995</v>
      </c>
      <c r="M930" s="6" t="s">
        <v>8563</v>
      </c>
      <c r="N930" s="6">
        <f>57%</f>
        <v>0.56999999999999995</v>
      </c>
      <c r="O930" s="6" t="s">
        <v>8564</v>
      </c>
      <c r="P930" s="6" t="s">
        <v>8565</v>
      </c>
      <c r="Q930" s="8">
        <v>-0.18</v>
      </c>
      <c r="R930" s="6" t="s">
        <v>828</v>
      </c>
      <c r="S930" s="6">
        <v>54</v>
      </c>
      <c r="T930" s="6" t="s">
        <v>83</v>
      </c>
      <c r="U930" s="8">
        <v>-0.6</v>
      </c>
      <c r="V930" s="6"/>
      <c r="W930" s="6"/>
      <c r="X930" s="6"/>
      <c r="Y930" s="6"/>
      <c r="Z930" s="6"/>
      <c r="AA930" s="6"/>
      <c r="AB930" s="6"/>
      <c r="AC930" s="6"/>
      <c r="AD930" s="7"/>
    </row>
    <row r="931" spans="1:30" ht="15.6" x14ac:dyDescent="0.3">
      <c r="A931" s="4">
        <v>172</v>
      </c>
      <c r="B931" s="5" t="s">
        <v>8566</v>
      </c>
      <c r="C931" s="6" t="s">
        <v>546</v>
      </c>
      <c r="D931" s="5" t="s">
        <v>8567</v>
      </c>
      <c r="E931" s="5" t="s">
        <v>48</v>
      </c>
      <c r="F931" s="6" t="s">
        <v>8568</v>
      </c>
      <c r="G931" s="6" t="s">
        <v>8569</v>
      </c>
      <c r="H931" s="6" t="s">
        <v>719</v>
      </c>
      <c r="I931" s="6" t="s">
        <v>8570</v>
      </c>
      <c r="J931" s="6" t="s">
        <v>482</v>
      </c>
      <c r="K931" s="6" t="s">
        <v>560</v>
      </c>
      <c r="L931" s="8">
        <v>-0.27</v>
      </c>
      <c r="M931" s="6" t="s">
        <v>8571</v>
      </c>
      <c r="N931" s="8">
        <v>-0.27</v>
      </c>
      <c r="O931" s="6" t="s">
        <v>8572</v>
      </c>
      <c r="P931" s="6" t="s">
        <v>8573</v>
      </c>
      <c r="Q931" s="6">
        <f>1.7%</f>
        <v>1.7000000000000001E-2</v>
      </c>
      <c r="R931" s="6" t="s">
        <v>8574</v>
      </c>
      <c r="S931" s="6">
        <v>78</v>
      </c>
      <c r="T931" s="6" t="s">
        <v>2600</v>
      </c>
      <c r="U931" s="6">
        <f>33%</f>
        <v>0.33</v>
      </c>
      <c r="V931" s="6"/>
      <c r="W931" s="6"/>
      <c r="X931" s="6"/>
      <c r="Y931" s="6"/>
      <c r="Z931" s="6"/>
      <c r="AA931" s="6"/>
      <c r="AB931" s="6"/>
      <c r="AC931" s="6"/>
      <c r="AD931" s="7"/>
    </row>
    <row r="932" spans="1:30" ht="15.6" x14ac:dyDescent="0.3">
      <c r="A932" s="4">
        <v>173</v>
      </c>
      <c r="B932" s="5" t="s">
        <v>8575</v>
      </c>
      <c r="C932" s="6" t="s">
        <v>126</v>
      </c>
      <c r="D932" s="5" t="s">
        <v>8576</v>
      </c>
      <c r="E932" s="6"/>
      <c r="F932" s="6" t="s">
        <v>8577</v>
      </c>
      <c r="G932" s="6" t="s">
        <v>8578</v>
      </c>
      <c r="H932" s="6" t="s">
        <v>719</v>
      </c>
      <c r="I932" s="8">
        <v>-0.92</v>
      </c>
      <c r="J932" s="6" t="s">
        <v>758</v>
      </c>
      <c r="K932" s="6" t="s">
        <v>799</v>
      </c>
      <c r="L932" s="6" t="s">
        <v>217</v>
      </c>
      <c r="M932" s="6" t="s">
        <v>800</v>
      </c>
      <c r="N932" s="6" t="s">
        <v>217</v>
      </c>
      <c r="O932" s="6" t="s">
        <v>800</v>
      </c>
      <c r="P932" s="6" t="s">
        <v>217</v>
      </c>
      <c r="Q932" s="6">
        <f>0.033</f>
        <v>3.3000000000000002E-2</v>
      </c>
      <c r="R932" s="6" t="s">
        <v>8579</v>
      </c>
      <c r="S932" s="6">
        <v>58</v>
      </c>
      <c r="T932" s="6" t="s">
        <v>217</v>
      </c>
      <c r="U932" s="6" t="s">
        <v>217</v>
      </c>
      <c r="V932" s="5" t="s">
        <v>8580</v>
      </c>
      <c r="W932" s="5" t="s">
        <v>8581</v>
      </c>
      <c r="X932" s="6"/>
      <c r="Y932" s="6"/>
      <c r="Z932" s="6"/>
      <c r="AA932" s="6"/>
      <c r="AB932" s="6"/>
      <c r="AC932" s="6"/>
      <c r="AD932" s="7"/>
    </row>
    <row r="933" spans="1:30" ht="15.6" x14ac:dyDescent="0.3">
      <c r="A933" s="4">
        <v>174</v>
      </c>
      <c r="B933" s="5" t="s">
        <v>8582</v>
      </c>
      <c r="C933" s="6" t="s">
        <v>148</v>
      </c>
      <c r="D933" s="5" t="s">
        <v>8583</v>
      </c>
      <c r="E933" s="5" t="s">
        <v>48</v>
      </c>
      <c r="F933" s="6" t="s">
        <v>8584</v>
      </c>
      <c r="G933" s="6" t="s">
        <v>8585</v>
      </c>
      <c r="H933" s="6" t="s">
        <v>719</v>
      </c>
      <c r="I933" s="6" t="s">
        <v>8586</v>
      </c>
      <c r="J933" s="6" t="s">
        <v>250</v>
      </c>
      <c r="K933" s="6" t="s">
        <v>679</v>
      </c>
      <c r="L933" s="8">
        <v>-0.27</v>
      </c>
      <c r="M933" s="6" t="s">
        <v>8587</v>
      </c>
      <c r="N933" s="8">
        <v>-0.27</v>
      </c>
      <c r="O933" s="6" t="s">
        <v>8588</v>
      </c>
      <c r="P933" s="6" t="s">
        <v>448</v>
      </c>
      <c r="Q933" s="6" t="s">
        <v>217</v>
      </c>
      <c r="R933" s="6" t="s">
        <v>8589</v>
      </c>
      <c r="S933" s="6">
        <v>9</v>
      </c>
      <c r="T933" s="6">
        <v>222</v>
      </c>
      <c r="U933" s="8">
        <v>-0.48</v>
      </c>
      <c r="V933" s="5" t="s">
        <v>8590</v>
      </c>
      <c r="W933" s="5" t="s">
        <v>8591</v>
      </c>
      <c r="X933" s="5" t="s">
        <v>8592</v>
      </c>
      <c r="Y933" s="5" t="s">
        <v>8503</v>
      </c>
      <c r="Z933" s="6"/>
      <c r="AA933" s="6"/>
      <c r="AB933" s="6"/>
      <c r="AC933" s="6"/>
      <c r="AD933" s="7"/>
    </row>
    <row r="934" spans="1:30" ht="15.6" x14ac:dyDescent="0.3">
      <c r="A934" s="4">
        <v>175</v>
      </c>
      <c r="B934" s="5" t="s">
        <v>8593</v>
      </c>
      <c r="C934" s="6" t="s">
        <v>102</v>
      </c>
      <c r="D934" s="5" t="s">
        <v>8594</v>
      </c>
      <c r="E934" s="5" t="s">
        <v>48</v>
      </c>
      <c r="F934" s="6" t="s">
        <v>8595</v>
      </c>
      <c r="G934" s="6" t="s">
        <v>8596</v>
      </c>
      <c r="H934" s="6" t="s">
        <v>719</v>
      </c>
      <c r="I934" s="6" t="s">
        <v>453</v>
      </c>
      <c r="J934" s="6" t="s">
        <v>2776</v>
      </c>
      <c r="K934" s="6" t="s">
        <v>6852</v>
      </c>
      <c r="L934" s="8">
        <v>-0.54</v>
      </c>
      <c r="M934" s="6" t="s">
        <v>8597</v>
      </c>
      <c r="N934" s="8">
        <v>-0.54</v>
      </c>
      <c r="O934" s="6" t="s">
        <v>8598</v>
      </c>
      <c r="P934" s="6" t="s">
        <v>8599</v>
      </c>
      <c r="Q934" s="8">
        <v>-0.84</v>
      </c>
      <c r="R934" s="6" t="s">
        <v>8600</v>
      </c>
      <c r="S934" s="6">
        <v>192</v>
      </c>
      <c r="T934" s="6" t="s">
        <v>8601</v>
      </c>
      <c r="U934" s="8">
        <v>-0.8</v>
      </c>
      <c r="V934" s="5" t="s">
        <v>8602</v>
      </c>
      <c r="W934" s="5" t="s">
        <v>8603</v>
      </c>
      <c r="X934" s="6"/>
      <c r="Y934" s="6"/>
      <c r="Z934" s="6"/>
      <c r="AA934" s="6"/>
      <c r="AB934" s="6"/>
      <c r="AC934" s="6"/>
      <c r="AD934" s="7"/>
    </row>
    <row r="935" spans="1:30" ht="15.6" x14ac:dyDescent="0.3">
      <c r="A935" s="4">
        <v>176</v>
      </c>
      <c r="B935" s="5" t="s">
        <v>8604</v>
      </c>
      <c r="C935" s="6" t="s">
        <v>114</v>
      </c>
      <c r="D935" s="5" t="s">
        <v>8605</v>
      </c>
      <c r="E935" s="5" t="s">
        <v>33</v>
      </c>
      <c r="F935" s="6" t="s">
        <v>8606</v>
      </c>
      <c r="G935" s="6" t="s">
        <v>8607</v>
      </c>
      <c r="H935" s="6" t="s">
        <v>719</v>
      </c>
      <c r="I935" s="6" t="s">
        <v>617</v>
      </c>
      <c r="J935" s="6" t="s">
        <v>225</v>
      </c>
      <c r="K935" s="6" t="s">
        <v>8608</v>
      </c>
      <c r="L935" s="8">
        <v>-0.12</v>
      </c>
      <c r="M935" s="6" t="s">
        <v>8609</v>
      </c>
      <c r="N935" s="8">
        <v>-0.12</v>
      </c>
      <c r="O935" s="6" t="s">
        <v>800</v>
      </c>
      <c r="P935" s="6" t="s">
        <v>8610</v>
      </c>
      <c r="Q935" s="6">
        <f>0.15%</f>
        <v>1.5E-3</v>
      </c>
      <c r="R935" s="6" t="s">
        <v>8611</v>
      </c>
      <c r="S935" s="6">
        <v>162</v>
      </c>
      <c r="T935" s="6" t="s">
        <v>8612</v>
      </c>
      <c r="U935" s="8">
        <v>-0.36</v>
      </c>
      <c r="V935" s="5" t="s">
        <v>8613</v>
      </c>
      <c r="W935" s="5" t="s">
        <v>8614</v>
      </c>
      <c r="X935" s="5" t="s">
        <v>8615</v>
      </c>
      <c r="Y935" s="5" t="s">
        <v>8614</v>
      </c>
      <c r="Z935" s="5" t="s">
        <v>8616</v>
      </c>
      <c r="AA935" s="5" t="s">
        <v>8617</v>
      </c>
      <c r="AB935" s="5" t="s">
        <v>8618</v>
      </c>
      <c r="AC935" s="5" t="s">
        <v>8619</v>
      </c>
      <c r="AD935" s="7"/>
    </row>
    <row r="936" spans="1:30" ht="15.6" x14ac:dyDescent="0.3">
      <c r="A936" s="4">
        <v>177</v>
      </c>
      <c r="B936" s="5" t="s">
        <v>8620</v>
      </c>
      <c r="C936" s="6" t="s">
        <v>370</v>
      </c>
      <c r="D936" s="5" t="s">
        <v>8621</v>
      </c>
      <c r="E936" s="5" t="s">
        <v>48</v>
      </c>
      <c r="F936" s="6" t="s">
        <v>8622</v>
      </c>
      <c r="G936" s="6" t="s">
        <v>8623</v>
      </c>
      <c r="H936" s="6" t="s">
        <v>719</v>
      </c>
      <c r="I936" s="6" t="s">
        <v>1490</v>
      </c>
      <c r="J936" s="6" t="s">
        <v>4325</v>
      </c>
      <c r="K936" s="6" t="s">
        <v>8624</v>
      </c>
      <c r="L936" s="8">
        <v>-0.33</v>
      </c>
      <c r="M936" s="6" t="s">
        <v>8625</v>
      </c>
      <c r="N936" s="8">
        <v>-0.33</v>
      </c>
      <c r="O936" s="6" t="s">
        <v>8626</v>
      </c>
      <c r="P936" s="6" t="s">
        <v>8627</v>
      </c>
      <c r="Q936" s="6">
        <f>120%</f>
        <v>1.2</v>
      </c>
      <c r="R936" s="6" t="s">
        <v>8628</v>
      </c>
      <c r="S936" s="6">
        <v>34</v>
      </c>
      <c r="T936" s="6" t="s">
        <v>8629</v>
      </c>
      <c r="U936" s="6">
        <f>25%</f>
        <v>0.25</v>
      </c>
      <c r="V936" s="6"/>
      <c r="W936" s="6"/>
      <c r="X936" s="6"/>
      <c r="Y936" s="6"/>
      <c r="Z936" s="6"/>
      <c r="AA936" s="6"/>
      <c r="AB936" s="6"/>
      <c r="AC936" s="6"/>
      <c r="AD936" s="7"/>
    </row>
    <row r="937" spans="1:30" ht="15.6" x14ac:dyDescent="0.3">
      <c r="A937" s="4">
        <v>178</v>
      </c>
      <c r="B937" s="5" t="s">
        <v>8630</v>
      </c>
      <c r="C937" s="6" t="s">
        <v>148</v>
      </c>
      <c r="D937" s="5" t="s">
        <v>8631</v>
      </c>
      <c r="E937" s="5" t="s">
        <v>48</v>
      </c>
      <c r="F937" s="6" t="s">
        <v>8632</v>
      </c>
      <c r="G937" s="6" t="s">
        <v>8633</v>
      </c>
      <c r="H937" s="6" t="s">
        <v>719</v>
      </c>
      <c r="I937" s="6" t="s">
        <v>6589</v>
      </c>
      <c r="J937" s="6" t="s">
        <v>1071</v>
      </c>
      <c r="K937" s="6" t="s">
        <v>8634</v>
      </c>
      <c r="L937" s="6">
        <f>13%</f>
        <v>0.13</v>
      </c>
      <c r="M937" s="6" t="s">
        <v>8635</v>
      </c>
      <c r="N937" s="6">
        <f>13%</f>
        <v>0.13</v>
      </c>
      <c r="O937" s="6" t="s">
        <v>8636</v>
      </c>
      <c r="P937" s="6" t="s">
        <v>8637</v>
      </c>
      <c r="Q937" s="8">
        <v>-0.41</v>
      </c>
      <c r="R937" s="6">
        <v>350</v>
      </c>
      <c r="S937" s="6">
        <v>34</v>
      </c>
      <c r="T937" s="6">
        <v>248</v>
      </c>
      <c r="U937" s="8">
        <v>-0.6</v>
      </c>
      <c r="V937" s="5" t="s">
        <v>8638</v>
      </c>
      <c r="W937" s="5" t="s">
        <v>8639</v>
      </c>
      <c r="X937" s="5" t="s">
        <v>8640</v>
      </c>
      <c r="Y937" s="5" t="s">
        <v>8639</v>
      </c>
      <c r="Z937" s="5" t="s">
        <v>8641</v>
      </c>
      <c r="AA937" s="5" t="s">
        <v>8639</v>
      </c>
      <c r="AB937" s="5" t="s">
        <v>8642</v>
      </c>
      <c r="AC937" s="5" t="s">
        <v>8643</v>
      </c>
      <c r="AD937" s="9" t="s">
        <v>8644</v>
      </c>
    </row>
    <row r="938" spans="1:30" ht="15.6" x14ac:dyDescent="0.3">
      <c r="A938" s="4">
        <v>179</v>
      </c>
      <c r="B938" s="5" t="s">
        <v>8645</v>
      </c>
      <c r="C938" s="6" t="s">
        <v>370</v>
      </c>
      <c r="D938" s="5" t="s">
        <v>8646</v>
      </c>
      <c r="E938" s="5" t="s">
        <v>33</v>
      </c>
      <c r="F938" s="6" t="s">
        <v>8647</v>
      </c>
      <c r="G938" s="6" t="s">
        <v>8648</v>
      </c>
      <c r="H938" s="6" t="s">
        <v>719</v>
      </c>
      <c r="I938" s="8">
        <v>-0.2</v>
      </c>
      <c r="J938" s="6" t="s">
        <v>1479</v>
      </c>
      <c r="K938" s="6" t="s">
        <v>2615</v>
      </c>
      <c r="L938" s="6">
        <f>34%</f>
        <v>0.34</v>
      </c>
      <c r="M938" s="6" t="s">
        <v>8649</v>
      </c>
      <c r="N938" s="6">
        <f>34%</f>
        <v>0.34</v>
      </c>
      <c r="O938" s="6" t="s">
        <v>619</v>
      </c>
      <c r="P938" s="6" t="s">
        <v>8650</v>
      </c>
      <c r="Q938" s="6">
        <f>0.016</f>
        <v>1.6E-2</v>
      </c>
      <c r="R938" s="6" t="s">
        <v>8651</v>
      </c>
      <c r="S938" s="6">
        <v>213</v>
      </c>
      <c r="T938" s="6" t="s">
        <v>8652</v>
      </c>
      <c r="U938" s="6">
        <f>140%</f>
        <v>1.4</v>
      </c>
      <c r="V938" s="5" t="s">
        <v>8653</v>
      </c>
      <c r="W938" s="5" t="s">
        <v>8654</v>
      </c>
      <c r="X938" s="5" t="s">
        <v>8655</v>
      </c>
      <c r="Y938" s="5" t="s">
        <v>8656</v>
      </c>
      <c r="Z938" s="5" t="s">
        <v>8657</v>
      </c>
      <c r="AA938" s="5" t="s">
        <v>8658</v>
      </c>
      <c r="AB938" s="6"/>
      <c r="AC938" s="6"/>
      <c r="AD938" s="7"/>
    </row>
    <row r="939" spans="1:30" ht="15.6" x14ac:dyDescent="0.3">
      <c r="A939" s="4">
        <v>180</v>
      </c>
      <c r="B939" s="5" t="s">
        <v>8659</v>
      </c>
      <c r="C939" s="6" t="s">
        <v>567</v>
      </c>
      <c r="D939" s="5" t="s">
        <v>8660</v>
      </c>
      <c r="E939" s="5" t="s">
        <v>48</v>
      </c>
      <c r="F939" s="6" t="s">
        <v>8661</v>
      </c>
      <c r="G939" s="6" t="s">
        <v>8662</v>
      </c>
      <c r="H939" s="6" t="s">
        <v>719</v>
      </c>
      <c r="I939" s="6" t="s">
        <v>2484</v>
      </c>
      <c r="J939" s="6" t="s">
        <v>824</v>
      </c>
      <c r="K939" s="6" t="s">
        <v>8663</v>
      </c>
      <c r="L939" s="6">
        <f>47%</f>
        <v>0.47</v>
      </c>
      <c r="M939" s="6" t="s">
        <v>8664</v>
      </c>
      <c r="N939" s="6">
        <f>47%</f>
        <v>0.47</v>
      </c>
      <c r="O939" s="6" t="s">
        <v>8665</v>
      </c>
      <c r="P939" s="6" t="s">
        <v>8666</v>
      </c>
      <c r="Q939" s="6">
        <f>0.031</f>
        <v>3.1E-2</v>
      </c>
      <c r="R939" s="6" t="s">
        <v>8667</v>
      </c>
      <c r="S939" s="6">
        <v>87</v>
      </c>
      <c r="T939" s="6" t="s">
        <v>1694</v>
      </c>
      <c r="U939" s="6">
        <f>39%</f>
        <v>0.39</v>
      </c>
      <c r="V939" s="5" t="s">
        <v>8668</v>
      </c>
      <c r="W939" s="5" t="s">
        <v>8669</v>
      </c>
      <c r="X939" s="6"/>
      <c r="Y939" s="6"/>
      <c r="Z939" s="6"/>
      <c r="AA939" s="6"/>
      <c r="AB939" s="6"/>
      <c r="AC939" s="6"/>
      <c r="AD939" s="7"/>
    </row>
    <row r="940" spans="1:30" ht="15.6" x14ac:dyDescent="0.3">
      <c r="A940" s="4">
        <v>181</v>
      </c>
      <c r="B940" s="5" t="s">
        <v>8670</v>
      </c>
      <c r="C940" s="6" t="s">
        <v>102</v>
      </c>
      <c r="D940" s="5" t="s">
        <v>8671</v>
      </c>
      <c r="E940" s="5" t="s">
        <v>48</v>
      </c>
      <c r="F940" s="6" t="s">
        <v>8672</v>
      </c>
      <c r="G940" s="6" t="s">
        <v>8673</v>
      </c>
      <c r="H940" s="6" t="s">
        <v>719</v>
      </c>
      <c r="I940" s="6" t="s">
        <v>7368</v>
      </c>
      <c r="J940" s="6" t="s">
        <v>2776</v>
      </c>
      <c r="K940" s="6" t="s">
        <v>333</v>
      </c>
      <c r="L940" s="8">
        <v>-0.19</v>
      </c>
      <c r="M940" s="6" t="s">
        <v>8674</v>
      </c>
      <c r="N940" s="8">
        <v>-0.19</v>
      </c>
      <c r="O940" s="6" t="s">
        <v>8675</v>
      </c>
      <c r="P940" s="6" t="s">
        <v>8676</v>
      </c>
      <c r="Q940" s="8">
        <v>-0.24</v>
      </c>
      <c r="R940" s="6" t="s">
        <v>8677</v>
      </c>
      <c r="S940" s="6">
        <v>182</v>
      </c>
      <c r="T940" s="6" t="s">
        <v>8678</v>
      </c>
      <c r="U940" s="8">
        <v>-0.32</v>
      </c>
      <c r="V940" s="5" t="s">
        <v>6509</v>
      </c>
      <c r="W940" s="5" t="s">
        <v>6510</v>
      </c>
      <c r="X940" s="6"/>
      <c r="Y940" s="6"/>
      <c r="Z940" s="6"/>
      <c r="AA940" s="6"/>
      <c r="AB940" s="6"/>
      <c r="AC940" s="6"/>
      <c r="AD940" s="7"/>
    </row>
    <row r="941" spans="1:30" ht="15.6" x14ac:dyDescent="0.3">
      <c r="A941" s="4">
        <v>182</v>
      </c>
      <c r="B941" s="5" t="s">
        <v>8679</v>
      </c>
      <c r="C941" s="6" t="s">
        <v>820</v>
      </c>
      <c r="D941" s="5" t="s">
        <v>8680</v>
      </c>
      <c r="E941" s="5" t="s">
        <v>33</v>
      </c>
      <c r="F941" s="6" t="s">
        <v>8681</v>
      </c>
      <c r="G941" s="6" t="s">
        <v>8682</v>
      </c>
      <c r="H941" s="6" t="s">
        <v>719</v>
      </c>
      <c r="I941" s="8">
        <v>-0.94</v>
      </c>
      <c r="J941" s="6" t="s">
        <v>2713</v>
      </c>
      <c r="K941" s="6" t="s">
        <v>1984</v>
      </c>
      <c r="L941" s="8">
        <v>-0.12</v>
      </c>
      <c r="M941" s="6" t="s">
        <v>8683</v>
      </c>
      <c r="N941" s="8">
        <v>-0.12</v>
      </c>
      <c r="O941" s="6" t="s">
        <v>8684</v>
      </c>
      <c r="P941" s="6" t="s">
        <v>8685</v>
      </c>
      <c r="Q941" s="6">
        <f>0.017</f>
        <v>1.7000000000000001E-2</v>
      </c>
      <c r="R941" s="6" t="s">
        <v>123</v>
      </c>
      <c r="S941" s="6">
        <v>4</v>
      </c>
      <c r="T941" s="6">
        <v>374</v>
      </c>
      <c r="U941" s="6" t="s">
        <v>9262</v>
      </c>
      <c r="V941" s="5" t="s">
        <v>8686</v>
      </c>
      <c r="W941" s="5" t="s">
        <v>8687</v>
      </c>
      <c r="X941" s="6"/>
      <c r="Y941" s="6"/>
      <c r="Z941" s="6"/>
      <c r="AA941" s="6"/>
      <c r="AB941" s="6"/>
      <c r="AC941" s="6"/>
      <c r="AD941" s="7"/>
    </row>
    <row r="942" spans="1:30" ht="15.6" x14ac:dyDescent="0.3">
      <c r="A942" s="4">
        <v>183</v>
      </c>
      <c r="B942" s="5" t="s">
        <v>8688</v>
      </c>
      <c r="C942" s="6" t="s">
        <v>126</v>
      </c>
      <c r="D942" s="5" t="s">
        <v>8689</v>
      </c>
      <c r="E942" s="5" t="s">
        <v>33</v>
      </c>
      <c r="F942" s="6" t="s">
        <v>8690</v>
      </c>
      <c r="G942" s="6" t="s">
        <v>8691</v>
      </c>
      <c r="H942" s="6" t="s">
        <v>719</v>
      </c>
      <c r="I942" s="8">
        <v>-0.53</v>
      </c>
      <c r="J942" s="6" t="s">
        <v>888</v>
      </c>
      <c r="K942" s="6" t="s">
        <v>8692</v>
      </c>
      <c r="L942" s="6">
        <f>43%</f>
        <v>0.43</v>
      </c>
      <c r="M942" s="6" t="s">
        <v>8693</v>
      </c>
      <c r="N942" s="6">
        <f>43%</f>
        <v>0.43</v>
      </c>
      <c r="O942" s="6" t="s">
        <v>8694</v>
      </c>
      <c r="P942" s="6" t="s">
        <v>8695</v>
      </c>
      <c r="Q942" s="6">
        <f>0.019</f>
        <v>1.9E-2</v>
      </c>
      <c r="R942" s="6" t="s">
        <v>8696</v>
      </c>
      <c r="S942" s="6">
        <v>22</v>
      </c>
      <c r="T942" s="6" t="s">
        <v>8697</v>
      </c>
      <c r="U942" s="6">
        <f>15%</f>
        <v>0.15</v>
      </c>
      <c r="V942" s="5" t="s">
        <v>8698</v>
      </c>
      <c r="W942" s="5" t="s">
        <v>8699</v>
      </c>
      <c r="X942" s="6"/>
      <c r="Y942" s="6"/>
      <c r="Z942" s="6"/>
      <c r="AA942" s="6"/>
      <c r="AB942" s="6"/>
      <c r="AC942" s="6"/>
      <c r="AD942" s="7"/>
    </row>
    <row r="943" spans="1:30" ht="15.6" x14ac:dyDescent="0.3">
      <c r="A943" s="4">
        <v>184</v>
      </c>
      <c r="B943" s="5" t="s">
        <v>8700</v>
      </c>
      <c r="C943" s="6" t="s">
        <v>102</v>
      </c>
      <c r="D943" s="5" t="s">
        <v>8701</v>
      </c>
      <c r="E943" s="5" t="s">
        <v>48</v>
      </c>
      <c r="F943" s="6" t="s">
        <v>8702</v>
      </c>
      <c r="G943" s="6" t="s">
        <v>8703</v>
      </c>
      <c r="H943" s="6" t="s">
        <v>719</v>
      </c>
      <c r="I943" s="6" t="s">
        <v>7437</v>
      </c>
      <c r="J943" s="6" t="s">
        <v>250</v>
      </c>
      <c r="K943" s="6" t="s">
        <v>8704</v>
      </c>
      <c r="L943" s="8">
        <v>-0.2</v>
      </c>
      <c r="M943" s="6" t="s">
        <v>8705</v>
      </c>
      <c r="N943" s="8">
        <v>-0.22</v>
      </c>
      <c r="O943" s="6" t="s">
        <v>8706</v>
      </c>
      <c r="P943" s="6" t="s">
        <v>8707</v>
      </c>
      <c r="Q943" s="8">
        <v>-0.22</v>
      </c>
      <c r="R943" s="6">
        <v>429</v>
      </c>
      <c r="S943" s="6">
        <v>1</v>
      </c>
      <c r="T943" s="6" t="s">
        <v>8708</v>
      </c>
      <c r="U943" s="8">
        <v>-0.56000000000000005</v>
      </c>
      <c r="V943" s="6"/>
      <c r="W943" s="6"/>
      <c r="X943" s="6"/>
      <c r="Y943" s="6"/>
      <c r="Z943" s="6"/>
      <c r="AA943" s="6"/>
      <c r="AB943" s="6"/>
      <c r="AC943" s="6"/>
      <c r="AD943" s="7"/>
    </row>
    <row r="944" spans="1:30" ht="15.6" x14ac:dyDescent="0.3">
      <c r="A944" s="4">
        <v>185</v>
      </c>
      <c r="B944" s="5" t="s">
        <v>8709</v>
      </c>
      <c r="C944" s="6" t="s">
        <v>567</v>
      </c>
      <c r="D944" s="5" t="s">
        <v>8710</v>
      </c>
      <c r="E944" s="5" t="s">
        <v>33</v>
      </c>
      <c r="F944" s="6" t="s">
        <v>8711</v>
      </c>
      <c r="G944" s="6" t="s">
        <v>8712</v>
      </c>
      <c r="H944" s="6" t="s">
        <v>719</v>
      </c>
      <c r="I944" s="8">
        <v>-0.3</v>
      </c>
      <c r="J944" s="6" t="s">
        <v>397</v>
      </c>
      <c r="K944" s="6" t="s">
        <v>8713</v>
      </c>
      <c r="L944" s="6">
        <f>31%</f>
        <v>0.31</v>
      </c>
      <c r="M944" s="6" t="s">
        <v>8714</v>
      </c>
      <c r="N944" s="6">
        <f>31%</f>
        <v>0.31</v>
      </c>
      <c r="O944" s="6" t="s">
        <v>8715</v>
      </c>
      <c r="P944" s="6" t="s">
        <v>8716</v>
      </c>
      <c r="Q944" s="6">
        <f>0.015</f>
        <v>1.4999999999999999E-2</v>
      </c>
      <c r="R944" s="6" t="s">
        <v>8717</v>
      </c>
      <c r="S944" s="6">
        <v>32</v>
      </c>
      <c r="T944" s="6" t="s">
        <v>1758</v>
      </c>
      <c r="U944" s="6">
        <f>1.4%</f>
        <v>1.3999999999999999E-2</v>
      </c>
      <c r="V944" s="5" t="s">
        <v>8718</v>
      </c>
      <c r="W944" s="5" t="s">
        <v>8719</v>
      </c>
      <c r="X944" s="6"/>
      <c r="Y944" s="6"/>
      <c r="Z944" s="6"/>
      <c r="AA944" s="6"/>
      <c r="AB944" s="6"/>
      <c r="AC944" s="6"/>
      <c r="AD944" s="7"/>
    </row>
    <row r="945" spans="1:30" ht="15.6" x14ac:dyDescent="0.3">
      <c r="A945" s="4">
        <v>186</v>
      </c>
      <c r="B945" s="5" t="s">
        <v>8720</v>
      </c>
      <c r="C945" s="6" t="s">
        <v>267</v>
      </c>
      <c r="D945" s="5" t="s">
        <v>8721</v>
      </c>
      <c r="E945" s="5" t="s">
        <v>48</v>
      </c>
      <c r="F945" s="6" t="s">
        <v>8722</v>
      </c>
      <c r="G945" s="6" t="s">
        <v>8723</v>
      </c>
      <c r="H945" s="6" t="s">
        <v>719</v>
      </c>
      <c r="I945" s="6" t="s">
        <v>8724</v>
      </c>
      <c r="J945" s="6" t="s">
        <v>177</v>
      </c>
      <c r="K945" s="6" t="s">
        <v>8725</v>
      </c>
      <c r="L945" s="8">
        <v>-0.26</v>
      </c>
      <c r="M945" s="6" t="s">
        <v>8726</v>
      </c>
      <c r="N945" s="8">
        <v>-0.26</v>
      </c>
      <c r="O945" s="6" t="s">
        <v>8727</v>
      </c>
      <c r="P945" s="6" t="s">
        <v>8728</v>
      </c>
      <c r="Q945" s="6">
        <f>55%</f>
        <v>0.55000000000000004</v>
      </c>
      <c r="R945" s="6" t="s">
        <v>8729</v>
      </c>
      <c r="S945" s="6">
        <v>22</v>
      </c>
      <c r="T945" s="6" t="s">
        <v>2115</v>
      </c>
      <c r="U945" s="6">
        <f>0.2%</f>
        <v>2E-3</v>
      </c>
      <c r="V945" s="5" t="s">
        <v>8730</v>
      </c>
      <c r="W945" s="5" t="s">
        <v>8731</v>
      </c>
      <c r="X945" s="5" t="s">
        <v>8732</v>
      </c>
      <c r="Y945" s="5" t="s">
        <v>8733</v>
      </c>
      <c r="Z945" s="6"/>
      <c r="AA945" s="6"/>
      <c r="AB945" s="6"/>
      <c r="AC945" s="6"/>
      <c r="AD945" s="7"/>
    </row>
    <row r="946" spans="1:30" ht="15.6" x14ac:dyDescent="0.3">
      <c r="A946" s="4">
        <v>187</v>
      </c>
      <c r="B946" s="5" t="s">
        <v>8734</v>
      </c>
      <c r="C946" s="6" t="s">
        <v>72</v>
      </c>
      <c r="D946" s="5" t="s">
        <v>8735</v>
      </c>
      <c r="E946" s="5" t="s">
        <v>48</v>
      </c>
      <c r="F946" s="6" t="s">
        <v>8736</v>
      </c>
      <c r="G946" s="6" t="s">
        <v>8737</v>
      </c>
      <c r="H946" s="6" t="s">
        <v>719</v>
      </c>
      <c r="I946" s="8">
        <v>-0.9</v>
      </c>
      <c r="J946" s="6" t="s">
        <v>1529</v>
      </c>
      <c r="K946" s="6" t="s">
        <v>1948</v>
      </c>
      <c r="L946" s="6" t="s">
        <v>1788</v>
      </c>
      <c r="M946" s="6" t="s">
        <v>8738</v>
      </c>
      <c r="N946" s="6" t="s">
        <v>1788</v>
      </c>
      <c r="O946" s="6" t="s">
        <v>8739</v>
      </c>
      <c r="P946" s="6" t="s">
        <v>1615</v>
      </c>
      <c r="Q946" s="6">
        <f>0.028</f>
        <v>2.8000000000000001E-2</v>
      </c>
      <c r="R946" s="6" t="s">
        <v>8740</v>
      </c>
      <c r="S946" s="6">
        <v>929</v>
      </c>
      <c r="T946" s="6" t="s">
        <v>8741</v>
      </c>
      <c r="U946" s="6" t="s">
        <v>9262</v>
      </c>
      <c r="V946" s="5" t="s">
        <v>8742</v>
      </c>
      <c r="W946" s="5" t="s">
        <v>8743</v>
      </c>
      <c r="X946" s="5" t="s">
        <v>8744</v>
      </c>
      <c r="Y946" s="5" t="s">
        <v>7500</v>
      </c>
      <c r="Z946" s="6"/>
      <c r="AA946" s="6"/>
      <c r="AB946" s="6"/>
      <c r="AC946" s="6"/>
      <c r="AD946" s="7"/>
    </row>
    <row r="947" spans="1:30" ht="15.6" x14ac:dyDescent="0.3">
      <c r="A947" s="4">
        <v>188</v>
      </c>
      <c r="B947" s="5" t="s">
        <v>8745</v>
      </c>
      <c r="C947" s="6" t="s">
        <v>126</v>
      </c>
      <c r="D947" s="5" t="s">
        <v>8746</v>
      </c>
      <c r="E947" s="5" t="s">
        <v>33</v>
      </c>
      <c r="F947" s="6" t="s">
        <v>8747</v>
      </c>
      <c r="G947" s="6" t="s">
        <v>8748</v>
      </c>
      <c r="H947" s="6" t="s">
        <v>719</v>
      </c>
      <c r="I947" s="6" t="s">
        <v>283</v>
      </c>
      <c r="J947" s="6" t="s">
        <v>64</v>
      </c>
      <c r="K947" s="6" t="s">
        <v>8749</v>
      </c>
      <c r="L947" s="8">
        <v>-0.28000000000000003</v>
      </c>
      <c r="M947" s="6" t="s">
        <v>8750</v>
      </c>
      <c r="N947" s="8">
        <v>-0.28000000000000003</v>
      </c>
      <c r="O947" s="6" t="s">
        <v>8751</v>
      </c>
      <c r="P947" s="6" t="s">
        <v>8752</v>
      </c>
      <c r="Q947" s="6">
        <f>0.63%</f>
        <v>6.3E-3</v>
      </c>
      <c r="R947" s="6" t="s">
        <v>8753</v>
      </c>
      <c r="S947" s="6">
        <v>16</v>
      </c>
      <c r="T947" s="6" t="s">
        <v>943</v>
      </c>
      <c r="U947" s="6">
        <f>1.2%</f>
        <v>1.2E-2</v>
      </c>
      <c r="V947" s="6"/>
      <c r="W947" s="6"/>
      <c r="X947" s="6"/>
      <c r="Y947" s="6"/>
      <c r="Z947" s="6"/>
      <c r="AA947" s="6"/>
      <c r="AB947" s="6"/>
      <c r="AC947" s="6"/>
      <c r="AD947" s="7"/>
    </row>
    <row r="948" spans="1:30" ht="15.6" x14ac:dyDescent="0.3">
      <c r="A948" s="4">
        <v>189</v>
      </c>
      <c r="B948" s="5" t="s">
        <v>8754</v>
      </c>
      <c r="C948" s="6" t="s">
        <v>72</v>
      </c>
      <c r="D948" s="5" t="s">
        <v>8755</v>
      </c>
      <c r="E948" s="5" t="s">
        <v>48</v>
      </c>
      <c r="F948" s="6" t="s">
        <v>8756</v>
      </c>
      <c r="G948" s="6" t="s">
        <v>8757</v>
      </c>
      <c r="H948" s="6" t="s">
        <v>719</v>
      </c>
      <c r="I948" s="8">
        <v>-0.72</v>
      </c>
      <c r="J948" s="6" t="s">
        <v>824</v>
      </c>
      <c r="K948" s="6" t="s">
        <v>8758</v>
      </c>
      <c r="L948" s="8">
        <v>-0.25</v>
      </c>
      <c r="M948" s="6" t="s">
        <v>8759</v>
      </c>
      <c r="N948" s="8">
        <v>-0.26</v>
      </c>
      <c r="O948" s="6" t="s">
        <v>8760</v>
      </c>
      <c r="P948" s="6" t="s">
        <v>6015</v>
      </c>
      <c r="Q948" s="6">
        <f>0.018</f>
        <v>1.7999999999999999E-2</v>
      </c>
      <c r="R948" s="6" t="s">
        <v>8761</v>
      </c>
      <c r="S948" s="6">
        <v>17</v>
      </c>
      <c r="T948" s="6" t="s">
        <v>3135</v>
      </c>
      <c r="U948" s="8">
        <v>-0.22</v>
      </c>
      <c r="V948" s="6"/>
      <c r="W948" s="6"/>
      <c r="X948" s="6"/>
      <c r="Y948" s="6"/>
      <c r="Z948" s="6"/>
      <c r="AA948" s="6"/>
      <c r="AB948" s="6"/>
      <c r="AC948" s="6"/>
      <c r="AD948" s="7"/>
    </row>
    <row r="949" spans="1:30" ht="15.6" x14ac:dyDescent="0.3">
      <c r="A949" s="4">
        <v>190</v>
      </c>
      <c r="B949" s="5" t="s">
        <v>8762</v>
      </c>
      <c r="C949" s="6" t="s">
        <v>31</v>
      </c>
      <c r="D949" s="5" t="s">
        <v>8763</v>
      </c>
      <c r="E949" s="5" t="s">
        <v>33</v>
      </c>
      <c r="F949" s="6" t="s">
        <v>8764</v>
      </c>
      <c r="G949" s="6" t="s">
        <v>8765</v>
      </c>
      <c r="H949" s="6" t="s">
        <v>719</v>
      </c>
      <c r="I949" s="6" t="s">
        <v>961</v>
      </c>
      <c r="J949" s="6" t="s">
        <v>259</v>
      </c>
      <c r="K949" s="6" t="s">
        <v>2104</v>
      </c>
      <c r="L949" s="8">
        <v>-0.26</v>
      </c>
      <c r="M949" s="6" t="s">
        <v>8766</v>
      </c>
      <c r="N949" s="8">
        <v>-0.26</v>
      </c>
      <c r="O949" s="6" t="s">
        <v>8767</v>
      </c>
      <c r="P949" s="6" t="s">
        <v>8768</v>
      </c>
      <c r="Q949" s="6">
        <f>110%</f>
        <v>1.1000000000000001</v>
      </c>
      <c r="R949" s="6">
        <v>16</v>
      </c>
      <c r="S949" s="6">
        <v>0</v>
      </c>
      <c r="T949" s="6">
        <v>58</v>
      </c>
      <c r="U949" s="6">
        <f>1.8%</f>
        <v>1.8000000000000002E-2</v>
      </c>
      <c r="V949" s="5" t="s">
        <v>8769</v>
      </c>
      <c r="W949" s="5" t="s">
        <v>8770</v>
      </c>
      <c r="X949" s="5" t="s">
        <v>8771</v>
      </c>
      <c r="Y949" s="5" t="s">
        <v>8772</v>
      </c>
      <c r="Z949" s="5" t="s">
        <v>8773</v>
      </c>
      <c r="AA949" s="5" t="s">
        <v>8774</v>
      </c>
      <c r="AB949" s="5" t="s">
        <v>8775</v>
      </c>
      <c r="AC949" s="5" t="s">
        <v>8772</v>
      </c>
      <c r="AD949" s="9" t="s">
        <v>8776</v>
      </c>
    </row>
    <row r="950" spans="1:30" ht="15.6" x14ac:dyDescent="0.3">
      <c r="A950" s="4">
        <v>191</v>
      </c>
      <c r="B950" s="5" t="s">
        <v>8777</v>
      </c>
      <c r="C950" s="6" t="s">
        <v>148</v>
      </c>
      <c r="D950" s="5" t="s">
        <v>8778</v>
      </c>
      <c r="E950" s="5" t="s">
        <v>48</v>
      </c>
      <c r="F950" s="6" t="s">
        <v>8779</v>
      </c>
      <c r="G950" s="6" t="s">
        <v>8780</v>
      </c>
      <c r="H950" s="6" t="s">
        <v>719</v>
      </c>
      <c r="I950" s="6" t="s">
        <v>1269</v>
      </c>
      <c r="J950" s="6" t="s">
        <v>309</v>
      </c>
      <c r="K950" s="6" t="s">
        <v>8781</v>
      </c>
      <c r="L950" s="8">
        <v>-0.18</v>
      </c>
      <c r="M950" s="6" t="s">
        <v>8782</v>
      </c>
      <c r="N950" s="8">
        <v>-0.18</v>
      </c>
      <c r="O950" s="6" t="s">
        <v>8783</v>
      </c>
      <c r="P950" s="6" t="s">
        <v>1968</v>
      </c>
      <c r="Q950" s="6">
        <f>0.026</f>
        <v>2.5999999999999999E-2</v>
      </c>
      <c r="R950" s="6">
        <v>999</v>
      </c>
      <c r="S950" s="6">
        <v>13</v>
      </c>
      <c r="T950" s="6">
        <v>805</v>
      </c>
      <c r="U950" s="6">
        <f>40%</f>
        <v>0.4</v>
      </c>
      <c r="V950" s="5" t="s">
        <v>8784</v>
      </c>
      <c r="W950" s="5" t="s">
        <v>8785</v>
      </c>
      <c r="X950" s="5" t="s">
        <v>8786</v>
      </c>
      <c r="Y950" s="5" t="s">
        <v>8785</v>
      </c>
      <c r="Z950" s="5" t="s">
        <v>8787</v>
      </c>
      <c r="AA950" s="5" t="s">
        <v>8785</v>
      </c>
      <c r="AB950" s="6"/>
      <c r="AC950" s="6"/>
      <c r="AD950" s="7"/>
    </row>
    <row r="951" spans="1:30" ht="15.6" x14ac:dyDescent="0.3">
      <c r="A951" s="4">
        <v>192</v>
      </c>
      <c r="B951" s="5" t="s">
        <v>8788</v>
      </c>
      <c r="C951" s="6" t="s">
        <v>72</v>
      </c>
      <c r="D951" s="5" t="s">
        <v>8789</v>
      </c>
      <c r="E951" s="5" t="s">
        <v>33</v>
      </c>
      <c r="F951" s="6" t="s">
        <v>6447</v>
      </c>
      <c r="G951" s="6" t="s">
        <v>8790</v>
      </c>
      <c r="H951" s="6" t="s">
        <v>719</v>
      </c>
      <c r="I951" s="6" t="s">
        <v>2913</v>
      </c>
      <c r="J951" s="6" t="s">
        <v>385</v>
      </c>
      <c r="K951" s="6" t="s">
        <v>8791</v>
      </c>
      <c r="L951" s="6">
        <f>24%</f>
        <v>0.24</v>
      </c>
      <c r="M951" s="6" t="s">
        <v>8792</v>
      </c>
      <c r="N951" s="6">
        <f>24%</f>
        <v>0.24</v>
      </c>
      <c r="O951" s="6" t="s">
        <v>8793</v>
      </c>
      <c r="P951" s="6" t="s">
        <v>8794</v>
      </c>
      <c r="Q951" s="6">
        <f>68%</f>
        <v>0.68</v>
      </c>
      <c r="R951" s="6" t="s">
        <v>8795</v>
      </c>
      <c r="S951" s="6">
        <v>138</v>
      </c>
      <c r="T951" s="6" t="s">
        <v>8796</v>
      </c>
      <c r="U951" s="6">
        <f>300%</f>
        <v>3</v>
      </c>
      <c r="V951" s="6"/>
      <c r="W951" s="6"/>
      <c r="X951" s="6"/>
      <c r="Y951" s="6"/>
      <c r="Z951" s="6"/>
      <c r="AA951" s="6"/>
      <c r="AB951" s="6"/>
      <c r="AC951" s="6"/>
      <c r="AD951" s="7"/>
    </row>
    <row r="952" spans="1:30" ht="15.6" x14ac:dyDescent="0.3">
      <c r="A952" s="4">
        <v>193</v>
      </c>
      <c r="B952" s="5" t="s">
        <v>8797</v>
      </c>
      <c r="C952" s="6" t="s">
        <v>173</v>
      </c>
      <c r="D952" s="5" t="s">
        <v>8798</v>
      </c>
      <c r="E952" s="5" t="s">
        <v>33</v>
      </c>
      <c r="F952" s="6" t="s">
        <v>8799</v>
      </c>
      <c r="G952" s="6" t="s">
        <v>8800</v>
      </c>
      <c r="H952" s="6" t="s">
        <v>719</v>
      </c>
      <c r="I952" s="8">
        <v>-0.6</v>
      </c>
      <c r="J952" s="6" t="s">
        <v>90</v>
      </c>
      <c r="K952" s="6" t="s">
        <v>8421</v>
      </c>
      <c r="L952" s="6">
        <f>55%</f>
        <v>0.55000000000000004</v>
      </c>
      <c r="M952" s="6" t="s">
        <v>8801</v>
      </c>
      <c r="N952" s="6">
        <f>55%</f>
        <v>0.55000000000000004</v>
      </c>
      <c r="O952" s="6" t="s">
        <v>8802</v>
      </c>
      <c r="P952" s="6" t="s">
        <v>8803</v>
      </c>
      <c r="Q952" s="6">
        <f>0.0038</f>
        <v>3.8E-3</v>
      </c>
      <c r="R952" s="6" t="s">
        <v>8804</v>
      </c>
      <c r="S952" s="6">
        <v>31</v>
      </c>
      <c r="T952" s="6" t="s">
        <v>8805</v>
      </c>
      <c r="U952" s="6">
        <f>13%</f>
        <v>0.13</v>
      </c>
      <c r="V952" s="5" t="s">
        <v>8806</v>
      </c>
      <c r="W952" s="5" t="s">
        <v>8807</v>
      </c>
      <c r="X952" s="5" t="s">
        <v>8808</v>
      </c>
      <c r="Y952" s="5" t="s">
        <v>8809</v>
      </c>
      <c r="Z952" s="6"/>
      <c r="AA952" s="6"/>
      <c r="AB952" s="6"/>
      <c r="AC952" s="6"/>
      <c r="AD952" s="7"/>
    </row>
    <row r="953" spans="1:30" ht="15.6" x14ac:dyDescent="0.3">
      <c r="A953" s="4">
        <v>194</v>
      </c>
      <c r="B953" s="5" t="s">
        <v>8810</v>
      </c>
      <c r="C953" s="6" t="s">
        <v>291</v>
      </c>
      <c r="D953" s="5" t="s">
        <v>8811</v>
      </c>
      <c r="E953" s="5" t="s">
        <v>48</v>
      </c>
      <c r="F953" s="6" t="s">
        <v>8812</v>
      </c>
      <c r="G953" s="6" t="s">
        <v>8813</v>
      </c>
      <c r="H953" s="6" t="s">
        <v>1048</v>
      </c>
      <c r="I953" s="8">
        <v>-0.75</v>
      </c>
      <c r="J953" s="6" t="s">
        <v>3435</v>
      </c>
      <c r="K953" s="6" t="s">
        <v>8814</v>
      </c>
      <c r="L953" s="8">
        <v>-0.34</v>
      </c>
      <c r="M953" s="6" t="s">
        <v>8815</v>
      </c>
      <c r="N953" s="8">
        <v>-0.34</v>
      </c>
      <c r="O953" s="6" t="s">
        <v>8816</v>
      </c>
      <c r="P953" s="6" t="s">
        <v>8817</v>
      </c>
      <c r="Q953" s="6">
        <f>0.0034</f>
        <v>3.3999999999999998E-3</v>
      </c>
      <c r="R953" s="6" t="s">
        <v>8818</v>
      </c>
      <c r="S953" s="6">
        <v>29</v>
      </c>
      <c r="T953" s="6" t="s">
        <v>8258</v>
      </c>
      <c r="U953" s="8">
        <v>-0.61</v>
      </c>
      <c r="V953" s="6"/>
      <c r="W953" s="6"/>
      <c r="X953" s="6"/>
      <c r="Y953" s="6"/>
      <c r="Z953" s="6"/>
      <c r="AA953" s="6"/>
      <c r="AB953" s="6"/>
      <c r="AC953" s="6"/>
      <c r="AD953" s="7"/>
    </row>
    <row r="954" spans="1:30" ht="15.6" x14ac:dyDescent="0.3">
      <c r="A954" s="4">
        <v>195</v>
      </c>
      <c r="B954" s="5" t="s">
        <v>8819</v>
      </c>
      <c r="C954" s="6" t="s">
        <v>60</v>
      </c>
      <c r="D954" s="5" t="s">
        <v>8820</v>
      </c>
      <c r="E954" s="5" t="s">
        <v>33</v>
      </c>
      <c r="F954" s="6" t="s">
        <v>8821</v>
      </c>
      <c r="G954" s="6" t="s">
        <v>8822</v>
      </c>
      <c r="H954" s="6" t="s">
        <v>1048</v>
      </c>
      <c r="I954" s="6" t="s">
        <v>3602</v>
      </c>
      <c r="J954" s="6" t="s">
        <v>250</v>
      </c>
      <c r="K954" s="6" t="s">
        <v>8823</v>
      </c>
      <c r="L954" s="6">
        <f>13%</f>
        <v>0.13</v>
      </c>
      <c r="M954" s="6" t="s">
        <v>8824</v>
      </c>
      <c r="N954" s="6">
        <f>13%</f>
        <v>0.13</v>
      </c>
      <c r="O954" s="6" t="s">
        <v>5037</v>
      </c>
      <c r="P954" s="6" t="s">
        <v>1485</v>
      </c>
      <c r="Q954" s="6">
        <f>0.0045</f>
        <v>4.4999999999999997E-3</v>
      </c>
      <c r="R954" s="6">
        <v>28</v>
      </c>
      <c r="S954" s="6">
        <v>0</v>
      </c>
      <c r="T954" s="6">
        <v>120</v>
      </c>
      <c r="U954" s="6" t="s">
        <v>9262</v>
      </c>
      <c r="V954" s="5" t="s">
        <v>8825</v>
      </c>
      <c r="W954" s="5" t="s">
        <v>8826</v>
      </c>
      <c r="X954" s="5" t="s">
        <v>8827</v>
      </c>
      <c r="Y954" s="5" t="s">
        <v>8828</v>
      </c>
      <c r="Z954" s="6"/>
      <c r="AA954" s="6"/>
      <c r="AB954" s="6"/>
      <c r="AC954" s="6"/>
      <c r="AD954" s="7"/>
    </row>
    <row r="955" spans="1:30" ht="15.6" x14ac:dyDescent="0.3">
      <c r="A955" s="4">
        <v>196</v>
      </c>
      <c r="B955" s="5" t="s">
        <v>8829</v>
      </c>
      <c r="C955" s="6" t="s">
        <v>370</v>
      </c>
      <c r="D955" s="5" t="s">
        <v>8830</v>
      </c>
      <c r="E955" s="5" t="s">
        <v>48</v>
      </c>
      <c r="F955" s="6" t="s">
        <v>4191</v>
      </c>
      <c r="G955" s="6" t="s">
        <v>8831</v>
      </c>
      <c r="H955" s="6" t="s">
        <v>1048</v>
      </c>
      <c r="I955" s="8">
        <v>-0.1</v>
      </c>
      <c r="J955" s="6" t="s">
        <v>596</v>
      </c>
      <c r="K955" s="6" t="s">
        <v>8832</v>
      </c>
      <c r="L955" s="6" t="s">
        <v>217</v>
      </c>
      <c r="M955" s="6" t="s">
        <v>8833</v>
      </c>
      <c r="N955" s="6">
        <f>31%</f>
        <v>0.31</v>
      </c>
      <c r="O955" s="6" t="s">
        <v>8834</v>
      </c>
      <c r="P955" s="6" t="s">
        <v>8835</v>
      </c>
      <c r="Q955" s="6">
        <f>0.0025</f>
        <v>2.5000000000000001E-3</v>
      </c>
      <c r="R955" s="6" t="s">
        <v>8836</v>
      </c>
      <c r="S955" s="6">
        <v>73</v>
      </c>
      <c r="T955" s="6" t="s">
        <v>8837</v>
      </c>
      <c r="U955" s="6">
        <f>50%</f>
        <v>0.5</v>
      </c>
      <c r="V955" s="5" t="s">
        <v>8838</v>
      </c>
      <c r="W955" s="5" t="s">
        <v>8839</v>
      </c>
      <c r="X955" s="6"/>
      <c r="Y955" s="6"/>
      <c r="Z955" s="6"/>
      <c r="AA955" s="6"/>
      <c r="AB955" s="6"/>
      <c r="AC955" s="6"/>
      <c r="AD955" s="7"/>
    </row>
    <row r="956" spans="1:30" ht="15.6" x14ac:dyDescent="0.3">
      <c r="A956" s="4">
        <v>197</v>
      </c>
      <c r="B956" s="5" t="s">
        <v>8840</v>
      </c>
      <c r="C956" s="6" t="s">
        <v>267</v>
      </c>
      <c r="D956" s="5" t="s">
        <v>8841</v>
      </c>
      <c r="E956" s="5" t="s">
        <v>48</v>
      </c>
      <c r="F956" s="6" t="s">
        <v>8842</v>
      </c>
      <c r="G956" s="6" t="s">
        <v>8843</v>
      </c>
      <c r="H956" s="6" t="s">
        <v>1048</v>
      </c>
      <c r="I956" s="6" t="s">
        <v>730</v>
      </c>
      <c r="J956" s="6" t="s">
        <v>973</v>
      </c>
      <c r="K956" s="6" t="s">
        <v>3099</v>
      </c>
      <c r="L956" s="6" t="s">
        <v>217</v>
      </c>
      <c r="M956" s="6" t="s">
        <v>8844</v>
      </c>
      <c r="N956" s="6">
        <f>2%</f>
        <v>0.02</v>
      </c>
      <c r="O956" s="6" t="s">
        <v>5329</v>
      </c>
      <c r="P956" s="6" t="s">
        <v>8845</v>
      </c>
      <c r="Q956" s="6">
        <f>0.024</f>
        <v>2.4E-2</v>
      </c>
      <c r="R956" s="6">
        <v>342</v>
      </c>
      <c r="S956" s="6">
        <v>0</v>
      </c>
      <c r="T956" s="6">
        <v>917</v>
      </c>
      <c r="U956" s="6">
        <f>950%</f>
        <v>9.5</v>
      </c>
      <c r="V956" s="5" t="s">
        <v>8846</v>
      </c>
      <c r="W956" s="5" t="s">
        <v>8240</v>
      </c>
      <c r="X956" s="5" t="s">
        <v>8847</v>
      </c>
      <c r="Y956" s="5" t="s">
        <v>8240</v>
      </c>
      <c r="Z956" s="6"/>
      <c r="AA956" s="6"/>
      <c r="AB956" s="6"/>
      <c r="AC956" s="6"/>
      <c r="AD956" s="7"/>
    </row>
    <row r="957" spans="1:30" ht="15.6" x14ac:dyDescent="0.3">
      <c r="A957" s="4">
        <v>198</v>
      </c>
      <c r="B957" s="5" t="s">
        <v>8848</v>
      </c>
      <c r="C957" s="6" t="s">
        <v>31</v>
      </c>
      <c r="D957" s="5" t="s">
        <v>8849</v>
      </c>
      <c r="E957" s="5" t="s">
        <v>48</v>
      </c>
      <c r="F957" s="6" t="s">
        <v>8850</v>
      </c>
      <c r="G957" s="6" t="s">
        <v>8851</v>
      </c>
      <c r="H957" s="6" t="s">
        <v>1048</v>
      </c>
      <c r="I957" s="6" t="s">
        <v>8852</v>
      </c>
      <c r="J957" s="6" t="s">
        <v>798</v>
      </c>
      <c r="K957" s="6" t="s">
        <v>560</v>
      </c>
      <c r="L957" s="8">
        <v>-0.33</v>
      </c>
      <c r="M957" s="6" t="s">
        <v>8853</v>
      </c>
      <c r="N957" s="8">
        <v>-0.33</v>
      </c>
      <c r="O957" s="6" t="s">
        <v>8854</v>
      </c>
      <c r="P957" s="6" t="s">
        <v>8855</v>
      </c>
      <c r="Q957" s="6">
        <f>9.9%</f>
        <v>9.9000000000000005E-2</v>
      </c>
      <c r="R957" s="6" t="s">
        <v>8856</v>
      </c>
      <c r="S957" s="6">
        <v>33</v>
      </c>
      <c r="T957" s="6" t="s">
        <v>416</v>
      </c>
      <c r="U957" s="6">
        <f>120%</f>
        <v>1.2</v>
      </c>
      <c r="V957" s="5" t="s">
        <v>8857</v>
      </c>
      <c r="W957" s="5" t="s">
        <v>8858</v>
      </c>
      <c r="X957" s="6"/>
      <c r="Y957" s="6"/>
      <c r="Z957" s="6"/>
      <c r="AA957" s="6"/>
      <c r="AB957" s="6"/>
      <c r="AC957" s="6"/>
      <c r="AD957" s="7"/>
    </row>
    <row r="958" spans="1:30" ht="15.6" x14ac:dyDescent="0.3">
      <c r="A958" s="4">
        <v>199</v>
      </c>
      <c r="B958" s="5" t="s">
        <v>8859</v>
      </c>
      <c r="C958" s="6" t="s">
        <v>267</v>
      </c>
      <c r="D958" s="5" t="s">
        <v>8860</v>
      </c>
      <c r="E958" s="5" t="s">
        <v>33</v>
      </c>
      <c r="F958" s="6" t="s">
        <v>8861</v>
      </c>
      <c r="G958" s="6" t="s">
        <v>8862</v>
      </c>
      <c r="H958" s="6" t="s">
        <v>1048</v>
      </c>
      <c r="I958" s="8">
        <v>-0.99</v>
      </c>
      <c r="J958" s="6" t="s">
        <v>1600</v>
      </c>
      <c r="K958" s="6" t="s">
        <v>108</v>
      </c>
      <c r="L958" s="8">
        <v>-0.14000000000000001</v>
      </c>
      <c r="M958" s="6" t="s">
        <v>8863</v>
      </c>
      <c r="N958" s="8">
        <v>-0.14000000000000001</v>
      </c>
      <c r="O958" s="6" t="s">
        <v>8864</v>
      </c>
      <c r="P958" s="6" t="s">
        <v>8865</v>
      </c>
      <c r="Q958" s="6">
        <f>0.011</f>
        <v>1.0999999999999999E-2</v>
      </c>
      <c r="R958" s="6">
        <v>131</v>
      </c>
      <c r="S958" s="6">
        <v>0</v>
      </c>
      <c r="T958" s="6" t="s">
        <v>8866</v>
      </c>
      <c r="U958" s="8">
        <v>-0.88</v>
      </c>
      <c r="V958" s="5" t="s">
        <v>8867</v>
      </c>
      <c r="W958" s="5" t="s">
        <v>8868</v>
      </c>
      <c r="X958" s="6"/>
      <c r="Y958" s="6"/>
      <c r="Z958" s="6"/>
      <c r="AA958" s="6"/>
      <c r="AB958" s="6"/>
      <c r="AC958" s="6"/>
      <c r="AD958" s="7"/>
    </row>
    <row r="959" spans="1:30" ht="15.6" x14ac:dyDescent="0.3">
      <c r="A959" s="4">
        <v>200</v>
      </c>
      <c r="B959" s="5" t="s">
        <v>8869</v>
      </c>
      <c r="C959" s="6" t="s">
        <v>370</v>
      </c>
      <c r="D959" s="5" t="s">
        <v>8870</v>
      </c>
      <c r="E959" s="5" t="s">
        <v>48</v>
      </c>
      <c r="F959" s="6" t="s">
        <v>8871</v>
      </c>
      <c r="G959" s="6" t="s">
        <v>8872</v>
      </c>
      <c r="H959" s="6" t="s">
        <v>1048</v>
      </c>
      <c r="I959" s="6" t="s">
        <v>295</v>
      </c>
      <c r="J959" s="6" t="s">
        <v>3435</v>
      </c>
      <c r="K959" s="6" t="s">
        <v>8873</v>
      </c>
      <c r="L959" s="8">
        <v>-0.02</v>
      </c>
      <c r="M959" s="6" t="s">
        <v>8874</v>
      </c>
      <c r="N959" s="8">
        <v>-0.02</v>
      </c>
      <c r="O959" s="6" t="s">
        <v>8875</v>
      </c>
      <c r="P959" s="6" t="s">
        <v>8876</v>
      </c>
      <c r="Q959" s="8">
        <v>-0.37</v>
      </c>
      <c r="R959" s="6" t="s">
        <v>8877</v>
      </c>
      <c r="S959" s="6">
        <v>312</v>
      </c>
      <c r="T959" s="6" t="s">
        <v>1233</v>
      </c>
      <c r="U959" s="8">
        <v>-0.38</v>
      </c>
      <c r="V959" s="5" t="s">
        <v>8878</v>
      </c>
      <c r="W959" s="5" t="s">
        <v>8879</v>
      </c>
      <c r="X959" s="6"/>
      <c r="Y959" s="6"/>
      <c r="Z959" s="6"/>
      <c r="AA959" s="6"/>
      <c r="AB959" s="6"/>
      <c r="AC959" s="6"/>
      <c r="AD959" s="7"/>
    </row>
    <row r="960" spans="1:30" ht="15.6" x14ac:dyDescent="0.3">
      <c r="A960" s="4">
        <v>201</v>
      </c>
      <c r="B960" s="5" t="s">
        <v>8880</v>
      </c>
      <c r="C960" s="6" t="s">
        <v>370</v>
      </c>
      <c r="D960" s="5" t="s">
        <v>8881</v>
      </c>
      <c r="E960" s="5" t="s">
        <v>33</v>
      </c>
      <c r="F960" s="6" t="s">
        <v>8882</v>
      </c>
      <c r="G960" s="6" t="s">
        <v>8883</v>
      </c>
      <c r="H960" s="6" t="s">
        <v>1048</v>
      </c>
      <c r="I960" s="6" t="s">
        <v>8884</v>
      </c>
      <c r="J960" s="6" t="s">
        <v>3435</v>
      </c>
      <c r="K960" s="6" t="s">
        <v>8885</v>
      </c>
      <c r="L960" s="6">
        <f>13%</f>
        <v>0.13</v>
      </c>
      <c r="M960" s="6" t="s">
        <v>8886</v>
      </c>
      <c r="N960" s="6">
        <f>13%</f>
        <v>0.13</v>
      </c>
      <c r="O960" s="6" t="s">
        <v>8887</v>
      </c>
      <c r="P960" s="6" t="s">
        <v>112</v>
      </c>
      <c r="Q960" s="6">
        <f>75%</f>
        <v>0.75</v>
      </c>
      <c r="R960" s="6" t="s">
        <v>8888</v>
      </c>
      <c r="S960" s="6">
        <v>4</v>
      </c>
      <c r="T960" s="6" t="s">
        <v>8889</v>
      </c>
      <c r="U960" s="6">
        <f>380%</f>
        <v>3.8</v>
      </c>
      <c r="V960" s="5" t="s">
        <v>8890</v>
      </c>
      <c r="W960" s="5" t="s">
        <v>8891</v>
      </c>
      <c r="X960" s="6"/>
      <c r="Y960" s="6"/>
      <c r="Z960" s="6"/>
      <c r="AA960" s="6"/>
      <c r="AB960" s="6"/>
      <c r="AC960" s="6"/>
      <c r="AD960" s="7"/>
    </row>
    <row r="961" spans="1:30" ht="15.6" x14ac:dyDescent="0.3">
      <c r="A961" s="4">
        <v>202</v>
      </c>
      <c r="B961" s="5" t="s">
        <v>8892</v>
      </c>
      <c r="C961" s="6" t="s">
        <v>85</v>
      </c>
      <c r="D961" s="5" t="s">
        <v>8893</v>
      </c>
      <c r="E961" s="5" t="s">
        <v>33</v>
      </c>
      <c r="F961" s="6" t="s">
        <v>8894</v>
      </c>
      <c r="G961" s="6" t="s">
        <v>8895</v>
      </c>
      <c r="H961" s="6" t="s">
        <v>1048</v>
      </c>
      <c r="I961" s="6" t="s">
        <v>8896</v>
      </c>
      <c r="J961" s="6" t="s">
        <v>798</v>
      </c>
      <c r="K961" s="6" t="s">
        <v>8897</v>
      </c>
      <c r="L961" s="6">
        <f>5.7%</f>
        <v>5.7000000000000002E-2</v>
      </c>
      <c r="M961" s="6" t="s">
        <v>8898</v>
      </c>
      <c r="N961" s="6">
        <f>5.7%</f>
        <v>5.7000000000000002E-2</v>
      </c>
      <c r="O961" s="6" t="s">
        <v>8899</v>
      </c>
      <c r="P961" s="6" t="s">
        <v>8900</v>
      </c>
      <c r="Q961" s="8">
        <v>-0.4</v>
      </c>
      <c r="R961" s="6" t="s">
        <v>8901</v>
      </c>
      <c r="S961" s="6">
        <v>96</v>
      </c>
      <c r="T961" s="6">
        <v>907</v>
      </c>
      <c r="U961" s="8">
        <v>-0.26</v>
      </c>
      <c r="V961" s="6"/>
      <c r="W961" s="6"/>
      <c r="X961" s="6"/>
      <c r="Y961" s="6"/>
      <c r="Z961" s="6"/>
      <c r="AA961" s="6"/>
      <c r="AB961" s="6"/>
      <c r="AC961" s="6"/>
      <c r="AD961" s="7"/>
    </row>
    <row r="962" spans="1:30" ht="15.6" x14ac:dyDescent="0.3">
      <c r="A962" s="4">
        <v>203</v>
      </c>
      <c r="B962" s="5" t="s">
        <v>8902</v>
      </c>
      <c r="C962" s="6" t="s">
        <v>466</v>
      </c>
      <c r="D962" s="5" t="s">
        <v>8903</v>
      </c>
      <c r="E962" s="5" t="s">
        <v>48</v>
      </c>
      <c r="F962" s="6" t="s">
        <v>8904</v>
      </c>
      <c r="G962" s="6" t="s">
        <v>8905</v>
      </c>
      <c r="H962" s="6" t="s">
        <v>1048</v>
      </c>
      <c r="I962" s="8">
        <v>-0.28999999999999998</v>
      </c>
      <c r="J962" s="6" t="s">
        <v>667</v>
      </c>
      <c r="K962" s="6" t="s">
        <v>8906</v>
      </c>
      <c r="L962" s="6">
        <f>13%</f>
        <v>0.13</v>
      </c>
      <c r="M962" s="6" t="s">
        <v>8907</v>
      </c>
      <c r="N962" s="6">
        <f>320%</f>
        <v>3.2</v>
      </c>
      <c r="O962" s="6" t="s">
        <v>8908</v>
      </c>
      <c r="P962" s="6" t="s">
        <v>8909</v>
      </c>
      <c r="Q962" s="6">
        <f>0.019</f>
        <v>1.9E-2</v>
      </c>
      <c r="R962" s="6" t="s">
        <v>8910</v>
      </c>
      <c r="S962" s="6">
        <v>4</v>
      </c>
      <c r="T962" s="6" t="s">
        <v>8911</v>
      </c>
      <c r="U962" s="6" t="s">
        <v>9262</v>
      </c>
      <c r="V962" s="5" t="s">
        <v>8912</v>
      </c>
      <c r="W962" s="5" t="s">
        <v>8913</v>
      </c>
      <c r="X962" s="6"/>
      <c r="Y962" s="6"/>
      <c r="Z962" s="6"/>
      <c r="AA962" s="6"/>
      <c r="AB962" s="6"/>
      <c r="AC962" s="6"/>
      <c r="AD962" s="7"/>
    </row>
    <row r="963" spans="1:30" ht="15.6" x14ac:dyDescent="0.3">
      <c r="A963" s="4">
        <v>204</v>
      </c>
      <c r="B963" s="5" t="s">
        <v>8914</v>
      </c>
      <c r="C963" s="6" t="s">
        <v>72</v>
      </c>
      <c r="D963" s="5" t="s">
        <v>8915</v>
      </c>
      <c r="E963" s="5" t="s">
        <v>48</v>
      </c>
      <c r="F963" s="6" t="s">
        <v>8916</v>
      </c>
      <c r="G963" s="6" t="s">
        <v>8917</v>
      </c>
      <c r="H963" s="6" t="s">
        <v>1048</v>
      </c>
      <c r="I963" s="6" t="s">
        <v>1548</v>
      </c>
      <c r="J963" s="6" t="s">
        <v>1071</v>
      </c>
      <c r="K963" s="6" t="s">
        <v>8918</v>
      </c>
      <c r="L963" s="6" t="s">
        <v>217</v>
      </c>
      <c r="M963" s="6" t="s">
        <v>8919</v>
      </c>
      <c r="N963" s="6" t="s">
        <v>8920</v>
      </c>
      <c r="O963" s="6" t="s">
        <v>8921</v>
      </c>
      <c r="P963" s="6" t="s">
        <v>8922</v>
      </c>
      <c r="Q963" s="6">
        <f>53%</f>
        <v>0.53</v>
      </c>
      <c r="R963" s="6" t="s">
        <v>8923</v>
      </c>
      <c r="S963" s="6">
        <v>108</v>
      </c>
      <c r="T963" s="6" t="s">
        <v>2372</v>
      </c>
      <c r="U963" s="6" t="s">
        <v>1593</v>
      </c>
      <c r="V963" s="6"/>
      <c r="W963" s="6"/>
      <c r="X963" s="6"/>
      <c r="Y963" s="6"/>
      <c r="Z963" s="6"/>
      <c r="AA963" s="6"/>
      <c r="AB963" s="6"/>
      <c r="AC963" s="6"/>
      <c r="AD963" s="7"/>
    </row>
    <row r="964" spans="1:30" ht="15.6" x14ac:dyDescent="0.3">
      <c r="A964" s="4">
        <v>205</v>
      </c>
      <c r="B964" s="5" t="s">
        <v>8924</v>
      </c>
      <c r="C964" s="6" t="s">
        <v>72</v>
      </c>
      <c r="D964" s="5" t="s">
        <v>8925</v>
      </c>
      <c r="E964" s="5" t="s">
        <v>48</v>
      </c>
      <c r="F964" s="6" t="s">
        <v>8926</v>
      </c>
      <c r="G964" s="6" t="s">
        <v>8927</v>
      </c>
      <c r="H964" s="6" t="s">
        <v>1048</v>
      </c>
      <c r="I964" s="6" t="s">
        <v>8928</v>
      </c>
      <c r="J964" s="6" t="s">
        <v>250</v>
      </c>
      <c r="K964" s="6" t="s">
        <v>8929</v>
      </c>
      <c r="L964" s="8">
        <v>-0.44</v>
      </c>
      <c r="M964" s="6" t="s">
        <v>8930</v>
      </c>
      <c r="N964" s="8">
        <v>-0.44</v>
      </c>
      <c r="O964" s="6" t="s">
        <v>8931</v>
      </c>
      <c r="P964" s="6" t="s">
        <v>8932</v>
      </c>
      <c r="Q964" s="6">
        <f>5.7%</f>
        <v>5.7000000000000002E-2</v>
      </c>
      <c r="R964" s="6" t="s">
        <v>8933</v>
      </c>
      <c r="S964" s="6">
        <v>32</v>
      </c>
      <c r="T964" s="6" t="s">
        <v>8934</v>
      </c>
      <c r="U964" s="8">
        <v>-0.15</v>
      </c>
      <c r="V964" s="6"/>
      <c r="W964" s="6"/>
      <c r="X964" s="6"/>
      <c r="Y964" s="6"/>
      <c r="Z964" s="6"/>
      <c r="AA964" s="6"/>
      <c r="AB964" s="6"/>
      <c r="AC964" s="6"/>
      <c r="AD964" s="7"/>
    </row>
    <row r="965" spans="1:30" ht="15.6" x14ac:dyDescent="0.3">
      <c r="A965" s="4">
        <v>206</v>
      </c>
      <c r="B965" s="5" t="s">
        <v>8935</v>
      </c>
      <c r="C965" s="6" t="s">
        <v>291</v>
      </c>
      <c r="D965" s="5" t="s">
        <v>8936</v>
      </c>
      <c r="E965" s="5" t="s">
        <v>48</v>
      </c>
      <c r="F965" s="6" t="s">
        <v>8937</v>
      </c>
      <c r="G965" s="6" t="s">
        <v>8938</v>
      </c>
      <c r="H965" s="6" t="s">
        <v>1048</v>
      </c>
      <c r="I965" s="6" t="s">
        <v>617</v>
      </c>
      <c r="J965" s="6" t="s">
        <v>1110</v>
      </c>
      <c r="K965" s="6" t="s">
        <v>5398</v>
      </c>
      <c r="L965" s="6">
        <f>100%</f>
        <v>1</v>
      </c>
      <c r="M965" s="6" t="s">
        <v>8939</v>
      </c>
      <c r="N965" s="6">
        <f>100%</f>
        <v>1</v>
      </c>
      <c r="O965" s="6" t="s">
        <v>8940</v>
      </c>
      <c r="P965" s="6" t="s">
        <v>8941</v>
      </c>
      <c r="Q965" s="6">
        <f>39%</f>
        <v>0.39</v>
      </c>
      <c r="R965" s="6" t="s">
        <v>8942</v>
      </c>
      <c r="S965" s="6">
        <v>77</v>
      </c>
      <c r="T965" s="6" t="s">
        <v>5243</v>
      </c>
      <c r="U965" s="6">
        <f>10%</f>
        <v>0.1</v>
      </c>
      <c r="V965" s="6"/>
      <c r="W965" s="6"/>
      <c r="X965" s="6"/>
      <c r="Y965" s="6"/>
      <c r="Z965" s="6"/>
      <c r="AA965" s="6"/>
      <c r="AB965" s="6"/>
      <c r="AC965" s="6"/>
      <c r="AD965" s="7"/>
    </row>
    <row r="966" spans="1:30" ht="15.6" x14ac:dyDescent="0.3">
      <c r="A966" s="4">
        <v>207</v>
      </c>
      <c r="B966" s="5" t="s">
        <v>8943</v>
      </c>
      <c r="C966" s="6" t="s">
        <v>370</v>
      </c>
      <c r="D966" s="5" t="s">
        <v>8944</v>
      </c>
      <c r="E966" s="5" t="s">
        <v>162</v>
      </c>
      <c r="F966" s="6" t="s">
        <v>8945</v>
      </c>
      <c r="G966" s="6" t="s">
        <v>8946</v>
      </c>
      <c r="H966" s="6" t="s">
        <v>1048</v>
      </c>
      <c r="I966" s="6" t="s">
        <v>806</v>
      </c>
      <c r="J966" s="6" t="s">
        <v>1491</v>
      </c>
      <c r="K966" s="6" t="s">
        <v>1196</v>
      </c>
      <c r="L966" s="6" t="s">
        <v>217</v>
      </c>
      <c r="M966" s="6" t="s">
        <v>8947</v>
      </c>
      <c r="N966" s="6" t="s">
        <v>2442</v>
      </c>
      <c r="O966" s="6" t="s">
        <v>8948</v>
      </c>
      <c r="P966" s="6" t="s">
        <v>8949</v>
      </c>
      <c r="Q966" s="6">
        <f>0.065%</f>
        <v>6.4999999999999997E-4</v>
      </c>
      <c r="R966" s="6" t="s">
        <v>8950</v>
      </c>
      <c r="S966" s="6">
        <v>119</v>
      </c>
      <c r="T966" s="6" t="s">
        <v>8951</v>
      </c>
      <c r="U966" s="8">
        <v>-0.11</v>
      </c>
      <c r="V966" s="6"/>
      <c r="W966" s="6"/>
      <c r="X966" s="6"/>
      <c r="Y966" s="6"/>
      <c r="Z966" s="6"/>
      <c r="AA966" s="6"/>
      <c r="AB966" s="6"/>
      <c r="AC966" s="6"/>
      <c r="AD966" s="7"/>
    </row>
    <row r="967" spans="1:30" ht="15.6" x14ac:dyDescent="0.3">
      <c r="A967" s="4">
        <v>208</v>
      </c>
      <c r="B967" s="5" t="s">
        <v>8952</v>
      </c>
      <c r="C967" s="6" t="s">
        <v>114</v>
      </c>
      <c r="D967" s="5" t="s">
        <v>8953</v>
      </c>
      <c r="E967" s="5" t="s">
        <v>48</v>
      </c>
      <c r="F967" s="6" t="s">
        <v>8954</v>
      </c>
      <c r="G967" s="6" t="s">
        <v>8955</v>
      </c>
      <c r="H967" s="6" t="s">
        <v>1048</v>
      </c>
      <c r="I967" s="8">
        <v>-0.03</v>
      </c>
      <c r="J967" s="6" t="s">
        <v>1479</v>
      </c>
      <c r="K967" s="6" t="s">
        <v>285</v>
      </c>
      <c r="L967" s="6">
        <f>26%</f>
        <v>0.26</v>
      </c>
      <c r="M967" s="6" t="s">
        <v>8348</v>
      </c>
      <c r="N967" s="6">
        <f>26%</f>
        <v>0.26</v>
      </c>
      <c r="O967" s="6" t="s">
        <v>8956</v>
      </c>
      <c r="P967" s="6" t="s">
        <v>8957</v>
      </c>
      <c r="Q967" s="6">
        <f>0.014</f>
        <v>1.4E-2</v>
      </c>
      <c r="R967" s="6" t="s">
        <v>8958</v>
      </c>
      <c r="S967" s="6">
        <v>71</v>
      </c>
      <c r="T967" s="6" t="s">
        <v>3343</v>
      </c>
      <c r="U967" s="6">
        <f>290%</f>
        <v>2.9</v>
      </c>
      <c r="V967" s="6"/>
      <c r="W967" s="6"/>
      <c r="X967" s="6"/>
      <c r="Y967" s="6"/>
      <c r="Z967" s="6"/>
      <c r="AA967" s="6"/>
      <c r="AB967" s="6"/>
      <c r="AC967" s="6"/>
      <c r="AD967" s="7"/>
    </row>
    <row r="968" spans="1:30" ht="15.6" x14ac:dyDescent="0.3">
      <c r="A968" s="4">
        <v>209</v>
      </c>
      <c r="B968" s="5" t="s">
        <v>8959</v>
      </c>
      <c r="C968" s="6" t="s">
        <v>31</v>
      </c>
      <c r="D968" s="5" t="s">
        <v>8960</v>
      </c>
      <c r="E968" s="5" t="s">
        <v>33</v>
      </c>
      <c r="F968" s="6">
        <v>101</v>
      </c>
      <c r="G968" s="6" t="s">
        <v>8961</v>
      </c>
      <c r="H968" s="6" t="s">
        <v>1048</v>
      </c>
      <c r="I968" s="6" t="s">
        <v>1975</v>
      </c>
      <c r="J968" s="6" t="s">
        <v>141</v>
      </c>
      <c r="K968" s="6" t="s">
        <v>7227</v>
      </c>
      <c r="L968" s="6">
        <f>370%</f>
        <v>3.7</v>
      </c>
      <c r="M968" s="6" t="s">
        <v>8962</v>
      </c>
      <c r="N968" s="6">
        <f>370%</f>
        <v>3.7</v>
      </c>
      <c r="O968" s="6" t="s">
        <v>8963</v>
      </c>
      <c r="P968" s="6" t="s">
        <v>8964</v>
      </c>
      <c r="Q968" s="6">
        <f>0.022</f>
        <v>2.1999999999999999E-2</v>
      </c>
      <c r="R968" s="6">
        <v>130</v>
      </c>
      <c r="S968" s="6">
        <v>2</v>
      </c>
      <c r="T968" s="6">
        <v>380</v>
      </c>
      <c r="U968" s="6" t="s">
        <v>9262</v>
      </c>
      <c r="V968" s="5" t="s">
        <v>8965</v>
      </c>
      <c r="W968" s="5" t="s">
        <v>8966</v>
      </c>
      <c r="X968" s="5" t="s">
        <v>8967</v>
      </c>
      <c r="Y968" s="5" t="s">
        <v>8968</v>
      </c>
      <c r="Z968" s="6"/>
      <c r="AA968" s="6"/>
      <c r="AB968" s="6"/>
      <c r="AC968" s="6"/>
      <c r="AD968" s="7"/>
    </row>
    <row r="969" spans="1:30" ht="15.6" x14ac:dyDescent="0.3">
      <c r="A969" s="4">
        <v>210</v>
      </c>
      <c r="B969" s="5" t="s">
        <v>8969</v>
      </c>
      <c r="C969" s="6" t="s">
        <v>546</v>
      </c>
      <c r="D969" s="5" t="s">
        <v>8970</v>
      </c>
      <c r="E969" s="5" t="s">
        <v>162</v>
      </c>
      <c r="F969" s="6" t="s">
        <v>8971</v>
      </c>
      <c r="G969" s="6" t="s">
        <v>8972</v>
      </c>
      <c r="H969" s="6" t="s">
        <v>1048</v>
      </c>
      <c r="I969" s="8">
        <v>-0.83</v>
      </c>
      <c r="J969" s="6" t="s">
        <v>374</v>
      </c>
      <c r="K969" s="6" t="s">
        <v>8973</v>
      </c>
      <c r="L969" s="6" t="s">
        <v>217</v>
      </c>
      <c r="M969" s="6" t="s">
        <v>8974</v>
      </c>
      <c r="N969" s="6" t="s">
        <v>106</v>
      </c>
      <c r="O969" s="6" t="s">
        <v>8975</v>
      </c>
      <c r="P969" s="6" t="s">
        <v>8976</v>
      </c>
      <c r="Q969" s="6">
        <f>0.0035</f>
        <v>3.5000000000000001E-3</v>
      </c>
      <c r="R969" s="6" t="s">
        <v>8977</v>
      </c>
      <c r="S969" s="6">
        <v>71</v>
      </c>
      <c r="T969" s="6" t="s">
        <v>8978</v>
      </c>
      <c r="U969" s="6">
        <f>39%</f>
        <v>0.39</v>
      </c>
      <c r="V969" s="6"/>
      <c r="W969" s="6"/>
      <c r="X969" s="6"/>
      <c r="Y969" s="6"/>
      <c r="Z969" s="6"/>
      <c r="AA969" s="6"/>
      <c r="AB969" s="6"/>
      <c r="AC969" s="6"/>
      <c r="AD969" s="7"/>
    </row>
    <row r="970" spans="1:30" ht="15.6" x14ac:dyDescent="0.3">
      <c r="A970" s="4">
        <v>211</v>
      </c>
      <c r="B970" s="5" t="s">
        <v>8979</v>
      </c>
      <c r="C970" s="6" t="s">
        <v>219</v>
      </c>
      <c r="D970" s="5" t="s">
        <v>8980</v>
      </c>
      <c r="E970" s="5" t="s">
        <v>33</v>
      </c>
      <c r="F970" s="6" t="s">
        <v>8981</v>
      </c>
      <c r="G970" s="6" t="s">
        <v>8982</v>
      </c>
      <c r="H970" s="6" t="s">
        <v>1048</v>
      </c>
      <c r="I970" s="8">
        <v>-0.85</v>
      </c>
      <c r="J970" s="6" t="s">
        <v>332</v>
      </c>
      <c r="K970" s="6" t="s">
        <v>8983</v>
      </c>
      <c r="L970" s="8">
        <v>-0.28000000000000003</v>
      </c>
      <c r="M970" s="6" t="s">
        <v>8984</v>
      </c>
      <c r="N970" s="8">
        <v>-0.28000000000000003</v>
      </c>
      <c r="O970" s="6" t="s">
        <v>8985</v>
      </c>
      <c r="P970" s="6" t="s">
        <v>8986</v>
      </c>
      <c r="Q970" s="6">
        <f>0.012</f>
        <v>1.2E-2</v>
      </c>
      <c r="R970" s="6" t="s">
        <v>8987</v>
      </c>
      <c r="S970" s="6">
        <v>45</v>
      </c>
      <c r="T970" s="6" t="s">
        <v>8988</v>
      </c>
      <c r="U970" s="6">
        <f>130%</f>
        <v>1.3</v>
      </c>
      <c r="V970" s="6"/>
      <c r="W970" s="6"/>
      <c r="X970" s="6"/>
      <c r="Y970" s="6"/>
      <c r="Z970" s="6"/>
      <c r="AA970" s="6"/>
      <c r="AB970" s="6"/>
      <c r="AC970" s="6"/>
      <c r="AD970" s="7"/>
    </row>
    <row r="971" spans="1:30" ht="15.6" x14ac:dyDescent="0.3">
      <c r="A971" s="4">
        <v>212</v>
      </c>
      <c r="B971" s="5" t="s">
        <v>8989</v>
      </c>
      <c r="C971" s="6" t="s">
        <v>291</v>
      </c>
      <c r="D971" s="5" t="s">
        <v>8990</v>
      </c>
      <c r="E971" s="6"/>
      <c r="F971" s="6" t="s">
        <v>8991</v>
      </c>
      <c r="G971" s="6" t="s">
        <v>8992</v>
      </c>
      <c r="H971" s="6" t="s">
        <v>1048</v>
      </c>
      <c r="I971" s="8">
        <v>-0.33</v>
      </c>
      <c r="J971" s="6" t="s">
        <v>141</v>
      </c>
      <c r="K971" s="6" t="s">
        <v>799</v>
      </c>
      <c r="L971" s="6" t="s">
        <v>217</v>
      </c>
      <c r="M971" s="6" t="s">
        <v>800</v>
      </c>
      <c r="N971" s="6" t="s">
        <v>217</v>
      </c>
      <c r="O971" s="6" t="s">
        <v>800</v>
      </c>
      <c r="P971" s="6" t="s">
        <v>217</v>
      </c>
      <c r="Q971" s="6">
        <f>0.011</f>
        <v>1.0999999999999999E-2</v>
      </c>
      <c r="R971" s="6" t="s">
        <v>8993</v>
      </c>
      <c r="S971" s="6">
        <v>78</v>
      </c>
      <c r="T971" s="6" t="s">
        <v>217</v>
      </c>
      <c r="U971" s="6" t="s">
        <v>217</v>
      </c>
      <c r="V971" s="5" t="s">
        <v>8994</v>
      </c>
      <c r="W971" s="5" t="s">
        <v>8995</v>
      </c>
      <c r="X971" s="6"/>
      <c r="Y971" s="6"/>
      <c r="Z971" s="6"/>
      <c r="AA971" s="6"/>
      <c r="AB971" s="6"/>
      <c r="AC971" s="6"/>
      <c r="AD971" s="7"/>
    </row>
    <row r="972" spans="1:30" ht="15.6" x14ac:dyDescent="0.3">
      <c r="A972" s="4">
        <v>213</v>
      </c>
      <c r="B972" s="5" t="s">
        <v>8996</v>
      </c>
      <c r="C972" s="6" t="s">
        <v>148</v>
      </c>
      <c r="D972" s="5" t="s">
        <v>8997</v>
      </c>
      <c r="E972" s="5" t="s">
        <v>48</v>
      </c>
      <c r="F972" s="6" t="s">
        <v>8998</v>
      </c>
      <c r="G972" s="6" t="s">
        <v>8999</v>
      </c>
      <c r="H972" s="6" t="s">
        <v>1048</v>
      </c>
      <c r="I972" s="6" t="s">
        <v>8884</v>
      </c>
      <c r="J972" s="6" t="s">
        <v>731</v>
      </c>
      <c r="K972" s="6" t="s">
        <v>39</v>
      </c>
      <c r="L972" s="6">
        <f>33%</f>
        <v>0.33</v>
      </c>
      <c r="M972" s="6" t="s">
        <v>6292</v>
      </c>
      <c r="N972" s="6">
        <f>33%</f>
        <v>0.33</v>
      </c>
      <c r="O972" s="6" t="s">
        <v>9000</v>
      </c>
      <c r="P972" s="6" t="s">
        <v>9001</v>
      </c>
      <c r="Q972" s="8">
        <v>-0.2</v>
      </c>
      <c r="R972" s="6" t="s">
        <v>9002</v>
      </c>
      <c r="S972" s="6">
        <v>237</v>
      </c>
      <c r="T972" s="6" t="s">
        <v>9003</v>
      </c>
      <c r="U972" s="8">
        <v>-0.25</v>
      </c>
      <c r="V972" s="5" t="s">
        <v>6842</v>
      </c>
      <c r="W972" s="5" t="s">
        <v>6843</v>
      </c>
      <c r="X972" s="6"/>
      <c r="Y972" s="6"/>
      <c r="Z972" s="6"/>
      <c r="AA972" s="6"/>
      <c r="AB972" s="6"/>
      <c r="AC972" s="6"/>
      <c r="AD972" s="7"/>
    </row>
    <row r="973" spans="1:30" ht="15.6" x14ac:dyDescent="0.3">
      <c r="A973" s="4">
        <v>214</v>
      </c>
      <c r="B973" s="5" t="s">
        <v>9004</v>
      </c>
      <c r="C973" s="6" t="s">
        <v>31</v>
      </c>
      <c r="D973" s="5" t="s">
        <v>9005</v>
      </c>
      <c r="E973" s="6"/>
      <c r="F973" s="6" t="s">
        <v>9006</v>
      </c>
      <c r="G973" s="6" t="s">
        <v>9007</v>
      </c>
      <c r="H973" s="6" t="s">
        <v>1048</v>
      </c>
      <c r="I973" s="6" t="s">
        <v>7463</v>
      </c>
      <c r="J973" s="6" t="s">
        <v>411</v>
      </c>
      <c r="K973" s="6" t="s">
        <v>799</v>
      </c>
      <c r="L973" s="6" t="s">
        <v>217</v>
      </c>
      <c r="M973" s="6" t="s">
        <v>800</v>
      </c>
      <c r="N973" s="6" t="s">
        <v>217</v>
      </c>
      <c r="O973" s="6" t="s">
        <v>800</v>
      </c>
      <c r="P973" s="6" t="s">
        <v>217</v>
      </c>
      <c r="Q973" s="6" t="s">
        <v>217</v>
      </c>
      <c r="R973" s="6" t="s">
        <v>9008</v>
      </c>
      <c r="S973" s="6">
        <v>104</v>
      </c>
      <c r="T973" s="6" t="s">
        <v>217</v>
      </c>
      <c r="U973" s="6" t="s">
        <v>217</v>
      </c>
      <c r="V973" s="6"/>
      <c r="W973" s="6"/>
      <c r="X973" s="6"/>
      <c r="Y973" s="6"/>
      <c r="Z973" s="6"/>
      <c r="AA973" s="6"/>
      <c r="AB973" s="6"/>
      <c r="AC973" s="6"/>
      <c r="AD973" s="7"/>
    </row>
    <row r="974" spans="1:30" ht="15.6" x14ac:dyDescent="0.3">
      <c r="A974" s="4">
        <v>215</v>
      </c>
      <c r="B974" s="5" t="s">
        <v>9009</v>
      </c>
      <c r="C974" s="6" t="s">
        <v>1408</v>
      </c>
      <c r="D974" s="5" t="s">
        <v>9010</v>
      </c>
      <c r="E974" s="5" t="s">
        <v>48</v>
      </c>
      <c r="F974" s="6" t="s">
        <v>9011</v>
      </c>
      <c r="G974" s="6" t="s">
        <v>9012</v>
      </c>
      <c r="H974" s="6" t="s">
        <v>1048</v>
      </c>
      <c r="I974" s="6" t="s">
        <v>4747</v>
      </c>
      <c r="J974" s="6" t="s">
        <v>259</v>
      </c>
      <c r="K974" s="6" t="s">
        <v>9013</v>
      </c>
      <c r="L974" s="8">
        <v>-0.64</v>
      </c>
      <c r="M974" s="6" t="s">
        <v>9014</v>
      </c>
      <c r="N974" s="8">
        <v>-0.64</v>
      </c>
      <c r="O974" s="6" t="s">
        <v>3527</v>
      </c>
      <c r="P974" s="6" t="s">
        <v>6841</v>
      </c>
      <c r="Q974" s="6" t="s">
        <v>217</v>
      </c>
      <c r="R974" s="6" t="s">
        <v>9015</v>
      </c>
      <c r="S974" s="6">
        <v>20</v>
      </c>
      <c r="T974" s="6" t="s">
        <v>9016</v>
      </c>
      <c r="U974" s="6" t="s">
        <v>217</v>
      </c>
      <c r="V974" s="5" t="s">
        <v>9017</v>
      </c>
      <c r="W974" s="5" t="s">
        <v>9018</v>
      </c>
      <c r="X974" s="6"/>
      <c r="Y974" s="6"/>
      <c r="Z974" s="6"/>
      <c r="AA974" s="6"/>
      <c r="AB974" s="6"/>
      <c r="AC974" s="6"/>
      <c r="AD974" s="7"/>
    </row>
    <row r="975" spans="1:30" ht="15.6" x14ac:dyDescent="0.3">
      <c r="A975" s="4">
        <v>216</v>
      </c>
      <c r="B975" s="5" t="s">
        <v>9019</v>
      </c>
      <c r="C975" s="6" t="s">
        <v>267</v>
      </c>
      <c r="D975" s="5" t="s">
        <v>9020</v>
      </c>
      <c r="E975" s="6"/>
      <c r="F975" s="6" t="s">
        <v>9021</v>
      </c>
      <c r="G975" s="6" t="s">
        <v>9022</v>
      </c>
      <c r="H975" s="6" t="s">
        <v>1048</v>
      </c>
      <c r="I975" s="6">
        <f>380%</f>
        <v>3.8</v>
      </c>
      <c r="J975" s="6" t="s">
        <v>494</v>
      </c>
      <c r="K975" s="6" t="s">
        <v>799</v>
      </c>
      <c r="L975" s="6" t="s">
        <v>217</v>
      </c>
      <c r="M975" s="6" t="s">
        <v>800</v>
      </c>
      <c r="N975" s="6" t="s">
        <v>217</v>
      </c>
      <c r="O975" s="6" t="s">
        <v>800</v>
      </c>
      <c r="P975" s="6" t="s">
        <v>217</v>
      </c>
      <c r="Q975" s="6">
        <f>0.015</f>
        <v>1.4999999999999999E-2</v>
      </c>
      <c r="R975" s="6" t="s">
        <v>9023</v>
      </c>
      <c r="S975" s="6">
        <v>13</v>
      </c>
      <c r="T975" s="6" t="s">
        <v>217</v>
      </c>
      <c r="U975" s="6" t="s">
        <v>217</v>
      </c>
      <c r="V975" s="5" t="s">
        <v>9024</v>
      </c>
      <c r="W975" s="5" t="s">
        <v>9025</v>
      </c>
      <c r="X975" s="5" t="s">
        <v>9026</v>
      </c>
      <c r="Y975" s="5" t="s">
        <v>9025</v>
      </c>
      <c r="Z975" s="6"/>
      <c r="AA975" s="6"/>
      <c r="AB975" s="6"/>
      <c r="AC975" s="6"/>
      <c r="AD975" s="7"/>
    </row>
    <row r="976" spans="1:30" ht="15.6" x14ac:dyDescent="0.3">
      <c r="A976" s="4">
        <v>217</v>
      </c>
      <c r="B976" s="5" t="s">
        <v>9027</v>
      </c>
      <c r="C976" s="6" t="s">
        <v>173</v>
      </c>
      <c r="D976" s="5" t="s">
        <v>9028</v>
      </c>
      <c r="E976" s="5" t="s">
        <v>48</v>
      </c>
      <c r="F976" s="6" t="s">
        <v>9029</v>
      </c>
      <c r="G976" s="6" t="s">
        <v>9030</v>
      </c>
      <c r="H976" s="6" t="s">
        <v>1048</v>
      </c>
      <c r="I976" s="6" t="s">
        <v>6501</v>
      </c>
      <c r="J976" s="6" t="s">
        <v>798</v>
      </c>
      <c r="K976" s="6" t="s">
        <v>9031</v>
      </c>
      <c r="L976" s="6" t="s">
        <v>9032</v>
      </c>
      <c r="M976" s="6" t="s">
        <v>9033</v>
      </c>
      <c r="N976" s="6" t="s">
        <v>9032</v>
      </c>
      <c r="O976" s="6" t="s">
        <v>2931</v>
      </c>
      <c r="P976" s="6" t="s">
        <v>9034</v>
      </c>
      <c r="Q976" s="8">
        <v>-0.18</v>
      </c>
      <c r="R976" s="6" t="s">
        <v>9035</v>
      </c>
      <c r="S976" s="6">
        <v>311</v>
      </c>
      <c r="T976" s="6" t="s">
        <v>9036</v>
      </c>
      <c r="U976" s="8">
        <v>-0.49</v>
      </c>
      <c r="V976" s="5" t="s">
        <v>6509</v>
      </c>
      <c r="W976" s="5" t="s">
        <v>6510</v>
      </c>
      <c r="X976" s="6"/>
      <c r="Y976" s="6"/>
      <c r="Z976" s="6"/>
      <c r="AA976" s="6"/>
      <c r="AB976" s="6"/>
      <c r="AC976" s="6"/>
      <c r="AD976" s="7"/>
    </row>
    <row r="977" spans="1:30" ht="15.6" x14ac:dyDescent="0.3">
      <c r="A977" s="4">
        <v>218</v>
      </c>
      <c r="B977" s="5" t="s">
        <v>9037</v>
      </c>
      <c r="C977" s="6" t="s">
        <v>1013</v>
      </c>
      <c r="D977" s="5" t="s">
        <v>9038</v>
      </c>
      <c r="E977" s="5" t="s">
        <v>48</v>
      </c>
      <c r="F977" s="6" t="s">
        <v>9039</v>
      </c>
      <c r="G977" s="6" t="s">
        <v>9040</v>
      </c>
      <c r="H977" s="6" t="s">
        <v>1048</v>
      </c>
      <c r="I977" s="8">
        <v>-0.69</v>
      </c>
      <c r="J977" s="6" t="s">
        <v>596</v>
      </c>
      <c r="K977" s="6" t="s">
        <v>7915</v>
      </c>
      <c r="L977" s="6" t="s">
        <v>1975</v>
      </c>
      <c r="M977" s="6" t="s">
        <v>8280</v>
      </c>
      <c r="N977" s="6" t="s">
        <v>1975</v>
      </c>
      <c r="O977" s="6" t="s">
        <v>9041</v>
      </c>
      <c r="P977" s="6" t="s">
        <v>9042</v>
      </c>
      <c r="Q977" s="6">
        <f>0.0092</f>
        <v>9.1999999999999998E-3</v>
      </c>
      <c r="R977" s="6" t="s">
        <v>9043</v>
      </c>
      <c r="S977" s="6">
        <v>100</v>
      </c>
      <c r="T977" s="6" t="s">
        <v>416</v>
      </c>
      <c r="U977" s="6">
        <f>0.68%</f>
        <v>6.8000000000000005E-3</v>
      </c>
      <c r="V977" s="5" t="s">
        <v>9044</v>
      </c>
      <c r="W977" s="5" t="s">
        <v>9045</v>
      </c>
      <c r="X977" s="6"/>
      <c r="Y977" s="6"/>
      <c r="Z977" s="6"/>
      <c r="AA977" s="6"/>
      <c r="AB977" s="6"/>
      <c r="AC977" s="6"/>
      <c r="AD977" s="7"/>
    </row>
    <row r="978" spans="1:30" ht="15.6" x14ac:dyDescent="0.3">
      <c r="A978" s="4">
        <v>219</v>
      </c>
      <c r="B978" s="5" t="s">
        <v>9046</v>
      </c>
      <c r="C978" s="6" t="s">
        <v>370</v>
      </c>
      <c r="D978" s="5" t="s">
        <v>9047</v>
      </c>
      <c r="E978" s="5" t="s">
        <v>48</v>
      </c>
      <c r="F978" s="6" t="s">
        <v>9048</v>
      </c>
      <c r="G978" s="6" t="s">
        <v>9049</v>
      </c>
      <c r="H978" s="6" t="s">
        <v>1048</v>
      </c>
      <c r="I978" s="6" t="s">
        <v>7135</v>
      </c>
      <c r="J978" s="6" t="s">
        <v>973</v>
      </c>
      <c r="K978" s="6" t="s">
        <v>3035</v>
      </c>
      <c r="L978" s="8">
        <v>-0.2</v>
      </c>
      <c r="M978" s="6" t="s">
        <v>9050</v>
      </c>
      <c r="N978" s="8">
        <v>-0.2</v>
      </c>
      <c r="O978" s="6" t="s">
        <v>9051</v>
      </c>
      <c r="P978" s="6" t="s">
        <v>9052</v>
      </c>
      <c r="Q978" s="6">
        <f>27%</f>
        <v>0.27</v>
      </c>
      <c r="R978" s="6" t="s">
        <v>9053</v>
      </c>
      <c r="S978" s="6">
        <v>175</v>
      </c>
      <c r="T978" s="6" t="s">
        <v>9054</v>
      </c>
      <c r="U978" s="8">
        <v>-0.17</v>
      </c>
      <c r="V978" s="5" t="s">
        <v>9055</v>
      </c>
      <c r="W978" s="5" t="s">
        <v>9056</v>
      </c>
      <c r="X978" s="6"/>
      <c r="Y978" s="6"/>
      <c r="Z978" s="6"/>
      <c r="AA978" s="6"/>
      <c r="AB978" s="6"/>
      <c r="AC978" s="6"/>
      <c r="AD978" s="7"/>
    </row>
    <row r="979" spans="1:30" ht="15.6" x14ac:dyDescent="0.3">
      <c r="A979" s="4">
        <v>220</v>
      </c>
      <c r="B979" s="5" t="s">
        <v>9057</v>
      </c>
      <c r="C979" s="6" t="s">
        <v>114</v>
      </c>
      <c r="D979" s="5" t="s">
        <v>9058</v>
      </c>
      <c r="E979" s="5" t="s">
        <v>33</v>
      </c>
      <c r="F979" s="6" t="s">
        <v>2042</v>
      </c>
      <c r="G979" s="6" t="s">
        <v>9059</v>
      </c>
      <c r="H979" s="6" t="s">
        <v>1048</v>
      </c>
      <c r="I979" s="8">
        <v>-0.55000000000000004</v>
      </c>
      <c r="J979" s="6" t="s">
        <v>442</v>
      </c>
      <c r="K979" s="6" t="s">
        <v>6711</v>
      </c>
      <c r="L979" s="8">
        <v>-0.47</v>
      </c>
      <c r="M979" s="6" t="s">
        <v>9060</v>
      </c>
      <c r="N979" s="8">
        <v>-0.47</v>
      </c>
      <c r="O979" s="6" t="s">
        <v>9061</v>
      </c>
      <c r="P979" s="6" t="s">
        <v>1953</v>
      </c>
      <c r="Q979" s="6">
        <f>0.014</f>
        <v>1.4E-2</v>
      </c>
      <c r="R979" s="6">
        <v>870</v>
      </c>
      <c r="S979" s="6">
        <v>11</v>
      </c>
      <c r="T979" s="6" t="s">
        <v>9062</v>
      </c>
      <c r="U979" s="8">
        <v>-0.11</v>
      </c>
      <c r="V979" s="6"/>
      <c r="W979" s="6"/>
      <c r="X979" s="6"/>
      <c r="Y979" s="6"/>
      <c r="Z979" s="6"/>
      <c r="AA979" s="6"/>
      <c r="AB979" s="6"/>
      <c r="AC979" s="6"/>
      <c r="AD979" s="7"/>
    </row>
    <row r="980" spans="1:30" ht="15.6" x14ac:dyDescent="0.3">
      <c r="A980" s="4">
        <v>221</v>
      </c>
      <c r="B980" s="5" t="s">
        <v>9063</v>
      </c>
      <c r="C980" s="6" t="s">
        <v>173</v>
      </c>
      <c r="D980" s="5" t="s">
        <v>9064</v>
      </c>
      <c r="E980" s="5" t="s">
        <v>48</v>
      </c>
      <c r="F980" s="6" t="s">
        <v>9065</v>
      </c>
      <c r="G980" s="6" t="s">
        <v>9066</v>
      </c>
      <c r="H980" s="6" t="s">
        <v>1048</v>
      </c>
      <c r="I980" s="8">
        <v>-0.49</v>
      </c>
      <c r="J980" s="6" t="s">
        <v>1443</v>
      </c>
      <c r="K980" s="6" t="s">
        <v>1309</v>
      </c>
      <c r="L980" s="8">
        <v>-0.42</v>
      </c>
      <c r="M980" s="6" t="s">
        <v>9067</v>
      </c>
      <c r="N980" s="8">
        <v>-0.42</v>
      </c>
      <c r="O980" s="6" t="s">
        <v>4844</v>
      </c>
      <c r="P980" s="6" t="s">
        <v>1369</v>
      </c>
      <c r="Q980" s="6">
        <f>0.0013</f>
        <v>1.2999999999999999E-3</v>
      </c>
      <c r="R980" s="6" t="s">
        <v>9068</v>
      </c>
      <c r="S980" s="6">
        <v>18</v>
      </c>
      <c r="T980" s="6" t="s">
        <v>9069</v>
      </c>
      <c r="U980" s="8">
        <v>-0.3</v>
      </c>
      <c r="V980" s="5" t="s">
        <v>9070</v>
      </c>
      <c r="W980" s="5" t="s">
        <v>9071</v>
      </c>
      <c r="X980" s="6"/>
      <c r="Y980" s="6"/>
      <c r="Z980" s="6"/>
      <c r="AA980" s="6"/>
      <c r="AB980" s="6"/>
      <c r="AC980" s="6"/>
      <c r="AD980" s="7"/>
    </row>
    <row r="981" spans="1:30" ht="15.6" x14ac:dyDescent="0.3">
      <c r="A981" s="4">
        <v>222</v>
      </c>
      <c r="B981" s="5" t="s">
        <v>9072</v>
      </c>
      <c r="C981" s="6" t="s">
        <v>85</v>
      </c>
      <c r="D981" s="5" t="s">
        <v>9073</v>
      </c>
      <c r="E981" s="5" t="s">
        <v>33</v>
      </c>
      <c r="F981" s="6" t="s">
        <v>9074</v>
      </c>
      <c r="G981" s="6" t="s">
        <v>9075</v>
      </c>
      <c r="H981" s="6" t="s">
        <v>1048</v>
      </c>
      <c r="I981" s="8">
        <v>-0.22</v>
      </c>
      <c r="J981" s="6" t="s">
        <v>250</v>
      </c>
      <c r="K981" s="6" t="s">
        <v>9076</v>
      </c>
      <c r="L981" s="6">
        <f>8.1%</f>
        <v>8.1000000000000003E-2</v>
      </c>
      <c r="M981" s="6" t="s">
        <v>9077</v>
      </c>
      <c r="N981" s="6">
        <f>8.1%</f>
        <v>8.1000000000000003E-2</v>
      </c>
      <c r="O981" s="6" t="s">
        <v>9078</v>
      </c>
      <c r="P981" s="6" t="s">
        <v>9079</v>
      </c>
      <c r="Q981" s="6">
        <f>0.014</f>
        <v>1.4E-2</v>
      </c>
      <c r="R981" s="6">
        <v>738</v>
      </c>
      <c r="S981" s="6">
        <v>6</v>
      </c>
      <c r="T981" s="6" t="s">
        <v>977</v>
      </c>
      <c r="U981" s="6">
        <f>5.3%</f>
        <v>5.2999999999999999E-2</v>
      </c>
      <c r="V981" s="5" t="s">
        <v>9080</v>
      </c>
      <c r="W981" s="5" t="s">
        <v>9081</v>
      </c>
      <c r="X981" s="6"/>
      <c r="Y981" s="6"/>
      <c r="Z981" s="6"/>
      <c r="AA981" s="6"/>
      <c r="AB981" s="6"/>
      <c r="AC981" s="6"/>
      <c r="AD981" s="7"/>
    </row>
    <row r="982" spans="1:30" ht="15.6" x14ac:dyDescent="0.3">
      <c r="A982" s="4">
        <v>223</v>
      </c>
      <c r="B982" s="5" t="s">
        <v>9082</v>
      </c>
      <c r="C982" s="6" t="s">
        <v>126</v>
      </c>
      <c r="D982" s="5" t="s">
        <v>9083</v>
      </c>
      <c r="E982" s="5" t="s">
        <v>48</v>
      </c>
      <c r="F982" s="6" t="s">
        <v>9084</v>
      </c>
      <c r="G982" s="6" t="s">
        <v>9085</v>
      </c>
      <c r="H982" s="6" t="s">
        <v>1048</v>
      </c>
      <c r="I982" s="6" t="s">
        <v>9086</v>
      </c>
      <c r="J982" s="6" t="s">
        <v>225</v>
      </c>
      <c r="K982" s="6" t="s">
        <v>6980</v>
      </c>
      <c r="L982" s="6" t="s">
        <v>217</v>
      </c>
      <c r="M982" s="6" t="s">
        <v>9087</v>
      </c>
      <c r="N982" s="6">
        <f>0.0087%</f>
        <v>8.7000000000000001E-5</v>
      </c>
      <c r="O982" s="6" t="s">
        <v>9088</v>
      </c>
      <c r="P982" s="6" t="s">
        <v>9089</v>
      </c>
      <c r="Q982" s="8">
        <v>-0.38</v>
      </c>
      <c r="R982" s="6" t="s">
        <v>9090</v>
      </c>
      <c r="S982" s="6">
        <v>117</v>
      </c>
      <c r="T982" s="6" t="s">
        <v>9091</v>
      </c>
      <c r="U982" s="8">
        <v>-0.72</v>
      </c>
      <c r="V982" s="6"/>
      <c r="W982" s="6"/>
      <c r="X982" s="6"/>
      <c r="Y982" s="6"/>
      <c r="Z982" s="6"/>
      <c r="AA982" s="6"/>
      <c r="AB982" s="6"/>
      <c r="AC982" s="6"/>
      <c r="AD982" s="7"/>
    </row>
    <row r="983" spans="1:30" ht="15.6" x14ac:dyDescent="0.3">
      <c r="A983" s="4">
        <v>224</v>
      </c>
      <c r="B983" s="5" t="s">
        <v>9092</v>
      </c>
      <c r="C983" s="6" t="s">
        <v>126</v>
      </c>
      <c r="D983" s="5" t="s">
        <v>9093</v>
      </c>
      <c r="E983" s="5" t="s">
        <v>48</v>
      </c>
      <c r="F983" s="6" t="s">
        <v>9094</v>
      </c>
      <c r="G983" s="6" t="s">
        <v>9095</v>
      </c>
      <c r="H983" s="6" t="s">
        <v>1048</v>
      </c>
      <c r="I983" s="6" t="s">
        <v>1818</v>
      </c>
      <c r="J983" s="6" t="s">
        <v>411</v>
      </c>
      <c r="K983" s="6" t="s">
        <v>9096</v>
      </c>
      <c r="L983" s="6">
        <f>36%</f>
        <v>0.36</v>
      </c>
      <c r="M983" s="6" t="s">
        <v>9097</v>
      </c>
      <c r="N983" s="6">
        <f>36%</f>
        <v>0.36</v>
      </c>
      <c r="O983" s="6" t="s">
        <v>9098</v>
      </c>
      <c r="P983" s="6" t="s">
        <v>9099</v>
      </c>
      <c r="Q983" s="6">
        <f>0.0047</f>
        <v>4.7000000000000002E-3</v>
      </c>
      <c r="R983" s="6" t="s">
        <v>9100</v>
      </c>
      <c r="S983" s="6">
        <v>237</v>
      </c>
      <c r="T983" s="6" t="s">
        <v>9101</v>
      </c>
      <c r="U983" s="6">
        <f>9.7%</f>
        <v>9.6999999999999989E-2</v>
      </c>
      <c r="V983" s="5" t="s">
        <v>6509</v>
      </c>
      <c r="W983" s="5" t="s">
        <v>6510</v>
      </c>
      <c r="X983" s="6"/>
      <c r="Y983" s="6"/>
      <c r="Z983" s="6"/>
      <c r="AA983" s="6"/>
      <c r="AB983" s="6"/>
      <c r="AC983" s="6"/>
      <c r="AD983" s="7"/>
    </row>
    <row r="984" spans="1:30" ht="15.6" x14ac:dyDescent="0.3">
      <c r="A984" s="4">
        <v>225</v>
      </c>
      <c r="B984" s="5" t="s">
        <v>9102</v>
      </c>
      <c r="C984" s="6" t="s">
        <v>85</v>
      </c>
      <c r="D984" s="5" t="s">
        <v>9103</v>
      </c>
      <c r="E984" s="5" t="s">
        <v>48</v>
      </c>
      <c r="F984" s="6" t="s">
        <v>9104</v>
      </c>
      <c r="G984" s="6" t="s">
        <v>9105</v>
      </c>
      <c r="H984" s="6" t="s">
        <v>1048</v>
      </c>
      <c r="I984" s="8">
        <v>-0.85</v>
      </c>
      <c r="J984" s="6" t="s">
        <v>1443</v>
      </c>
      <c r="K984" s="6" t="s">
        <v>2729</v>
      </c>
      <c r="L984" s="6" t="s">
        <v>217</v>
      </c>
      <c r="M984" s="6" t="s">
        <v>9106</v>
      </c>
      <c r="N984" s="6">
        <f>0.17%</f>
        <v>1.7000000000000001E-3</v>
      </c>
      <c r="O984" s="6" t="s">
        <v>9107</v>
      </c>
      <c r="P984" s="6" t="s">
        <v>9108</v>
      </c>
      <c r="Q984" s="6">
        <f>0.013</f>
        <v>1.2999999999999999E-2</v>
      </c>
      <c r="R984" s="6" t="s">
        <v>9109</v>
      </c>
      <c r="S984" s="6">
        <v>76</v>
      </c>
      <c r="T984" s="6" t="s">
        <v>977</v>
      </c>
      <c r="U984" s="6"/>
      <c r="V984" s="5" t="s">
        <v>9110</v>
      </c>
      <c r="W984" s="5" t="s">
        <v>9111</v>
      </c>
      <c r="X984" s="6"/>
      <c r="Y984" s="6"/>
      <c r="Z984" s="6"/>
      <c r="AA984" s="6"/>
      <c r="AB984" s="6"/>
      <c r="AC984" s="6"/>
      <c r="AD984" s="7"/>
    </row>
    <row r="985" spans="1:30" ht="15.6" x14ac:dyDescent="0.3">
      <c r="A985" s="4">
        <v>227</v>
      </c>
      <c r="B985" s="5" t="s">
        <v>9112</v>
      </c>
      <c r="C985" s="6" t="s">
        <v>219</v>
      </c>
      <c r="D985" s="5" t="s">
        <v>9113</v>
      </c>
      <c r="E985" s="5" t="s">
        <v>48</v>
      </c>
      <c r="F985" s="6" t="s">
        <v>9114</v>
      </c>
      <c r="G985" s="6" t="s">
        <v>9115</v>
      </c>
      <c r="H985" s="6" t="s">
        <v>1048</v>
      </c>
      <c r="I985" s="6" t="s">
        <v>9116</v>
      </c>
      <c r="J985" s="6" t="s">
        <v>1059</v>
      </c>
      <c r="K985" s="6" t="s">
        <v>9117</v>
      </c>
      <c r="L985" s="6">
        <f>3.8%</f>
        <v>3.7999999999999999E-2</v>
      </c>
      <c r="M985" s="6" t="s">
        <v>9118</v>
      </c>
      <c r="N985" s="6">
        <f>3.8%</f>
        <v>3.7999999999999999E-2</v>
      </c>
      <c r="O985" s="6" t="s">
        <v>9119</v>
      </c>
      <c r="P985" s="6" t="s">
        <v>1474</v>
      </c>
      <c r="Q985" s="6">
        <f>0.013</f>
        <v>1.2999999999999999E-2</v>
      </c>
      <c r="R985" s="6">
        <v>410</v>
      </c>
      <c r="S985" s="6">
        <v>5</v>
      </c>
      <c r="T985" s="6" t="s">
        <v>9120</v>
      </c>
      <c r="U985" s="6">
        <f t="shared" ref="U985:U986" si="1">120%</f>
        <v>1.2</v>
      </c>
      <c r="V985" s="5" t="s">
        <v>9121</v>
      </c>
      <c r="W985" s="5" t="s">
        <v>9122</v>
      </c>
      <c r="X985" s="6"/>
      <c r="Y985" s="6"/>
      <c r="Z985" s="6"/>
      <c r="AA985" s="6"/>
      <c r="AB985" s="6"/>
      <c r="AC985" s="6"/>
      <c r="AD985" s="7"/>
    </row>
    <row r="986" spans="1:30" ht="15.6" x14ac:dyDescent="0.3">
      <c r="A986" s="4">
        <v>228</v>
      </c>
      <c r="B986" s="5" t="s">
        <v>9123</v>
      </c>
      <c r="C986" s="6" t="s">
        <v>46</v>
      </c>
      <c r="D986" s="5" t="s">
        <v>9124</v>
      </c>
      <c r="E986" s="5" t="s">
        <v>48</v>
      </c>
      <c r="F986" s="6" t="s">
        <v>9114</v>
      </c>
      <c r="G986" s="6" t="s">
        <v>9125</v>
      </c>
      <c r="H986" s="6" t="s">
        <v>1048</v>
      </c>
      <c r="I986" s="6" t="s">
        <v>9116</v>
      </c>
      <c r="J986" s="6" t="s">
        <v>2474</v>
      </c>
      <c r="K986" s="6" t="s">
        <v>9117</v>
      </c>
      <c r="L986" s="6">
        <f>3.8%</f>
        <v>3.7999999999999999E-2</v>
      </c>
      <c r="M986" s="6" t="s">
        <v>9118</v>
      </c>
      <c r="N986" s="6">
        <f>3.8%</f>
        <v>3.7999999999999999E-2</v>
      </c>
      <c r="O986" s="6" t="s">
        <v>9119</v>
      </c>
      <c r="P986" s="6" t="s">
        <v>1474</v>
      </c>
      <c r="Q986" s="6">
        <f>0.013</f>
        <v>1.2999999999999999E-2</v>
      </c>
      <c r="R986" s="6">
        <v>410</v>
      </c>
      <c r="S986" s="6">
        <v>5</v>
      </c>
      <c r="T986" s="6" t="s">
        <v>9120</v>
      </c>
      <c r="U986" s="6">
        <f t="shared" si="1"/>
        <v>1.2</v>
      </c>
      <c r="V986" s="5" t="s">
        <v>9121</v>
      </c>
      <c r="W986" s="5" t="s">
        <v>9122</v>
      </c>
      <c r="X986" s="6"/>
      <c r="Y986" s="6"/>
      <c r="Z986" s="6"/>
      <c r="AA986" s="6"/>
      <c r="AB986" s="6"/>
      <c r="AC986" s="6"/>
      <c r="AD986" s="7"/>
    </row>
    <row r="987" spans="1:30" ht="15.6" x14ac:dyDescent="0.3">
      <c r="A987" s="4">
        <v>229</v>
      </c>
      <c r="B987" s="5" t="s">
        <v>9126</v>
      </c>
      <c r="C987" s="6" t="s">
        <v>72</v>
      </c>
      <c r="D987" s="5" t="s">
        <v>9127</v>
      </c>
      <c r="E987" s="5" t="s">
        <v>48</v>
      </c>
      <c r="F987" s="6" t="s">
        <v>9128</v>
      </c>
      <c r="G987" s="6" t="s">
        <v>9129</v>
      </c>
      <c r="H987" s="6" t="s">
        <v>1048</v>
      </c>
      <c r="I987" s="8">
        <v>-0.19</v>
      </c>
      <c r="J987" s="6" t="s">
        <v>1365</v>
      </c>
      <c r="K987" s="6" t="s">
        <v>2721</v>
      </c>
      <c r="L987" s="6">
        <f>19%</f>
        <v>0.19</v>
      </c>
      <c r="M987" s="6" t="s">
        <v>9130</v>
      </c>
      <c r="N987" s="6">
        <f>19%</f>
        <v>0.19</v>
      </c>
      <c r="O987" s="6" t="s">
        <v>9131</v>
      </c>
      <c r="P987" s="6" t="s">
        <v>9132</v>
      </c>
      <c r="Q987" s="6">
        <f>0.017</f>
        <v>1.7000000000000001E-2</v>
      </c>
      <c r="R987" s="6" t="s">
        <v>9133</v>
      </c>
      <c r="S987" s="6">
        <v>243</v>
      </c>
      <c r="T987" s="6" t="s">
        <v>9134</v>
      </c>
      <c r="U987" s="6">
        <f>0.22%</f>
        <v>2.2000000000000001E-3</v>
      </c>
      <c r="V987" s="6"/>
      <c r="W987" s="6"/>
      <c r="X987" s="6"/>
      <c r="Y987" s="6"/>
      <c r="Z987" s="6"/>
      <c r="AA987" s="6"/>
      <c r="AB987" s="6"/>
      <c r="AC987" s="6"/>
      <c r="AD987" s="7"/>
    </row>
    <row r="988" spans="1:30" ht="15.6" x14ac:dyDescent="0.3">
      <c r="A988" s="4">
        <v>230</v>
      </c>
      <c r="B988" s="5" t="s">
        <v>9135</v>
      </c>
      <c r="C988" s="6" t="s">
        <v>31</v>
      </c>
      <c r="D988" s="5" t="s">
        <v>9136</v>
      </c>
      <c r="E988" s="5" t="s">
        <v>48</v>
      </c>
      <c r="F988" s="6" t="s">
        <v>9137</v>
      </c>
      <c r="G988" s="6" t="s">
        <v>9138</v>
      </c>
      <c r="H988" s="6" t="s">
        <v>1048</v>
      </c>
      <c r="I988" s="6" t="s">
        <v>9139</v>
      </c>
      <c r="J988" s="6" t="s">
        <v>482</v>
      </c>
      <c r="K988" s="6" t="s">
        <v>9140</v>
      </c>
      <c r="L988" s="6" t="s">
        <v>217</v>
      </c>
      <c r="M988" s="6" t="s">
        <v>9141</v>
      </c>
      <c r="N988" s="6" t="s">
        <v>889</v>
      </c>
      <c r="O988" s="6" t="s">
        <v>9142</v>
      </c>
      <c r="P988" s="6" t="s">
        <v>9143</v>
      </c>
      <c r="Q988" s="6">
        <f>1.4%</f>
        <v>1.3999999999999999E-2</v>
      </c>
      <c r="R988" s="6" t="s">
        <v>9144</v>
      </c>
      <c r="S988" s="6">
        <v>76</v>
      </c>
      <c r="T988" s="6">
        <v>145</v>
      </c>
      <c r="U988" s="6" t="s">
        <v>9262</v>
      </c>
      <c r="V988" s="6"/>
      <c r="W988" s="6"/>
      <c r="X988" s="6"/>
      <c r="Y988" s="6"/>
      <c r="Z988" s="6"/>
      <c r="AA988" s="6"/>
      <c r="AB988" s="6"/>
      <c r="AC988" s="6"/>
      <c r="AD988" s="7"/>
    </row>
    <row r="989" spans="1:30" ht="15.6" x14ac:dyDescent="0.3">
      <c r="A989" s="4">
        <v>231</v>
      </c>
      <c r="B989" s="5" t="s">
        <v>9145</v>
      </c>
      <c r="C989" s="6" t="s">
        <v>126</v>
      </c>
      <c r="D989" s="5" t="s">
        <v>9146</v>
      </c>
      <c r="E989" s="5" t="s">
        <v>48</v>
      </c>
      <c r="F989" s="6" t="s">
        <v>9147</v>
      </c>
      <c r="G989" s="6" t="s">
        <v>9148</v>
      </c>
      <c r="H989" s="6" t="s">
        <v>1048</v>
      </c>
      <c r="I989" s="6" t="s">
        <v>1975</v>
      </c>
      <c r="J989" s="6" t="s">
        <v>1529</v>
      </c>
      <c r="K989" s="6" t="s">
        <v>9149</v>
      </c>
      <c r="L989" s="6" t="s">
        <v>217</v>
      </c>
      <c r="M989" s="6" t="s">
        <v>9150</v>
      </c>
      <c r="N989" s="6">
        <f>0.01%</f>
        <v>1E-4</v>
      </c>
      <c r="O989" s="6" t="s">
        <v>9151</v>
      </c>
      <c r="P989" s="6" t="s">
        <v>9152</v>
      </c>
      <c r="Q989" s="6">
        <f>0.012</f>
        <v>1.2E-2</v>
      </c>
      <c r="R989" s="6" t="s">
        <v>9153</v>
      </c>
      <c r="S989" s="6">
        <v>65</v>
      </c>
      <c r="T989" s="6" t="s">
        <v>1516</v>
      </c>
      <c r="U989" s="6">
        <f>27%</f>
        <v>0.27</v>
      </c>
      <c r="V989" s="6"/>
      <c r="W989" s="6"/>
      <c r="X989" s="6"/>
      <c r="Y989" s="6"/>
      <c r="Z989" s="6"/>
      <c r="AA989" s="6"/>
      <c r="AB989" s="6"/>
      <c r="AC989" s="6"/>
      <c r="AD989" s="7"/>
    </row>
    <row r="990" spans="1:30" ht="15.6" x14ac:dyDescent="0.3">
      <c r="A990" s="4">
        <v>233</v>
      </c>
      <c r="B990" s="5" t="s">
        <v>9154</v>
      </c>
      <c r="C990" s="6" t="s">
        <v>546</v>
      </c>
      <c r="D990" s="5" t="s">
        <v>9155</v>
      </c>
      <c r="E990" s="5" t="s">
        <v>33</v>
      </c>
      <c r="F990" s="6" t="s">
        <v>9156</v>
      </c>
      <c r="G990" s="6" t="s">
        <v>9157</v>
      </c>
      <c r="H990" s="6" t="s">
        <v>1048</v>
      </c>
      <c r="I990" s="8">
        <v>-0.75</v>
      </c>
      <c r="J990" s="8">
        <v>0</v>
      </c>
      <c r="K990" s="6" t="s">
        <v>618</v>
      </c>
      <c r="L990" s="6">
        <f>8%</f>
        <v>0.08</v>
      </c>
      <c r="M990" s="6" t="s">
        <v>5083</v>
      </c>
      <c r="N990" s="6">
        <f>8%</f>
        <v>0.08</v>
      </c>
      <c r="O990" s="6" t="s">
        <v>9158</v>
      </c>
      <c r="P990" s="6" t="s">
        <v>9159</v>
      </c>
      <c r="Q990" s="6">
        <f>0.0057</f>
        <v>5.7000000000000002E-3</v>
      </c>
      <c r="R990" s="6" t="s">
        <v>9160</v>
      </c>
      <c r="S990" s="6">
        <v>5</v>
      </c>
      <c r="T990" s="6" t="s">
        <v>9161</v>
      </c>
      <c r="U990" s="6">
        <f>5.2%</f>
        <v>5.2000000000000005E-2</v>
      </c>
      <c r="V990" s="6"/>
      <c r="W990" s="6"/>
      <c r="X990" s="6"/>
      <c r="Y990" s="6"/>
      <c r="Z990" s="6"/>
      <c r="AA990" s="6"/>
      <c r="AB990" s="6"/>
      <c r="AC990" s="6"/>
      <c r="AD990" s="7"/>
    </row>
    <row r="991" spans="1:30" ht="15.6" x14ac:dyDescent="0.3">
      <c r="A991" s="4">
        <v>234</v>
      </c>
      <c r="B991" s="5" t="s">
        <v>9162</v>
      </c>
      <c r="C991" s="6" t="s">
        <v>102</v>
      </c>
      <c r="D991" s="5" t="s">
        <v>9163</v>
      </c>
      <c r="E991" s="5" t="s">
        <v>48</v>
      </c>
      <c r="F991" s="6" t="s">
        <v>9164</v>
      </c>
      <c r="G991" s="6" t="s">
        <v>9165</v>
      </c>
      <c r="H991" s="6" t="s">
        <v>1048</v>
      </c>
      <c r="I991" s="6" t="s">
        <v>4747</v>
      </c>
      <c r="J991" s="6" t="s">
        <v>284</v>
      </c>
      <c r="K991" s="6" t="s">
        <v>4778</v>
      </c>
      <c r="L991" s="8">
        <v>-0.66</v>
      </c>
      <c r="M991" s="6" t="s">
        <v>9166</v>
      </c>
      <c r="N991" s="8">
        <v>-0.66</v>
      </c>
      <c r="O991" s="6" t="s">
        <v>9167</v>
      </c>
      <c r="P991" s="6" t="s">
        <v>9168</v>
      </c>
      <c r="Q991" s="8">
        <v>-0.33</v>
      </c>
      <c r="R991" s="6" t="s">
        <v>3705</v>
      </c>
      <c r="S991" s="6">
        <v>28</v>
      </c>
      <c r="T991" s="6" t="s">
        <v>5115</v>
      </c>
      <c r="U991" s="8">
        <v>-0.42</v>
      </c>
      <c r="V991" s="6"/>
      <c r="W991" s="6"/>
      <c r="X991" s="6"/>
      <c r="Y991" s="6"/>
      <c r="Z991" s="6"/>
      <c r="AA991" s="6"/>
      <c r="AB991" s="6"/>
      <c r="AC991" s="6"/>
      <c r="AD991" s="7"/>
    </row>
    <row r="992" spans="1:30" ht="15.6" x14ac:dyDescent="0.3">
      <c r="A992" s="4">
        <v>235</v>
      </c>
      <c r="B992" s="5" t="s">
        <v>9169</v>
      </c>
      <c r="C992" s="6" t="s">
        <v>85</v>
      </c>
      <c r="D992" s="5" t="s">
        <v>9170</v>
      </c>
      <c r="E992" s="5" t="s">
        <v>33</v>
      </c>
      <c r="F992" s="6" t="s">
        <v>9171</v>
      </c>
      <c r="G992" s="6" t="s">
        <v>9172</v>
      </c>
      <c r="H992" s="6" t="s">
        <v>1048</v>
      </c>
      <c r="I992" s="6" t="s">
        <v>4747</v>
      </c>
      <c r="J992" s="6" t="s">
        <v>950</v>
      </c>
      <c r="K992" s="6" t="s">
        <v>8873</v>
      </c>
      <c r="L992" s="8">
        <v>-0.14000000000000001</v>
      </c>
      <c r="M992" s="6" t="s">
        <v>6329</v>
      </c>
      <c r="N992" s="8">
        <v>-0.14000000000000001</v>
      </c>
      <c r="O992" s="6" t="s">
        <v>9173</v>
      </c>
      <c r="P992" s="6" t="s">
        <v>9174</v>
      </c>
      <c r="Q992" s="6">
        <f>8.9%</f>
        <v>8.900000000000001E-2</v>
      </c>
      <c r="R992" s="6" t="s">
        <v>9175</v>
      </c>
      <c r="S992" s="6">
        <v>64</v>
      </c>
      <c r="T992" s="6" t="s">
        <v>9176</v>
      </c>
      <c r="U992" s="8">
        <v>-0.4</v>
      </c>
      <c r="V992" s="6"/>
      <c r="W992" s="6"/>
      <c r="X992" s="6"/>
      <c r="Y992" s="6"/>
      <c r="Z992" s="6"/>
      <c r="AA992" s="6"/>
      <c r="AB992" s="6"/>
      <c r="AC992" s="6"/>
      <c r="AD992" s="7"/>
    </row>
    <row r="993" spans="1:30" ht="15.6" x14ac:dyDescent="0.3">
      <c r="A993" s="4">
        <v>236</v>
      </c>
      <c r="B993" s="5" t="s">
        <v>9177</v>
      </c>
      <c r="C993" s="6" t="s">
        <v>126</v>
      </c>
      <c r="D993" s="5" t="s">
        <v>9178</v>
      </c>
      <c r="E993" s="5" t="s">
        <v>48</v>
      </c>
      <c r="F993" s="6" t="s">
        <v>9179</v>
      </c>
      <c r="G993" s="6" t="s">
        <v>9180</v>
      </c>
      <c r="H993" s="6" t="s">
        <v>1048</v>
      </c>
      <c r="I993" s="8">
        <v>-0.73</v>
      </c>
      <c r="J993" s="6" t="s">
        <v>846</v>
      </c>
      <c r="K993" s="6" t="s">
        <v>518</v>
      </c>
      <c r="L993" s="8">
        <v>-0.51</v>
      </c>
      <c r="M993" s="6" t="s">
        <v>2565</v>
      </c>
      <c r="N993" s="8">
        <v>-0.51</v>
      </c>
      <c r="O993" s="6" t="s">
        <v>9181</v>
      </c>
      <c r="P993" s="6" t="s">
        <v>9182</v>
      </c>
      <c r="Q993" s="6">
        <f>0.0064</f>
        <v>6.4000000000000003E-3</v>
      </c>
      <c r="R993" s="6" t="s">
        <v>9183</v>
      </c>
      <c r="S993" s="6">
        <v>81</v>
      </c>
      <c r="T993" s="6" t="s">
        <v>7824</v>
      </c>
      <c r="U993" s="8">
        <v>-0.26</v>
      </c>
      <c r="V993" s="5" t="s">
        <v>9184</v>
      </c>
      <c r="W993" s="5" t="s">
        <v>9185</v>
      </c>
      <c r="X993" s="6"/>
      <c r="Y993" s="6"/>
      <c r="Z993" s="6"/>
      <c r="AA993" s="6"/>
      <c r="AB993" s="6"/>
      <c r="AC993" s="6"/>
      <c r="AD993" s="7"/>
    </row>
    <row r="994" spans="1:30" ht="15.6" x14ac:dyDescent="0.3">
      <c r="A994" s="4">
        <v>237</v>
      </c>
      <c r="B994" s="5" t="s">
        <v>9186</v>
      </c>
      <c r="C994" s="6" t="s">
        <v>291</v>
      </c>
      <c r="D994" s="5" t="s">
        <v>9187</v>
      </c>
      <c r="E994" s="5" t="s">
        <v>48</v>
      </c>
      <c r="F994" s="6" t="s">
        <v>9188</v>
      </c>
      <c r="G994" s="6" t="s">
        <v>9189</v>
      </c>
      <c r="H994" s="6" t="s">
        <v>36</v>
      </c>
      <c r="I994" s="6" t="s">
        <v>8896</v>
      </c>
      <c r="J994" s="6" t="s">
        <v>1443</v>
      </c>
      <c r="K994" s="6" t="s">
        <v>618</v>
      </c>
      <c r="L994" s="6">
        <f>4%</f>
        <v>0.04</v>
      </c>
      <c r="M994" s="6" t="s">
        <v>9190</v>
      </c>
      <c r="N994" s="6">
        <f>4%</f>
        <v>0.04</v>
      </c>
      <c r="O994" s="6" t="s">
        <v>9191</v>
      </c>
      <c r="P994" s="6" t="s">
        <v>9192</v>
      </c>
      <c r="Q994" s="6">
        <f>1.1%</f>
        <v>1.1000000000000001E-2</v>
      </c>
      <c r="R994" s="6" t="s">
        <v>9193</v>
      </c>
      <c r="S994" s="6">
        <v>128</v>
      </c>
      <c r="T994" s="6" t="s">
        <v>9194</v>
      </c>
      <c r="U994" s="6">
        <f>40%</f>
        <v>0.4</v>
      </c>
      <c r="V994" s="5" t="s">
        <v>9195</v>
      </c>
      <c r="W994" s="5" t="s">
        <v>6527</v>
      </c>
      <c r="X994" s="6"/>
      <c r="Y994" s="6"/>
      <c r="Z994" s="6"/>
      <c r="AA994" s="6"/>
      <c r="AB994" s="6"/>
      <c r="AC994" s="6"/>
      <c r="AD994" s="7"/>
    </row>
    <row r="995" spans="1:30" ht="15.6" x14ac:dyDescent="0.3">
      <c r="A995" s="4">
        <v>238</v>
      </c>
      <c r="B995" s="5" t="s">
        <v>9196</v>
      </c>
      <c r="C995" s="6" t="s">
        <v>46</v>
      </c>
      <c r="D995" s="5" t="s">
        <v>9197</v>
      </c>
      <c r="E995" s="5" t="s">
        <v>33</v>
      </c>
      <c r="F995" s="6" t="s">
        <v>9198</v>
      </c>
      <c r="G995" s="6" t="s">
        <v>9199</v>
      </c>
      <c r="H995" s="6" t="s">
        <v>36</v>
      </c>
      <c r="I995" s="8">
        <v>-0.94</v>
      </c>
      <c r="J995" s="6" t="s">
        <v>2517</v>
      </c>
      <c r="K995" s="6" t="s">
        <v>9200</v>
      </c>
      <c r="L995" s="8">
        <v>-0.28999999999999998</v>
      </c>
      <c r="M995" s="6" t="s">
        <v>9201</v>
      </c>
      <c r="N995" s="8">
        <v>-0.28999999999999998</v>
      </c>
      <c r="O995" s="6" t="s">
        <v>9202</v>
      </c>
      <c r="P995" s="6" t="s">
        <v>9203</v>
      </c>
      <c r="Q995" s="6">
        <f>0.013</f>
        <v>1.2999999999999999E-2</v>
      </c>
      <c r="R995" s="6" t="s">
        <v>9204</v>
      </c>
      <c r="S995" s="6">
        <v>38</v>
      </c>
      <c r="T995" s="6" t="s">
        <v>9205</v>
      </c>
      <c r="U995" s="6">
        <f>72%</f>
        <v>0.72</v>
      </c>
      <c r="V995" s="5" t="s">
        <v>9206</v>
      </c>
      <c r="W995" s="5" t="s">
        <v>7561</v>
      </c>
      <c r="X995" s="6"/>
      <c r="Y995" s="6"/>
      <c r="Z995" s="6"/>
      <c r="AA995" s="6"/>
      <c r="AB995" s="6"/>
      <c r="AC995" s="6"/>
      <c r="AD995" s="7"/>
    </row>
    <row r="996" spans="1:30" ht="15.6" x14ac:dyDescent="0.3">
      <c r="A996" s="4">
        <v>239</v>
      </c>
      <c r="B996" s="5" t="s">
        <v>9207</v>
      </c>
      <c r="C996" s="6" t="s">
        <v>173</v>
      </c>
      <c r="D996" s="5" t="s">
        <v>9208</v>
      </c>
      <c r="E996" s="5" t="s">
        <v>33</v>
      </c>
      <c r="F996" s="6" t="s">
        <v>9209</v>
      </c>
      <c r="G996" s="6" t="s">
        <v>9210</v>
      </c>
      <c r="H996" s="6" t="s">
        <v>36</v>
      </c>
      <c r="I996" s="6" t="s">
        <v>9211</v>
      </c>
      <c r="J996" s="6" t="s">
        <v>1851</v>
      </c>
      <c r="K996" s="6" t="s">
        <v>2662</v>
      </c>
      <c r="L996" s="6" t="s">
        <v>9212</v>
      </c>
      <c r="M996" s="6" t="s">
        <v>9213</v>
      </c>
      <c r="N996" s="6" t="s">
        <v>9212</v>
      </c>
      <c r="O996" s="6" t="s">
        <v>9214</v>
      </c>
      <c r="P996" s="6" t="s">
        <v>9215</v>
      </c>
      <c r="Q996" s="8">
        <v>-0.92</v>
      </c>
      <c r="R996" s="6" t="s">
        <v>9216</v>
      </c>
      <c r="S996" s="6">
        <v>33</v>
      </c>
      <c r="T996" s="6" t="s">
        <v>9217</v>
      </c>
      <c r="U996" s="8">
        <v>-0.93</v>
      </c>
      <c r="V996" s="6"/>
      <c r="W996" s="6"/>
      <c r="X996" s="6"/>
      <c r="Y996" s="6"/>
      <c r="Z996" s="6"/>
      <c r="AA996" s="6"/>
      <c r="AB996" s="6"/>
      <c r="AC996" s="6"/>
      <c r="AD996" s="7"/>
    </row>
    <row r="997" spans="1:30" ht="15.6" x14ac:dyDescent="0.3">
      <c r="A997" s="4">
        <v>240</v>
      </c>
      <c r="B997" s="5" t="s">
        <v>9218</v>
      </c>
      <c r="C997" s="6" t="s">
        <v>1408</v>
      </c>
      <c r="D997" s="5" t="s">
        <v>9219</v>
      </c>
      <c r="E997" s="5" t="s">
        <v>33</v>
      </c>
      <c r="F997" s="6" t="s">
        <v>9220</v>
      </c>
      <c r="G997" s="6" t="s">
        <v>9221</v>
      </c>
      <c r="H997" s="6" t="s">
        <v>36</v>
      </c>
      <c r="I997" s="6" t="s">
        <v>617</v>
      </c>
      <c r="J997" s="8">
        <v>0.01</v>
      </c>
      <c r="K997" s="6" t="s">
        <v>1185</v>
      </c>
      <c r="L997" s="6">
        <f>3.7%</f>
        <v>3.7000000000000005E-2</v>
      </c>
      <c r="M997" s="6" t="s">
        <v>9222</v>
      </c>
      <c r="N997" s="6">
        <f>3.7%</f>
        <v>3.7000000000000005E-2</v>
      </c>
      <c r="O997" s="6" t="s">
        <v>9223</v>
      </c>
      <c r="P997" s="6" t="s">
        <v>9224</v>
      </c>
      <c r="Q997" s="6">
        <f>24%</f>
        <v>0.24</v>
      </c>
      <c r="R997" s="6" t="s">
        <v>9225</v>
      </c>
      <c r="S997" s="6">
        <v>156</v>
      </c>
      <c r="T997" s="6" t="s">
        <v>9226</v>
      </c>
      <c r="U997" s="6"/>
      <c r="V997" s="5" t="s">
        <v>9227</v>
      </c>
      <c r="W997" s="5" t="s">
        <v>6339</v>
      </c>
      <c r="X997" s="6"/>
      <c r="Y997" s="6"/>
      <c r="Z997" s="6"/>
      <c r="AA997" s="6"/>
      <c r="AB997" s="6"/>
      <c r="AC997" s="6"/>
      <c r="AD997" s="7"/>
    </row>
    <row r="998" spans="1:30" ht="15.6" x14ac:dyDescent="0.3">
      <c r="A998" s="4">
        <v>241</v>
      </c>
      <c r="B998" s="5" t="s">
        <v>9228</v>
      </c>
      <c r="C998" s="6" t="s">
        <v>1408</v>
      </c>
      <c r="D998" s="5" t="s">
        <v>9229</v>
      </c>
      <c r="E998" s="5" t="s">
        <v>48</v>
      </c>
      <c r="F998" s="6" t="s">
        <v>9230</v>
      </c>
      <c r="G998" s="6" t="s">
        <v>9231</v>
      </c>
      <c r="H998" s="6" t="s">
        <v>36</v>
      </c>
      <c r="I998" s="8">
        <v>-0.99</v>
      </c>
      <c r="J998" s="6" t="s">
        <v>332</v>
      </c>
      <c r="K998" s="6" t="s">
        <v>8309</v>
      </c>
      <c r="L998" s="8">
        <v>-0.34</v>
      </c>
      <c r="M998" s="6" t="s">
        <v>8310</v>
      </c>
      <c r="N998" s="8">
        <v>-0.34</v>
      </c>
      <c r="O998" s="6" t="s">
        <v>9232</v>
      </c>
      <c r="P998" s="11">
        <v>45705</v>
      </c>
      <c r="Q998" s="6">
        <f>0.012</f>
        <v>1.2E-2</v>
      </c>
      <c r="R998" s="6" t="s">
        <v>9233</v>
      </c>
      <c r="S998" s="6">
        <v>18</v>
      </c>
      <c r="T998" s="6">
        <v>503</v>
      </c>
      <c r="U998" s="6" t="s">
        <v>217</v>
      </c>
      <c r="V998" s="6"/>
      <c r="W998" s="6"/>
      <c r="X998" s="6"/>
      <c r="Y998" s="6"/>
      <c r="Z998" s="6"/>
      <c r="AA998" s="6"/>
      <c r="AB998" s="6"/>
      <c r="AC998" s="6"/>
      <c r="AD998" s="7"/>
    </row>
    <row r="999" spans="1:30" ht="15.6" x14ac:dyDescent="0.3">
      <c r="A999" s="4">
        <v>242</v>
      </c>
      <c r="B999" s="5" t="s">
        <v>9234</v>
      </c>
      <c r="C999" s="6" t="s">
        <v>126</v>
      </c>
      <c r="D999" s="5" t="s">
        <v>9235</v>
      </c>
      <c r="E999" s="5" t="s">
        <v>48</v>
      </c>
      <c r="F999" s="6" t="s">
        <v>9236</v>
      </c>
      <c r="G999" s="6" t="s">
        <v>9237</v>
      </c>
      <c r="H999" s="6" t="s">
        <v>36</v>
      </c>
      <c r="I999" s="6" t="s">
        <v>7463</v>
      </c>
      <c r="J999" s="6" t="s">
        <v>2713</v>
      </c>
      <c r="K999" s="6" t="s">
        <v>8083</v>
      </c>
      <c r="L999" s="6">
        <f>85%</f>
        <v>0.85</v>
      </c>
      <c r="M999" s="6" t="s">
        <v>9238</v>
      </c>
      <c r="N999" s="6">
        <f>85%</f>
        <v>0.85</v>
      </c>
      <c r="O999" s="6" t="s">
        <v>9239</v>
      </c>
      <c r="P999" s="6" t="s">
        <v>9240</v>
      </c>
      <c r="Q999" s="6">
        <f>150%</f>
        <v>1.5</v>
      </c>
      <c r="R999" s="6" t="s">
        <v>9241</v>
      </c>
      <c r="S999" s="6">
        <v>218</v>
      </c>
      <c r="T999" s="6" t="s">
        <v>9242</v>
      </c>
      <c r="U999" s="8">
        <v>-0.64</v>
      </c>
      <c r="V999" s="6"/>
      <c r="W999" s="6"/>
      <c r="X999" s="6"/>
      <c r="Y999" s="6"/>
      <c r="Z999" s="6"/>
      <c r="AA999" s="6"/>
      <c r="AB999" s="6"/>
      <c r="AC999" s="6"/>
      <c r="AD999" s="7"/>
    </row>
    <row r="1000" spans="1:30" ht="15.6" x14ac:dyDescent="0.3">
      <c r="A1000" s="4">
        <v>244</v>
      </c>
      <c r="B1000" s="5" t="s">
        <v>9243</v>
      </c>
      <c r="C1000" s="6" t="s">
        <v>126</v>
      </c>
      <c r="D1000" s="5" t="s">
        <v>9244</v>
      </c>
      <c r="E1000" s="5" t="s">
        <v>48</v>
      </c>
      <c r="F1000" s="6" t="s">
        <v>9245</v>
      </c>
      <c r="G1000" s="6" t="s">
        <v>9246</v>
      </c>
      <c r="H1000" s="6" t="s">
        <v>36</v>
      </c>
      <c r="I1000" s="6" t="s">
        <v>9247</v>
      </c>
      <c r="J1000" s="6" t="s">
        <v>2009</v>
      </c>
      <c r="K1000" s="6" t="s">
        <v>9248</v>
      </c>
      <c r="L1000" s="6">
        <f>25%</f>
        <v>0.25</v>
      </c>
      <c r="M1000" s="6" t="s">
        <v>9249</v>
      </c>
      <c r="N1000" s="6">
        <f>25%</f>
        <v>0.25</v>
      </c>
      <c r="O1000" s="6" t="s">
        <v>9250</v>
      </c>
      <c r="P1000" s="6" t="s">
        <v>9251</v>
      </c>
      <c r="Q1000" s="8">
        <v>-0.46</v>
      </c>
      <c r="R1000" s="6" t="s">
        <v>9252</v>
      </c>
      <c r="S1000" s="6">
        <v>81</v>
      </c>
      <c r="T1000" s="6" t="s">
        <v>9253</v>
      </c>
      <c r="U1000" s="8">
        <v>-0.56999999999999995</v>
      </c>
      <c r="V1000" s="6"/>
      <c r="W1000" s="6"/>
      <c r="X1000" s="6"/>
      <c r="Y1000" s="6"/>
      <c r="Z1000" s="6"/>
      <c r="AA1000" s="6"/>
      <c r="AB1000" s="6"/>
      <c r="AC1000" s="6"/>
      <c r="AD1000" s="7"/>
    </row>
    <row r="1001" spans="1:30" ht="15.6" x14ac:dyDescent="0.3">
      <c r="A1001" s="4">
        <v>245</v>
      </c>
      <c r="B1001" s="5" t="s">
        <v>9254</v>
      </c>
      <c r="C1001" s="6" t="s">
        <v>72</v>
      </c>
      <c r="D1001" s="5" t="s">
        <v>9255</v>
      </c>
      <c r="E1001" s="5" t="s">
        <v>48</v>
      </c>
      <c r="F1001" s="6" t="s">
        <v>9256</v>
      </c>
      <c r="G1001" s="6" t="s">
        <v>9257</v>
      </c>
      <c r="H1001" s="6" t="s">
        <v>36</v>
      </c>
      <c r="I1001" s="6" t="s">
        <v>9258</v>
      </c>
      <c r="J1001" s="6" t="s">
        <v>1600</v>
      </c>
      <c r="K1001" s="6" t="s">
        <v>9259</v>
      </c>
      <c r="L1001" s="8">
        <v>-0.15</v>
      </c>
      <c r="M1001" s="6" t="s">
        <v>2656</v>
      </c>
      <c r="N1001" s="8">
        <v>-0.15</v>
      </c>
      <c r="O1001" s="6" t="s">
        <v>9260</v>
      </c>
      <c r="P1001" s="6" t="s">
        <v>9261</v>
      </c>
      <c r="Q1001" s="6">
        <f>700%</f>
        <v>7</v>
      </c>
      <c r="R1001" s="6">
        <v>674</v>
      </c>
      <c r="S1001" s="6">
        <v>19</v>
      </c>
      <c r="T1001" s="6">
        <v>988</v>
      </c>
      <c r="U1001" s="6" t="s">
        <v>217</v>
      </c>
      <c r="V1001" s="6"/>
      <c r="W1001" s="6"/>
      <c r="X1001" s="6"/>
      <c r="Y1001" s="6"/>
      <c r="Z1001" s="6"/>
      <c r="AA1001" s="6"/>
      <c r="AB1001" s="6"/>
      <c r="AC1001" s="6"/>
      <c r="AD1001" s="7"/>
    </row>
    <row r="1002" spans="1:30" ht="15.6" x14ac:dyDescent="0.3">
      <c r="A1002" s="17"/>
      <c r="B1002" s="17"/>
      <c r="C1002" s="17"/>
      <c r="D1002" s="17"/>
      <c r="E1002" s="17"/>
      <c r="F1002" s="17"/>
      <c r="G1002" s="17"/>
      <c r="H1002" s="18"/>
      <c r="I1002" s="17"/>
      <c r="J1002" s="17"/>
      <c r="K1002" s="17"/>
      <c r="L1002" s="18"/>
      <c r="M1002" s="17"/>
      <c r="N1002" s="18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 spans="1:30" ht="15.6" x14ac:dyDescent="0.3">
      <c r="A1003" s="17"/>
      <c r="B1003" s="17"/>
      <c r="C1003" s="17"/>
      <c r="D1003" s="17"/>
      <c r="E1003" s="17"/>
      <c r="F1003" s="17"/>
      <c r="G1003" s="17"/>
      <c r="H1003" s="18"/>
      <c r="I1003" s="17"/>
      <c r="J1003" s="17"/>
      <c r="K1003" s="17"/>
      <c r="L1003" s="18"/>
      <c r="M1003" s="17"/>
      <c r="N1003" s="18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 spans="1:30" ht="15.6" x14ac:dyDescent="0.3">
      <c r="A1004" s="17"/>
      <c r="B1004" s="17"/>
      <c r="C1004" s="17"/>
      <c r="D1004" s="17"/>
      <c r="E1004" s="17"/>
      <c r="F1004" s="17"/>
      <c r="G1004" s="17"/>
      <c r="H1004" s="18"/>
      <c r="I1004" s="17"/>
      <c r="J1004" s="17"/>
      <c r="K1004" s="17"/>
      <c r="L1004" s="18"/>
      <c r="M1004" s="17"/>
      <c r="N1004" s="18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 spans="1:30" ht="15.6" x14ac:dyDescent="0.3">
      <c r="A1005" s="17"/>
      <c r="B1005" s="17"/>
      <c r="C1005" s="17"/>
      <c r="D1005" s="17"/>
      <c r="E1005" s="17"/>
      <c r="F1005" s="17"/>
      <c r="G1005" s="17"/>
      <c r="H1005" s="18"/>
      <c r="I1005" s="17"/>
      <c r="J1005" s="17"/>
      <c r="K1005" s="17"/>
      <c r="L1005" s="18"/>
      <c r="M1005" s="17"/>
      <c r="N1005" s="18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 spans="1:30" ht="15.6" x14ac:dyDescent="0.3">
      <c r="A1006" s="17"/>
      <c r="B1006" s="17"/>
      <c r="C1006" s="17"/>
      <c r="D1006" s="17"/>
      <c r="E1006" s="17"/>
      <c r="F1006" s="17"/>
      <c r="G1006" s="17"/>
      <c r="H1006" s="18"/>
      <c r="I1006" s="17"/>
      <c r="J1006" s="17"/>
      <c r="K1006" s="17"/>
      <c r="L1006" s="18"/>
      <c r="M1006" s="17"/>
      <c r="N1006" s="18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 spans="1:30" ht="15.6" x14ac:dyDescent="0.3">
      <c r="A1007" s="17"/>
      <c r="B1007" s="17"/>
      <c r="C1007" s="17"/>
      <c r="D1007" s="17"/>
      <c r="E1007" s="17"/>
      <c r="F1007" s="17"/>
      <c r="G1007" s="17"/>
      <c r="H1007" s="18"/>
      <c r="I1007" s="17"/>
      <c r="J1007" s="17"/>
      <c r="K1007" s="17"/>
      <c r="L1007" s="18"/>
      <c r="M1007" s="17"/>
      <c r="N1007" s="18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 spans="1:30" ht="15.6" x14ac:dyDescent="0.3">
      <c r="A1008" s="17"/>
      <c r="B1008" s="17"/>
      <c r="C1008" s="17"/>
      <c r="D1008" s="17"/>
      <c r="E1008" s="17"/>
      <c r="F1008" s="17"/>
      <c r="G1008" s="17"/>
      <c r="H1008" s="18"/>
      <c r="I1008" s="17"/>
      <c r="J1008" s="17"/>
      <c r="K1008" s="17"/>
      <c r="L1008" s="18"/>
      <c r="M1008" s="17"/>
      <c r="N1008" s="18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 spans="1:30" ht="15.6" x14ac:dyDescent="0.3">
      <c r="A1009" s="17"/>
      <c r="B1009" s="17"/>
      <c r="C1009" s="17"/>
      <c r="D1009" s="17"/>
      <c r="E1009" s="17"/>
      <c r="F1009" s="17"/>
      <c r="G1009" s="17"/>
      <c r="H1009" s="18"/>
      <c r="I1009" s="17"/>
      <c r="J1009" s="17"/>
      <c r="K1009" s="17"/>
      <c r="L1009" s="18"/>
      <c r="M1009" s="17"/>
      <c r="N1009" s="18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spans="1:30" ht="15.6" x14ac:dyDescent="0.3">
      <c r="A1010" s="17"/>
      <c r="B1010" s="17"/>
      <c r="C1010" s="17"/>
      <c r="D1010" s="17"/>
      <c r="E1010" s="17"/>
      <c r="F1010" s="17"/>
      <c r="G1010" s="17"/>
      <c r="H1010" s="18"/>
      <c r="I1010" s="17"/>
      <c r="J1010" s="17"/>
      <c r="K1010" s="17"/>
      <c r="L1010" s="18"/>
      <c r="M1010" s="17"/>
      <c r="N1010" s="18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 spans="1:30" ht="15.6" x14ac:dyDescent="0.3">
      <c r="A1011" s="17"/>
      <c r="B1011" s="17"/>
      <c r="C1011" s="17"/>
      <c r="D1011" s="17"/>
      <c r="E1011" s="17"/>
      <c r="F1011" s="17"/>
      <c r="G1011" s="17"/>
      <c r="H1011" s="18"/>
      <c r="I1011" s="17"/>
      <c r="J1011" s="17"/>
      <c r="K1011" s="17"/>
      <c r="L1011" s="18"/>
      <c r="M1011" s="17"/>
      <c r="N1011" s="18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 spans="1:30" ht="15.6" x14ac:dyDescent="0.3">
      <c r="A1012" s="17"/>
      <c r="B1012" s="17"/>
      <c r="C1012" s="17"/>
      <c r="D1012" s="17"/>
      <c r="E1012" s="17"/>
      <c r="F1012" s="17"/>
      <c r="G1012" s="17"/>
      <c r="H1012" s="18"/>
      <c r="I1012" s="17"/>
      <c r="J1012" s="17"/>
      <c r="K1012" s="17"/>
      <c r="L1012" s="18"/>
      <c r="M1012" s="17"/>
      <c r="N1012" s="18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</row>
    <row r="1013" spans="1:30" ht="15.6" x14ac:dyDescent="0.3">
      <c r="A1013" s="17"/>
      <c r="B1013" s="17"/>
      <c r="C1013" s="17"/>
      <c r="D1013" s="17"/>
      <c r="E1013" s="17"/>
      <c r="F1013" s="17"/>
      <c r="G1013" s="17"/>
      <c r="H1013" s="18"/>
      <c r="I1013" s="17"/>
      <c r="J1013" s="17"/>
      <c r="K1013" s="17"/>
      <c r="L1013" s="18"/>
      <c r="M1013" s="17"/>
      <c r="N1013" s="18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</row>
    <row r="1014" spans="1:30" ht="15.6" x14ac:dyDescent="0.3">
      <c r="A1014" s="17"/>
      <c r="B1014" s="17"/>
      <c r="C1014" s="17"/>
      <c r="D1014" s="17"/>
      <c r="E1014" s="17"/>
      <c r="F1014" s="17"/>
      <c r="G1014" s="17"/>
      <c r="H1014" s="18"/>
      <c r="I1014" s="17"/>
      <c r="J1014" s="17"/>
      <c r="K1014" s="17"/>
      <c r="L1014" s="18"/>
      <c r="M1014" s="17"/>
      <c r="N1014" s="18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</row>
    <row r="1015" spans="1:30" ht="15.6" x14ac:dyDescent="0.3">
      <c r="A1015" s="17"/>
      <c r="B1015" s="17"/>
      <c r="C1015" s="17"/>
      <c r="D1015" s="17"/>
      <c r="E1015" s="17"/>
      <c r="F1015" s="17"/>
      <c r="G1015" s="17"/>
      <c r="H1015" s="18"/>
      <c r="I1015" s="17"/>
      <c r="J1015" s="17"/>
      <c r="K1015" s="17"/>
      <c r="L1015" s="18"/>
      <c r="M1015" s="17"/>
      <c r="N1015" s="18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</row>
    <row r="1016" spans="1:30" ht="15.6" x14ac:dyDescent="0.3">
      <c r="A1016" s="17"/>
      <c r="B1016" s="17"/>
      <c r="C1016" s="17"/>
      <c r="D1016" s="17"/>
      <c r="E1016" s="17"/>
      <c r="F1016" s="17"/>
      <c r="G1016" s="17"/>
      <c r="H1016" s="18"/>
      <c r="I1016" s="17"/>
      <c r="J1016" s="17"/>
      <c r="K1016" s="17"/>
      <c r="L1016" s="18"/>
      <c r="M1016" s="17"/>
      <c r="N1016" s="18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</row>
    <row r="1017" spans="1:30" ht="15.6" x14ac:dyDescent="0.3">
      <c r="A1017" s="17"/>
      <c r="B1017" s="17"/>
      <c r="C1017" s="17"/>
      <c r="D1017" s="17"/>
      <c r="E1017" s="17"/>
      <c r="F1017" s="17"/>
      <c r="G1017" s="17"/>
      <c r="H1017" s="18"/>
      <c r="I1017" s="17"/>
      <c r="J1017" s="17"/>
      <c r="K1017" s="17"/>
      <c r="L1017" s="18"/>
      <c r="M1017" s="17"/>
      <c r="N1017" s="18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 spans="1:30" ht="15.6" x14ac:dyDescent="0.3">
      <c r="A1018" s="17"/>
      <c r="B1018" s="17"/>
      <c r="C1018" s="17"/>
      <c r="D1018" s="17"/>
      <c r="E1018" s="17"/>
      <c r="F1018" s="17"/>
      <c r="G1018" s="17"/>
      <c r="H1018" s="18"/>
      <c r="I1018" s="17"/>
      <c r="J1018" s="17"/>
      <c r="K1018" s="17"/>
      <c r="L1018" s="18"/>
      <c r="M1018" s="17"/>
      <c r="N1018" s="18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 spans="1:30" ht="15.6" x14ac:dyDescent="0.3">
      <c r="A1019" s="17"/>
      <c r="B1019" s="17"/>
      <c r="C1019" s="17"/>
      <c r="D1019" s="17"/>
      <c r="E1019" s="17"/>
      <c r="F1019" s="17"/>
      <c r="G1019" s="17"/>
      <c r="H1019" s="18"/>
      <c r="I1019" s="17"/>
      <c r="J1019" s="17"/>
      <c r="K1019" s="17"/>
      <c r="L1019" s="18"/>
      <c r="M1019" s="17"/>
      <c r="N1019" s="18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</row>
    <row r="1020" spans="1:30" ht="15.6" x14ac:dyDescent="0.3">
      <c r="A1020" s="17"/>
      <c r="B1020" s="17"/>
      <c r="C1020" s="17"/>
      <c r="D1020" s="17"/>
      <c r="E1020" s="17"/>
      <c r="F1020" s="17"/>
      <c r="G1020" s="17"/>
      <c r="H1020" s="18"/>
      <c r="I1020" s="17"/>
      <c r="J1020" s="17"/>
      <c r="K1020" s="17"/>
      <c r="L1020" s="18"/>
      <c r="M1020" s="17"/>
      <c r="N1020" s="18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</row>
    <row r="1021" spans="1:30" ht="15.6" x14ac:dyDescent="0.3">
      <c r="A1021" s="17"/>
      <c r="B1021" s="17"/>
      <c r="C1021" s="17"/>
      <c r="D1021" s="17"/>
      <c r="E1021" s="17"/>
      <c r="F1021" s="17"/>
      <c r="G1021" s="17"/>
      <c r="H1021" s="18"/>
      <c r="I1021" s="17"/>
      <c r="J1021" s="17"/>
      <c r="K1021" s="17"/>
      <c r="L1021" s="18"/>
      <c r="M1021" s="17"/>
      <c r="N1021" s="18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</row>
    <row r="1022" spans="1:30" ht="15.6" x14ac:dyDescent="0.3">
      <c r="A1022" s="17"/>
      <c r="B1022" s="17"/>
      <c r="C1022" s="17"/>
      <c r="D1022" s="17"/>
      <c r="E1022" s="17"/>
      <c r="F1022" s="17"/>
      <c r="G1022" s="17"/>
      <c r="H1022" s="18"/>
      <c r="I1022" s="17"/>
      <c r="J1022" s="17"/>
      <c r="K1022" s="17"/>
      <c r="L1022" s="18"/>
      <c r="M1022" s="17"/>
      <c r="N1022" s="18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 spans="1:30" ht="15.6" x14ac:dyDescent="0.3">
      <c r="A1023" s="17"/>
      <c r="B1023" s="17"/>
      <c r="C1023" s="17"/>
      <c r="D1023" s="17"/>
      <c r="E1023" s="17"/>
      <c r="F1023" s="17"/>
      <c r="G1023" s="17"/>
      <c r="H1023" s="18"/>
      <c r="I1023" s="17"/>
      <c r="J1023" s="17"/>
      <c r="K1023" s="17"/>
      <c r="L1023" s="18"/>
      <c r="M1023" s="17"/>
      <c r="N1023" s="18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 spans="1:30" ht="15.6" x14ac:dyDescent="0.3">
      <c r="A1024" s="17"/>
      <c r="B1024" s="17"/>
      <c r="C1024" s="17"/>
      <c r="D1024" s="17"/>
      <c r="E1024" s="17"/>
      <c r="F1024" s="17"/>
      <c r="G1024" s="17"/>
      <c r="H1024" s="18"/>
      <c r="I1024" s="17"/>
      <c r="J1024" s="17"/>
      <c r="K1024" s="17"/>
      <c r="L1024" s="18"/>
      <c r="M1024" s="17"/>
      <c r="N1024" s="18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 spans="1:30" ht="15.6" x14ac:dyDescent="0.3">
      <c r="A1025" s="17"/>
      <c r="B1025" s="17"/>
      <c r="C1025" s="17"/>
      <c r="D1025" s="17"/>
      <c r="E1025" s="17"/>
      <c r="F1025" s="17"/>
      <c r="G1025" s="17"/>
      <c r="H1025" s="18"/>
      <c r="I1025" s="17"/>
      <c r="J1025" s="17"/>
      <c r="K1025" s="17"/>
      <c r="L1025" s="18"/>
      <c r="M1025" s="17"/>
      <c r="N1025" s="18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 spans="1:30" ht="15.6" x14ac:dyDescent="0.3">
      <c r="A1026" s="17"/>
      <c r="B1026" s="17"/>
      <c r="C1026" s="17"/>
      <c r="D1026" s="17"/>
      <c r="E1026" s="17"/>
      <c r="F1026" s="17"/>
      <c r="G1026" s="17"/>
      <c r="H1026" s="18"/>
      <c r="I1026" s="17"/>
      <c r="J1026" s="17"/>
      <c r="K1026" s="17"/>
      <c r="L1026" s="18"/>
      <c r="M1026" s="17"/>
      <c r="N1026" s="18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 spans="1:30" ht="15.6" x14ac:dyDescent="0.3">
      <c r="A1027" s="17"/>
      <c r="B1027" s="17"/>
      <c r="C1027" s="17"/>
      <c r="D1027" s="17"/>
      <c r="E1027" s="17"/>
      <c r="F1027" s="17"/>
      <c r="G1027" s="17"/>
      <c r="H1027" s="18"/>
      <c r="I1027" s="17"/>
      <c r="J1027" s="17"/>
      <c r="K1027" s="17"/>
      <c r="L1027" s="18"/>
      <c r="M1027" s="17"/>
      <c r="N1027" s="18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</row>
    <row r="1028" spans="1:30" ht="15.6" x14ac:dyDescent="0.3">
      <c r="A1028" s="17"/>
      <c r="B1028" s="17"/>
      <c r="C1028" s="17"/>
      <c r="D1028" s="17"/>
      <c r="E1028" s="17"/>
      <c r="F1028" s="17"/>
      <c r="G1028" s="17"/>
      <c r="H1028" s="18"/>
      <c r="I1028" s="17"/>
      <c r="J1028" s="17"/>
      <c r="K1028" s="17"/>
      <c r="L1028" s="18"/>
      <c r="M1028" s="17"/>
      <c r="N1028" s="18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 spans="1:30" ht="15.6" x14ac:dyDescent="0.3">
      <c r="A1029" s="17"/>
      <c r="B1029" s="17"/>
      <c r="C1029" s="17"/>
      <c r="D1029" s="17"/>
      <c r="E1029" s="17"/>
      <c r="F1029" s="17"/>
      <c r="G1029" s="17"/>
      <c r="H1029" s="18"/>
      <c r="I1029" s="17"/>
      <c r="J1029" s="17"/>
      <c r="K1029" s="17"/>
      <c r="L1029" s="18"/>
      <c r="M1029" s="17"/>
      <c r="N1029" s="18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 spans="1:30" ht="15.6" x14ac:dyDescent="0.3">
      <c r="A1030" s="17"/>
      <c r="B1030" s="17"/>
      <c r="C1030" s="17"/>
      <c r="D1030" s="17"/>
      <c r="E1030" s="17"/>
      <c r="F1030" s="17"/>
      <c r="G1030" s="17"/>
      <c r="H1030" s="18"/>
      <c r="I1030" s="17"/>
      <c r="J1030" s="17"/>
      <c r="K1030" s="17"/>
      <c r="L1030" s="18"/>
      <c r="M1030" s="17"/>
      <c r="N1030" s="18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 spans="1:30" ht="15.6" x14ac:dyDescent="0.3">
      <c r="A1031" s="17"/>
      <c r="B1031" s="17"/>
      <c r="C1031" s="17"/>
      <c r="D1031" s="17"/>
      <c r="E1031" s="17"/>
      <c r="F1031" s="17"/>
      <c r="G1031" s="17"/>
      <c r="H1031" s="18"/>
      <c r="I1031" s="17"/>
      <c r="J1031" s="17"/>
      <c r="K1031" s="17"/>
      <c r="L1031" s="18"/>
      <c r="M1031" s="17"/>
      <c r="N1031" s="18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 spans="1:30" ht="15.6" x14ac:dyDescent="0.3">
      <c r="A1032" s="17"/>
      <c r="B1032" s="17"/>
      <c r="C1032" s="17"/>
      <c r="D1032" s="17"/>
      <c r="E1032" s="17"/>
      <c r="F1032" s="17"/>
      <c r="G1032" s="17"/>
      <c r="H1032" s="18"/>
      <c r="I1032" s="17"/>
      <c r="J1032" s="17"/>
      <c r="K1032" s="17"/>
      <c r="L1032" s="18"/>
      <c r="M1032" s="17"/>
      <c r="N1032" s="18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 spans="1:30" ht="15.6" x14ac:dyDescent="0.3">
      <c r="A1033" s="17"/>
      <c r="B1033" s="17"/>
      <c r="C1033" s="17"/>
      <c r="D1033" s="17"/>
      <c r="E1033" s="17"/>
      <c r="F1033" s="17"/>
      <c r="G1033" s="17"/>
      <c r="H1033" s="18"/>
      <c r="I1033" s="17"/>
      <c r="J1033" s="17"/>
      <c r="K1033" s="17"/>
      <c r="L1033" s="18"/>
      <c r="M1033" s="17"/>
      <c r="N1033" s="18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 spans="1:30" ht="15.6" x14ac:dyDescent="0.3">
      <c r="A1034" s="17"/>
      <c r="B1034" s="17"/>
      <c r="C1034" s="17"/>
      <c r="D1034" s="17"/>
      <c r="E1034" s="17"/>
      <c r="F1034" s="17"/>
      <c r="G1034" s="17"/>
      <c r="H1034" s="18"/>
      <c r="I1034" s="17"/>
      <c r="J1034" s="17"/>
      <c r="K1034" s="17"/>
      <c r="L1034" s="18"/>
      <c r="M1034" s="17"/>
      <c r="N1034" s="18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</row>
    <row r="1035" spans="1:30" ht="15.6" x14ac:dyDescent="0.3">
      <c r="A1035" s="17"/>
      <c r="B1035" s="17"/>
      <c r="C1035" s="17"/>
      <c r="D1035" s="17"/>
      <c r="E1035" s="17"/>
      <c r="F1035" s="17"/>
      <c r="G1035" s="17"/>
      <c r="H1035" s="18"/>
      <c r="I1035" s="17"/>
      <c r="J1035" s="17"/>
      <c r="K1035" s="17"/>
      <c r="L1035" s="18"/>
      <c r="M1035" s="17"/>
      <c r="N1035" s="18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 spans="1:30" ht="15.6" x14ac:dyDescent="0.3">
      <c r="A1036" s="17"/>
      <c r="B1036" s="17"/>
      <c r="C1036" s="17"/>
      <c r="D1036" s="17"/>
      <c r="E1036" s="17"/>
      <c r="F1036" s="17"/>
      <c r="G1036" s="17"/>
      <c r="H1036" s="18"/>
      <c r="I1036" s="17"/>
      <c r="J1036" s="17"/>
      <c r="K1036" s="17"/>
      <c r="L1036" s="18"/>
      <c r="M1036" s="17"/>
      <c r="N1036" s="18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 spans="1:30" ht="15.6" x14ac:dyDescent="0.3">
      <c r="A1037" s="17"/>
      <c r="B1037" s="17"/>
      <c r="C1037" s="17"/>
      <c r="D1037" s="17"/>
      <c r="E1037" s="17"/>
      <c r="F1037" s="17"/>
      <c r="G1037" s="17"/>
      <c r="H1037" s="18"/>
      <c r="I1037" s="17"/>
      <c r="J1037" s="17"/>
      <c r="K1037" s="17"/>
      <c r="L1037" s="18"/>
      <c r="M1037" s="17"/>
      <c r="N1037" s="18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 spans="1:30" ht="15.6" x14ac:dyDescent="0.3">
      <c r="A1038" s="17"/>
      <c r="B1038" s="17"/>
      <c r="C1038" s="17"/>
      <c r="D1038" s="17"/>
      <c r="E1038" s="17"/>
      <c r="F1038" s="17"/>
      <c r="G1038" s="17"/>
      <c r="H1038" s="18"/>
      <c r="I1038" s="17"/>
      <c r="J1038" s="17"/>
      <c r="K1038" s="17"/>
      <c r="L1038" s="18"/>
      <c r="M1038" s="17"/>
      <c r="N1038" s="18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 spans="1:30" ht="15.6" x14ac:dyDescent="0.3">
      <c r="A1039" s="17"/>
      <c r="B1039" s="17"/>
      <c r="C1039" s="17"/>
      <c r="D1039" s="17"/>
      <c r="E1039" s="17"/>
      <c r="F1039" s="17"/>
      <c r="G1039" s="17"/>
      <c r="H1039" s="18"/>
      <c r="I1039" s="17"/>
      <c r="J1039" s="17"/>
      <c r="K1039" s="17"/>
      <c r="L1039" s="18"/>
      <c r="M1039" s="17"/>
      <c r="N1039" s="18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 spans="1:30" ht="15.6" x14ac:dyDescent="0.3">
      <c r="A1040" s="17"/>
      <c r="B1040" s="17"/>
      <c r="C1040" s="17"/>
      <c r="D1040" s="17"/>
      <c r="E1040" s="17"/>
      <c r="F1040" s="17"/>
      <c r="G1040" s="17"/>
      <c r="H1040" s="18"/>
      <c r="I1040" s="17"/>
      <c r="J1040" s="17"/>
      <c r="K1040" s="17"/>
      <c r="L1040" s="18"/>
      <c r="M1040" s="17"/>
      <c r="N1040" s="18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</row>
    <row r="1041" spans="1:30" ht="15.6" x14ac:dyDescent="0.3">
      <c r="A1041" s="17"/>
      <c r="B1041" s="17"/>
      <c r="C1041" s="17"/>
      <c r="D1041" s="17"/>
      <c r="E1041" s="17"/>
      <c r="F1041" s="17"/>
      <c r="G1041" s="17"/>
      <c r="H1041" s="18"/>
      <c r="I1041" s="17"/>
      <c r="J1041" s="17"/>
      <c r="K1041" s="17"/>
      <c r="L1041" s="18"/>
      <c r="M1041" s="17"/>
      <c r="N1041" s="18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</row>
    <row r="1042" spans="1:30" ht="15.6" x14ac:dyDescent="0.3">
      <c r="A1042" s="17"/>
      <c r="B1042" s="17"/>
      <c r="C1042" s="17"/>
      <c r="D1042" s="17"/>
      <c r="E1042" s="17"/>
      <c r="F1042" s="17"/>
      <c r="G1042" s="17"/>
      <c r="H1042" s="18"/>
      <c r="I1042" s="17"/>
      <c r="J1042" s="17"/>
      <c r="K1042" s="17"/>
      <c r="L1042" s="18"/>
      <c r="M1042" s="17"/>
      <c r="N1042" s="18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</row>
    <row r="1043" spans="1:30" ht="15.6" x14ac:dyDescent="0.3">
      <c r="A1043" s="17"/>
      <c r="B1043" s="17"/>
      <c r="C1043" s="17"/>
      <c r="D1043" s="17"/>
      <c r="E1043" s="17"/>
      <c r="F1043" s="17"/>
      <c r="G1043" s="17"/>
      <c r="H1043" s="18"/>
      <c r="I1043" s="17"/>
      <c r="J1043" s="17"/>
      <c r="K1043" s="17"/>
      <c r="L1043" s="18"/>
      <c r="M1043" s="17"/>
      <c r="N1043" s="18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</row>
    <row r="1044" spans="1:30" ht="15.6" x14ac:dyDescent="0.3">
      <c r="A1044" s="17"/>
      <c r="B1044" s="17"/>
      <c r="C1044" s="17"/>
      <c r="D1044" s="17"/>
      <c r="E1044" s="17"/>
      <c r="F1044" s="17"/>
      <c r="G1044" s="17"/>
      <c r="H1044" s="18"/>
      <c r="I1044" s="17"/>
      <c r="J1044" s="17"/>
      <c r="K1044" s="17"/>
      <c r="L1044" s="18"/>
      <c r="M1044" s="17"/>
      <c r="N1044" s="18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</row>
    <row r="1045" spans="1:30" ht="15.6" x14ac:dyDescent="0.3">
      <c r="A1045" s="17"/>
      <c r="B1045" s="17"/>
      <c r="C1045" s="17"/>
      <c r="D1045" s="17"/>
      <c r="E1045" s="17"/>
      <c r="F1045" s="17"/>
      <c r="G1045" s="17"/>
      <c r="H1045" s="18"/>
      <c r="I1045" s="17"/>
      <c r="J1045" s="17"/>
      <c r="K1045" s="17"/>
      <c r="L1045" s="18"/>
      <c r="M1045" s="17"/>
      <c r="N1045" s="18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 spans="1:30" ht="15.6" x14ac:dyDescent="0.3">
      <c r="A1046" s="17"/>
      <c r="B1046" s="17"/>
      <c r="C1046" s="17"/>
      <c r="D1046" s="17"/>
      <c r="E1046" s="17"/>
      <c r="F1046" s="17"/>
      <c r="G1046" s="17"/>
      <c r="H1046" s="18"/>
      <c r="I1046" s="17"/>
      <c r="J1046" s="17"/>
      <c r="K1046" s="17"/>
      <c r="L1046" s="18"/>
      <c r="M1046" s="17"/>
      <c r="N1046" s="18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 spans="1:30" ht="15.6" x14ac:dyDescent="0.3">
      <c r="A1047" s="17"/>
      <c r="B1047" s="17"/>
      <c r="C1047" s="17"/>
      <c r="D1047" s="17"/>
      <c r="E1047" s="17"/>
      <c r="F1047" s="17"/>
      <c r="G1047" s="17"/>
      <c r="H1047" s="18"/>
      <c r="I1047" s="17"/>
      <c r="J1047" s="17"/>
      <c r="K1047" s="17"/>
      <c r="L1047" s="18"/>
      <c r="M1047" s="17"/>
      <c r="N1047" s="18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</row>
    <row r="1048" spans="1:30" ht="15.6" x14ac:dyDescent="0.3">
      <c r="A1048" s="17"/>
      <c r="B1048" s="17"/>
      <c r="C1048" s="17"/>
      <c r="D1048" s="17"/>
      <c r="E1048" s="17"/>
      <c r="F1048" s="17"/>
      <c r="G1048" s="17"/>
      <c r="H1048" s="18"/>
      <c r="I1048" s="17"/>
      <c r="J1048" s="17"/>
      <c r="K1048" s="17"/>
      <c r="L1048" s="18"/>
      <c r="M1048" s="17"/>
      <c r="N1048" s="18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</row>
    <row r="1049" spans="1:30" ht="15.6" x14ac:dyDescent="0.3">
      <c r="A1049" s="17"/>
      <c r="B1049" s="17"/>
      <c r="C1049" s="17"/>
      <c r="D1049" s="17"/>
      <c r="E1049" s="17"/>
      <c r="F1049" s="17"/>
      <c r="G1049" s="17"/>
      <c r="H1049" s="18"/>
      <c r="I1049" s="17"/>
      <c r="J1049" s="17"/>
      <c r="K1049" s="17"/>
      <c r="L1049" s="18"/>
      <c r="M1049" s="17"/>
      <c r="N1049" s="18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</row>
    <row r="1050" spans="1:30" ht="15.6" x14ac:dyDescent="0.3">
      <c r="A1050" s="17"/>
      <c r="B1050" s="17"/>
      <c r="C1050" s="17"/>
      <c r="D1050" s="17"/>
      <c r="E1050" s="17"/>
      <c r="F1050" s="17"/>
      <c r="G1050" s="17"/>
      <c r="H1050" s="18"/>
      <c r="I1050" s="17"/>
      <c r="J1050" s="17"/>
      <c r="K1050" s="17"/>
      <c r="L1050" s="18"/>
      <c r="M1050" s="17"/>
      <c r="N1050" s="18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</row>
    <row r="1051" spans="1:30" ht="15.6" x14ac:dyDescent="0.3">
      <c r="A1051" s="17"/>
      <c r="B1051" s="17"/>
      <c r="C1051" s="17"/>
      <c r="D1051" s="17"/>
      <c r="E1051" s="17"/>
      <c r="F1051" s="17"/>
      <c r="G1051" s="17"/>
      <c r="H1051" s="18"/>
      <c r="I1051" s="17"/>
      <c r="J1051" s="17"/>
      <c r="K1051" s="17"/>
      <c r="L1051" s="18"/>
      <c r="M1051" s="17"/>
      <c r="N1051" s="18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</row>
    <row r="1052" spans="1:30" ht="15.6" x14ac:dyDescent="0.3">
      <c r="A1052" s="17"/>
      <c r="B1052" s="17"/>
      <c r="C1052" s="17"/>
      <c r="D1052" s="17"/>
      <c r="E1052" s="17"/>
      <c r="F1052" s="17"/>
      <c r="G1052" s="17"/>
      <c r="H1052" s="18"/>
      <c r="I1052" s="17"/>
      <c r="J1052" s="17"/>
      <c r="K1052" s="17"/>
      <c r="L1052" s="18"/>
      <c r="M1052" s="17"/>
      <c r="N1052" s="18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</row>
    <row r="1053" spans="1:30" ht="15.6" x14ac:dyDescent="0.3">
      <c r="A1053" s="17"/>
      <c r="B1053" s="17"/>
      <c r="C1053" s="17"/>
      <c r="D1053" s="17"/>
      <c r="E1053" s="17"/>
      <c r="F1053" s="17"/>
      <c r="G1053" s="17"/>
      <c r="H1053" s="18"/>
      <c r="I1053" s="17"/>
      <c r="J1053" s="17"/>
      <c r="K1053" s="17"/>
      <c r="L1053" s="18"/>
      <c r="M1053" s="17"/>
      <c r="N1053" s="18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</row>
    <row r="1054" spans="1:30" ht="15.6" x14ac:dyDescent="0.3">
      <c r="A1054" s="17"/>
      <c r="B1054" s="17"/>
      <c r="C1054" s="17"/>
      <c r="D1054" s="17"/>
      <c r="E1054" s="17"/>
      <c r="F1054" s="17"/>
      <c r="G1054" s="17"/>
      <c r="H1054" s="18"/>
      <c r="I1054" s="17"/>
      <c r="J1054" s="17"/>
      <c r="K1054" s="17"/>
      <c r="L1054" s="18"/>
      <c r="M1054" s="17"/>
      <c r="N1054" s="18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</row>
    <row r="1055" spans="1:30" ht="15.6" x14ac:dyDescent="0.3">
      <c r="A1055" s="17"/>
      <c r="B1055" s="17"/>
      <c r="C1055" s="17"/>
      <c r="D1055" s="17"/>
      <c r="E1055" s="17"/>
      <c r="F1055" s="17"/>
      <c r="G1055" s="17"/>
      <c r="H1055" s="18"/>
      <c r="I1055" s="17"/>
      <c r="J1055" s="17"/>
      <c r="K1055" s="17"/>
      <c r="L1055" s="18"/>
      <c r="M1055" s="17"/>
      <c r="N1055" s="18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</row>
    <row r="1056" spans="1:30" ht="15.6" x14ac:dyDescent="0.3">
      <c r="A1056" s="17"/>
      <c r="B1056" s="17"/>
      <c r="C1056" s="17"/>
      <c r="D1056" s="17"/>
      <c r="E1056" s="17"/>
      <c r="F1056" s="17"/>
      <c r="G1056" s="17"/>
      <c r="H1056" s="18"/>
      <c r="I1056" s="17"/>
      <c r="J1056" s="17"/>
      <c r="K1056" s="17"/>
      <c r="L1056" s="18"/>
      <c r="M1056" s="17"/>
      <c r="N1056" s="18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</row>
    <row r="1057" spans="1:30" ht="15.6" x14ac:dyDescent="0.3">
      <c r="A1057" s="17"/>
      <c r="B1057" s="17"/>
      <c r="C1057" s="17"/>
      <c r="D1057" s="17"/>
      <c r="E1057" s="17"/>
      <c r="F1057" s="17"/>
      <c r="G1057" s="17"/>
      <c r="H1057" s="18"/>
      <c r="I1057" s="17"/>
      <c r="J1057" s="17"/>
      <c r="K1057" s="17"/>
      <c r="L1057" s="18"/>
      <c r="M1057" s="17"/>
      <c r="N1057" s="18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</row>
    <row r="1058" spans="1:30" ht="15.6" x14ac:dyDescent="0.3">
      <c r="A1058" s="17"/>
      <c r="B1058" s="17"/>
      <c r="C1058" s="17"/>
      <c r="D1058" s="17"/>
      <c r="E1058" s="17"/>
      <c r="F1058" s="17"/>
      <c r="G1058" s="17"/>
      <c r="H1058" s="18"/>
      <c r="I1058" s="17"/>
      <c r="J1058" s="17"/>
      <c r="K1058" s="17"/>
      <c r="L1058" s="18"/>
      <c r="M1058" s="17"/>
      <c r="N1058" s="18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</row>
    <row r="1059" spans="1:30" ht="15.6" x14ac:dyDescent="0.3">
      <c r="A1059" s="17"/>
      <c r="B1059" s="17"/>
      <c r="C1059" s="17"/>
      <c r="D1059" s="17"/>
      <c r="E1059" s="17"/>
      <c r="F1059" s="17"/>
      <c r="G1059" s="17"/>
      <c r="H1059" s="18"/>
      <c r="I1059" s="17"/>
      <c r="J1059" s="17"/>
      <c r="K1059" s="17"/>
      <c r="L1059" s="18"/>
      <c r="M1059" s="17"/>
      <c r="N1059" s="18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</row>
    <row r="1060" spans="1:30" ht="15.6" x14ac:dyDescent="0.3">
      <c r="A1060" s="17"/>
      <c r="B1060" s="17"/>
      <c r="C1060" s="17"/>
      <c r="D1060" s="17"/>
      <c r="E1060" s="17"/>
      <c r="F1060" s="17"/>
      <c r="G1060" s="17"/>
      <c r="H1060" s="18"/>
      <c r="I1060" s="17"/>
      <c r="J1060" s="17"/>
      <c r="K1060" s="17"/>
      <c r="L1060" s="18"/>
      <c r="M1060" s="17"/>
      <c r="N1060" s="18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</row>
    <row r="1061" spans="1:30" ht="15.6" x14ac:dyDescent="0.3">
      <c r="A1061" s="17"/>
      <c r="B1061" s="17"/>
      <c r="C1061" s="17"/>
      <c r="D1061" s="17"/>
      <c r="E1061" s="17"/>
      <c r="F1061" s="17"/>
      <c r="G1061" s="17"/>
      <c r="H1061" s="18"/>
      <c r="I1061" s="17"/>
      <c r="J1061" s="17"/>
      <c r="K1061" s="17"/>
      <c r="L1061" s="18"/>
      <c r="M1061" s="17"/>
      <c r="N1061" s="18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</row>
    <row r="1062" spans="1:30" ht="15.6" x14ac:dyDescent="0.3">
      <c r="A1062" s="17"/>
      <c r="B1062" s="17"/>
      <c r="C1062" s="17"/>
      <c r="D1062" s="17"/>
      <c r="E1062" s="17"/>
      <c r="F1062" s="17"/>
      <c r="G1062" s="17"/>
      <c r="H1062" s="18"/>
      <c r="I1062" s="17"/>
      <c r="J1062" s="17"/>
      <c r="K1062" s="17"/>
      <c r="L1062" s="18"/>
      <c r="M1062" s="17"/>
      <c r="N1062" s="18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</row>
    <row r="1063" spans="1:30" ht="15.6" x14ac:dyDescent="0.3">
      <c r="A1063" s="17"/>
      <c r="B1063" s="17"/>
      <c r="C1063" s="17"/>
      <c r="D1063" s="17"/>
      <c r="E1063" s="17"/>
      <c r="F1063" s="17"/>
      <c r="G1063" s="17"/>
      <c r="H1063" s="18"/>
      <c r="I1063" s="17"/>
      <c r="J1063" s="17"/>
      <c r="K1063" s="17"/>
      <c r="L1063" s="18"/>
      <c r="M1063" s="17"/>
      <c r="N1063" s="18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</row>
    <row r="1064" spans="1:30" ht="15.6" x14ac:dyDescent="0.3">
      <c r="A1064" s="17"/>
      <c r="B1064" s="17"/>
      <c r="C1064" s="17"/>
      <c r="D1064" s="17"/>
      <c r="E1064" s="17"/>
      <c r="F1064" s="17"/>
      <c r="G1064" s="17"/>
      <c r="H1064" s="18"/>
      <c r="I1064" s="17"/>
      <c r="J1064" s="17"/>
      <c r="K1064" s="17"/>
      <c r="L1064" s="18"/>
      <c r="M1064" s="17"/>
      <c r="N1064" s="18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</row>
    <row r="1065" spans="1:30" ht="15.6" x14ac:dyDescent="0.3">
      <c r="A1065" s="17"/>
      <c r="B1065" s="17"/>
      <c r="C1065" s="17"/>
      <c r="D1065" s="17"/>
      <c r="E1065" s="17"/>
      <c r="F1065" s="17"/>
      <c r="G1065" s="17"/>
      <c r="H1065" s="18"/>
      <c r="I1065" s="17"/>
      <c r="J1065" s="17"/>
      <c r="K1065" s="17"/>
      <c r="L1065" s="18"/>
      <c r="M1065" s="17"/>
      <c r="N1065" s="18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</row>
    <row r="1066" spans="1:30" ht="15.6" x14ac:dyDescent="0.3">
      <c r="A1066" s="17"/>
      <c r="B1066" s="17"/>
      <c r="C1066" s="17"/>
      <c r="D1066" s="17"/>
      <c r="E1066" s="17"/>
      <c r="F1066" s="17"/>
      <c r="G1066" s="17"/>
      <c r="H1066" s="18"/>
      <c r="I1066" s="17"/>
      <c r="J1066" s="17"/>
      <c r="K1066" s="17"/>
      <c r="L1066" s="18"/>
      <c r="M1066" s="17"/>
      <c r="N1066" s="18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</row>
    <row r="1067" spans="1:30" ht="15.6" x14ac:dyDescent="0.3">
      <c r="A1067" s="17"/>
      <c r="B1067" s="17"/>
      <c r="C1067" s="17"/>
      <c r="D1067" s="17"/>
      <c r="E1067" s="17"/>
      <c r="F1067" s="17"/>
      <c r="G1067" s="17"/>
      <c r="H1067" s="18"/>
      <c r="I1067" s="17"/>
      <c r="J1067" s="17"/>
      <c r="K1067" s="17"/>
      <c r="L1067" s="18"/>
      <c r="M1067" s="17"/>
      <c r="N1067" s="18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</row>
    <row r="1068" spans="1:30" ht="15.6" x14ac:dyDescent="0.3">
      <c r="A1068" s="17"/>
      <c r="B1068" s="17"/>
      <c r="C1068" s="17"/>
      <c r="D1068" s="17"/>
      <c r="E1068" s="17"/>
      <c r="F1068" s="17"/>
      <c r="G1068" s="17"/>
      <c r="H1068" s="18"/>
      <c r="I1068" s="17"/>
      <c r="J1068" s="17"/>
      <c r="K1068" s="17"/>
      <c r="L1068" s="18"/>
      <c r="M1068" s="17"/>
      <c r="N1068" s="18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</row>
    <row r="1069" spans="1:30" ht="15.6" x14ac:dyDescent="0.3">
      <c r="A1069" s="17"/>
      <c r="B1069" s="17"/>
      <c r="C1069" s="17"/>
      <c r="D1069" s="17"/>
      <c r="E1069" s="17"/>
      <c r="F1069" s="17"/>
      <c r="G1069" s="17"/>
      <c r="H1069" s="18"/>
      <c r="I1069" s="17"/>
      <c r="J1069" s="17"/>
      <c r="K1069" s="17"/>
      <c r="L1069" s="18"/>
      <c r="M1069" s="17"/>
      <c r="N1069" s="18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</row>
    <row r="1070" spans="1:30" ht="15.6" x14ac:dyDescent="0.3">
      <c r="A1070" s="17"/>
      <c r="B1070" s="17"/>
      <c r="C1070" s="17"/>
      <c r="D1070" s="17"/>
      <c r="E1070" s="17"/>
      <c r="F1070" s="17"/>
      <c r="G1070" s="17"/>
      <c r="H1070" s="18"/>
      <c r="I1070" s="17"/>
      <c r="J1070" s="17"/>
      <c r="K1070" s="17"/>
      <c r="L1070" s="18"/>
      <c r="M1070" s="17"/>
      <c r="N1070" s="18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</row>
    <row r="1071" spans="1:30" ht="15.6" x14ac:dyDescent="0.3">
      <c r="A1071" s="17"/>
      <c r="B1071" s="17"/>
      <c r="C1071" s="17"/>
      <c r="D1071" s="17"/>
      <c r="E1071" s="17"/>
      <c r="F1071" s="17"/>
      <c r="G1071" s="17"/>
      <c r="H1071" s="18"/>
      <c r="I1071" s="17"/>
      <c r="J1071" s="17"/>
      <c r="K1071" s="17"/>
      <c r="L1071" s="18"/>
      <c r="M1071" s="17"/>
      <c r="N1071" s="18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</row>
    <row r="1072" spans="1:30" ht="15.6" x14ac:dyDescent="0.3">
      <c r="A1072" s="17"/>
      <c r="B1072" s="17"/>
      <c r="C1072" s="17"/>
      <c r="D1072" s="17"/>
      <c r="E1072" s="17"/>
      <c r="F1072" s="17"/>
      <c r="G1072" s="17"/>
      <c r="H1072" s="18"/>
      <c r="I1072" s="17"/>
      <c r="J1072" s="17"/>
      <c r="K1072" s="17"/>
      <c r="L1072" s="18"/>
      <c r="M1072" s="17"/>
      <c r="N1072" s="18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</row>
    <row r="1073" spans="1:30" ht="15.6" x14ac:dyDescent="0.3">
      <c r="A1073" s="17"/>
      <c r="B1073" s="17"/>
      <c r="C1073" s="17"/>
      <c r="D1073" s="17"/>
      <c r="E1073" s="17"/>
      <c r="F1073" s="17"/>
      <c r="G1073" s="17"/>
      <c r="H1073" s="18"/>
      <c r="I1073" s="17"/>
      <c r="J1073" s="17"/>
      <c r="K1073" s="17"/>
      <c r="L1073" s="18"/>
      <c r="M1073" s="17"/>
      <c r="N1073" s="18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</row>
    <row r="1074" spans="1:30" ht="15.6" x14ac:dyDescent="0.3">
      <c r="A1074" s="17"/>
      <c r="B1074" s="17"/>
      <c r="C1074" s="17"/>
      <c r="D1074" s="17"/>
      <c r="E1074" s="17"/>
      <c r="F1074" s="17"/>
      <c r="G1074" s="17"/>
      <c r="H1074" s="18"/>
      <c r="I1074" s="17"/>
      <c r="J1074" s="17"/>
      <c r="K1074" s="17"/>
      <c r="L1074" s="18"/>
      <c r="M1074" s="17"/>
      <c r="N1074" s="18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</row>
    <row r="1075" spans="1:30" ht="15.6" x14ac:dyDescent="0.3">
      <c r="A1075" s="17"/>
      <c r="B1075" s="17"/>
      <c r="C1075" s="17"/>
      <c r="D1075" s="17"/>
      <c r="E1075" s="17"/>
      <c r="F1075" s="17"/>
      <c r="G1075" s="17"/>
      <c r="H1075" s="18"/>
      <c r="I1075" s="17"/>
      <c r="J1075" s="17"/>
      <c r="K1075" s="17"/>
      <c r="L1075" s="18"/>
      <c r="M1075" s="17"/>
      <c r="N1075" s="18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</row>
    <row r="1076" spans="1:30" ht="15.6" x14ac:dyDescent="0.3">
      <c r="A1076" s="17"/>
      <c r="B1076" s="17"/>
      <c r="C1076" s="17"/>
      <c r="D1076" s="17"/>
      <c r="E1076" s="17"/>
      <c r="F1076" s="17"/>
      <c r="G1076" s="17"/>
      <c r="H1076" s="18"/>
      <c r="I1076" s="17"/>
      <c r="J1076" s="17"/>
      <c r="K1076" s="17"/>
      <c r="L1076" s="18"/>
      <c r="M1076" s="17"/>
      <c r="N1076" s="18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</row>
    <row r="1077" spans="1:30" ht="15.6" x14ac:dyDescent="0.3">
      <c r="A1077" s="17"/>
      <c r="B1077" s="17"/>
      <c r="C1077" s="17"/>
      <c r="D1077" s="17"/>
      <c r="E1077" s="17"/>
      <c r="F1077" s="17"/>
      <c r="G1077" s="17"/>
      <c r="H1077" s="18"/>
      <c r="I1077" s="17"/>
      <c r="J1077" s="17"/>
      <c r="K1077" s="17"/>
      <c r="L1077" s="18"/>
      <c r="M1077" s="17"/>
      <c r="N1077" s="18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</row>
    <row r="1078" spans="1:30" ht="15.6" x14ac:dyDescent="0.3">
      <c r="A1078" s="17"/>
      <c r="B1078" s="17"/>
      <c r="C1078" s="17"/>
      <c r="D1078" s="17"/>
      <c r="E1078" s="17"/>
      <c r="F1078" s="17"/>
      <c r="G1078" s="17"/>
      <c r="H1078" s="18"/>
      <c r="I1078" s="17"/>
      <c r="J1078" s="17"/>
      <c r="K1078" s="17"/>
      <c r="L1078" s="18"/>
      <c r="M1078" s="17"/>
      <c r="N1078" s="18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 spans="1:30" ht="15.6" x14ac:dyDescent="0.3">
      <c r="A1079" s="17"/>
      <c r="B1079" s="17"/>
      <c r="C1079" s="17"/>
      <c r="D1079" s="17"/>
      <c r="E1079" s="17"/>
      <c r="F1079" s="17"/>
      <c r="G1079" s="17"/>
      <c r="H1079" s="18"/>
      <c r="I1079" s="17"/>
      <c r="J1079" s="17"/>
      <c r="K1079" s="17"/>
      <c r="L1079" s="18"/>
      <c r="M1079" s="17"/>
      <c r="N1079" s="18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</row>
    <row r="1080" spans="1:30" ht="15.6" x14ac:dyDescent="0.3">
      <c r="A1080" s="17"/>
      <c r="B1080" s="17"/>
      <c r="C1080" s="17"/>
      <c r="D1080" s="17"/>
      <c r="E1080" s="17"/>
      <c r="F1080" s="17"/>
      <c r="G1080" s="17"/>
      <c r="H1080" s="18"/>
      <c r="I1080" s="17"/>
      <c r="J1080" s="17"/>
      <c r="K1080" s="17"/>
      <c r="L1080" s="18"/>
      <c r="M1080" s="17"/>
      <c r="N1080" s="18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</row>
    <row r="1081" spans="1:30" ht="15.6" x14ac:dyDescent="0.3">
      <c r="A1081" s="17"/>
      <c r="B1081" s="17"/>
      <c r="C1081" s="17"/>
      <c r="D1081" s="17"/>
      <c r="E1081" s="17"/>
      <c r="F1081" s="17"/>
      <c r="G1081" s="17"/>
      <c r="H1081" s="18"/>
      <c r="I1081" s="17"/>
      <c r="J1081" s="17"/>
      <c r="K1081" s="17"/>
      <c r="L1081" s="18"/>
      <c r="M1081" s="17"/>
      <c r="N1081" s="18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</row>
    <row r="1082" spans="1:30" ht="15.6" x14ac:dyDescent="0.3">
      <c r="A1082" s="17"/>
      <c r="B1082" s="17"/>
      <c r="C1082" s="17"/>
      <c r="D1082" s="17"/>
      <c r="E1082" s="17"/>
      <c r="F1082" s="17"/>
      <c r="G1082" s="17"/>
      <c r="H1082" s="18"/>
      <c r="I1082" s="17"/>
      <c r="J1082" s="17"/>
      <c r="K1082" s="17"/>
      <c r="L1082" s="18"/>
      <c r="M1082" s="17"/>
      <c r="N1082" s="18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</row>
    <row r="1083" spans="1:30" ht="15.6" x14ac:dyDescent="0.3">
      <c r="A1083" s="17"/>
      <c r="B1083" s="17"/>
      <c r="C1083" s="17"/>
      <c r="D1083" s="17"/>
      <c r="E1083" s="17"/>
      <c r="F1083" s="17"/>
      <c r="G1083" s="17"/>
      <c r="H1083" s="18"/>
      <c r="I1083" s="17"/>
      <c r="J1083" s="17"/>
      <c r="K1083" s="17"/>
      <c r="L1083" s="18"/>
      <c r="M1083" s="17"/>
      <c r="N1083" s="18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</row>
    <row r="1084" spans="1:30" ht="15.6" x14ac:dyDescent="0.3">
      <c r="A1084" s="17"/>
      <c r="B1084" s="17"/>
      <c r="C1084" s="17"/>
      <c r="D1084" s="17"/>
      <c r="E1084" s="17"/>
      <c r="F1084" s="17"/>
      <c r="G1084" s="17"/>
      <c r="H1084" s="18"/>
      <c r="I1084" s="17"/>
      <c r="J1084" s="17"/>
      <c r="K1084" s="17"/>
      <c r="L1084" s="18"/>
      <c r="M1084" s="17"/>
      <c r="N1084" s="18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</row>
    <row r="1085" spans="1:30" ht="15.6" x14ac:dyDescent="0.3">
      <c r="A1085" s="17"/>
      <c r="B1085" s="17"/>
      <c r="C1085" s="17"/>
      <c r="D1085" s="17"/>
      <c r="E1085" s="17"/>
      <c r="F1085" s="17"/>
      <c r="G1085" s="17"/>
      <c r="H1085" s="18"/>
      <c r="I1085" s="17"/>
      <c r="J1085" s="17"/>
      <c r="K1085" s="17"/>
      <c r="L1085" s="18"/>
      <c r="M1085" s="17"/>
      <c r="N1085" s="18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</row>
    <row r="1086" spans="1:30" ht="15.6" x14ac:dyDescent="0.3">
      <c r="A1086" s="17"/>
      <c r="B1086" s="17"/>
      <c r="C1086" s="17"/>
      <c r="D1086" s="17"/>
      <c r="E1086" s="17"/>
      <c r="F1086" s="17"/>
      <c r="G1086" s="17"/>
      <c r="H1086" s="18"/>
      <c r="I1086" s="17"/>
      <c r="J1086" s="17"/>
      <c r="K1086" s="17"/>
      <c r="L1086" s="18"/>
      <c r="M1086" s="17"/>
      <c r="N1086" s="18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</row>
    <row r="1087" spans="1:30" ht="15.6" x14ac:dyDescent="0.3">
      <c r="A1087" s="17"/>
      <c r="B1087" s="17"/>
      <c r="C1087" s="17"/>
      <c r="D1087" s="17"/>
      <c r="E1087" s="17"/>
      <c r="F1087" s="17"/>
      <c r="G1087" s="17"/>
      <c r="H1087" s="18"/>
      <c r="I1087" s="17"/>
      <c r="J1087" s="17"/>
      <c r="K1087" s="17"/>
      <c r="L1087" s="18"/>
      <c r="M1087" s="17"/>
      <c r="N1087" s="18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</row>
    <row r="1088" spans="1:30" ht="15.6" x14ac:dyDescent="0.3">
      <c r="A1088" s="17"/>
      <c r="B1088" s="17"/>
      <c r="C1088" s="17"/>
      <c r="D1088" s="17"/>
      <c r="E1088" s="17"/>
      <c r="F1088" s="17"/>
      <c r="G1088" s="17"/>
      <c r="H1088" s="18"/>
      <c r="I1088" s="17"/>
      <c r="J1088" s="17"/>
      <c r="K1088" s="17"/>
      <c r="L1088" s="18"/>
      <c r="M1088" s="17"/>
      <c r="N1088" s="18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</row>
    <row r="1089" spans="1:30" ht="15.6" x14ac:dyDescent="0.3">
      <c r="A1089" s="17"/>
      <c r="B1089" s="17"/>
      <c r="C1089" s="17"/>
      <c r="D1089" s="17"/>
      <c r="E1089" s="17"/>
      <c r="F1089" s="17"/>
      <c r="G1089" s="17"/>
      <c r="H1089" s="18"/>
      <c r="I1089" s="17"/>
      <c r="J1089" s="17"/>
      <c r="K1089" s="17"/>
      <c r="L1089" s="18"/>
      <c r="M1089" s="17"/>
      <c r="N1089" s="18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</row>
    <row r="1090" spans="1:30" ht="15.6" x14ac:dyDescent="0.3">
      <c r="A1090" s="17"/>
      <c r="B1090" s="17"/>
      <c r="C1090" s="17"/>
      <c r="D1090" s="17"/>
      <c r="E1090" s="17"/>
      <c r="F1090" s="17"/>
      <c r="G1090" s="17"/>
      <c r="H1090" s="18"/>
      <c r="I1090" s="17"/>
      <c r="J1090" s="17"/>
      <c r="K1090" s="17"/>
      <c r="L1090" s="18"/>
      <c r="M1090" s="17"/>
      <c r="N1090" s="18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</row>
    <row r="1091" spans="1:30" ht="15.6" x14ac:dyDescent="0.3">
      <c r="A1091" s="17"/>
      <c r="B1091" s="17"/>
      <c r="C1091" s="17"/>
      <c r="D1091" s="17"/>
      <c r="E1091" s="17"/>
      <c r="F1091" s="17"/>
      <c r="G1091" s="17"/>
      <c r="H1091" s="18"/>
      <c r="I1091" s="17"/>
      <c r="J1091" s="17"/>
      <c r="K1091" s="17"/>
      <c r="L1091" s="18"/>
      <c r="M1091" s="17"/>
      <c r="N1091" s="18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</row>
    <row r="1092" spans="1:30" ht="15.6" x14ac:dyDescent="0.3">
      <c r="A1092" s="17"/>
      <c r="B1092" s="17"/>
      <c r="C1092" s="17"/>
      <c r="D1092" s="17"/>
      <c r="E1092" s="17"/>
      <c r="F1092" s="17"/>
      <c r="G1092" s="17"/>
      <c r="H1092" s="18"/>
      <c r="I1092" s="17"/>
      <c r="J1092" s="17"/>
      <c r="K1092" s="17"/>
      <c r="L1092" s="18"/>
      <c r="M1092" s="17"/>
      <c r="N1092" s="18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</row>
    <row r="1093" spans="1:30" ht="15.6" x14ac:dyDescent="0.3">
      <c r="A1093" s="17"/>
      <c r="B1093" s="17"/>
      <c r="C1093" s="17"/>
      <c r="D1093" s="17"/>
      <c r="E1093" s="17"/>
      <c r="F1093" s="17"/>
      <c r="G1093" s="17"/>
      <c r="H1093" s="18"/>
      <c r="I1093" s="17"/>
      <c r="J1093" s="17"/>
      <c r="K1093" s="17"/>
      <c r="L1093" s="18"/>
      <c r="M1093" s="17"/>
      <c r="N1093" s="18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</row>
    <row r="1094" spans="1:30" ht="15.6" x14ac:dyDescent="0.3">
      <c r="A1094" s="17"/>
      <c r="B1094" s="17"/>
      <c r="C1094" s="17"/>
      <c r="D1094" s="17"/>
      <c r="E1094" s="17"/>
      <c r="F1094" s="17"/>
      <c r="G1094" s="17"/>
      <c r="H1094" s="18"/>
      <c r="I1094" s="17"/>
      <c r="J1094" s="17"/>
      <c r="K1094" s="17"/>
      <c r="L1094" s="18"/>
      <c r="M1094" s="17"/>
      <c r="N1094" s="18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</row>
    <row r="1095" spans="1:30" ht="15.6" x14ac:dyDescent="0.3">
      <c r="A1095" s="17"/>
      <c r="B1095" s="17"/>
      <c r="C1095" s="17"/>
      <c r="D1095" s="17"/>
      <c r="E1095" s="17"/>
      <c r="F1095" s="17"/>
      <c r="G1095" s="17"/>
      <c r="H1095" s="18"/>
      <c r="I1095" s="17"/>
      <c r="J1095" s="17"/>
      <c r="K1095" s="17"/>
      <c r="L1095" s="18"/>
      <c r="M1095" s="17"/>
      <c r="N1095" s="18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</row>
    <row r="1096" spans="1:30" ht="15.6" x14ac:dyDescent="0.3">
      <c r="A1096" s="17"/>
      <c r="B1096" s="17"/>
      <c r="C1096" s="17"/>
      <c r="D1096" s="17"/>
      <c r="E1096" s="17"/>
      <c r="F1096" s="17"/>
      <c r="G1096" s="17"/>
      <c r="H1096" s="18"/>
      <c r="I1096" s="17"/>
      <c r="J1096" s="17"/>
      <c r="K1096" s="17"/>
      <c r="L1096" s="18"/>
      <c r="M1096" s="17"/>
      <c r="N1096" s="18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</row>
    <row r="1097" spans="1:30" ht="15.6" x14ac:dyDescent="0.3">
      <c r="A1097" s="17"/>
      <c r="B1097" s="17"/>
      <c r="C1097" s="17"/>
      <c r="D1097" s="17"/>
      <c r="E1097" s="17"/>
      <c r="F1097" s="17"/>
      <c r="G1097" s="17"/>
      <c r="H1097" s="18"/>
      <c r="I1097" s="17"/>
      <c r="J1097" s="17"/>
      <c r="K1097" s="17"/>
      <c r="L1097" s="18"/>
      <c r="M1097" s="17"/>
      <c r="N1097" s="18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</row>
    <row r="1098" spans="1:30" ht="15.6" x14ac:dyDescent="0.3">
      <c r="A1098" s="17"/>
      <c r="B1098" s="17"/>
      <c r="C1098" s="17"/>
      <c r="D1098" s="17"/>
      <c r="E1098" s="17"/>
      <c r="F1098" s="17"/>
      <c r="G1098" s="17"/>
      <c r="H1098" s="18"/>
      <c r="I1098" s="17"/>
      <c r="J1098" s="17"/>
      <c r="K1098" s="17"/>
      <c r="L1098" s="18"/>
      <c r="M1098" s="17"/>
      <c r="N1098" s="18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</row>
    <row r="1099" spans="1:30" ht="15.6" x14ac:dyDescent="0.3">
      <c r="A1099" s="17"/>
      <c r="B1099" s="17"/>
      <c r="C1099" s="17"/>
      <c r="D1099" s="17"/>
      <c r="E1099" s="17"/>
      <c r="F1099" s="17"/>
      <c r="G1099" s="17"/>
      <c r="H1099" s="18"/>
      <c r="I1099" s="17"/>
      <c r="J1099" s="17"/>
      <c r="K1099" s="17"/>
      <c r="L1099" s="18"/>
      <c r="M1099" s="17"/>
      <c r="N1099" s="18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</row>
    <row r="1100" spans="1:30" ht="15.6" x14ac:dyDescent="0.3">
      <c r="A1100" s="17"/>
      <c r="B1100" s="17"/>
      <c r="C1100" s="17"/>
      <c r="D1100" s="17"/>
      <c r="E1100" s="17"/>
      <c r="F1100" s="17"/>
      <c r="G1100" s="17"/>
      <c r="H1100" s="18"/>
      <c r="I1100" s="17"/>
      <c r="J1100" s="17"/>
      <c r="K1100" s="17"/>
      <c r="L1100" s="18"/>
      <c r="M1100" s="17"/>
      <c r="N1100" s="18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</row>
    <row r="1101" spans="1:30" ht="15.6" x14ac:dyDescent="0.3">
      <c r="A1101" s="17"/>
      <c r="B1101" s="17"/>
      <c r="C1101" s="17"/>
      <c r="D1101" s="17"/>
      <c r="E1101" s="17"/>
      <c r="F1101" s="17"/>
      <c r="G1101" s="17"/>
      <c r="H1101" s="18"/>
      <c r="I1101" s="17"/>
      <c r="J1101" s="17"/>
      <c r="K1101" s="17"/>
      <c r="L1101" s="18"/>
      <c r="M1101" s="17"/>
      <c r="N1101" s="18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</row>
    <row r="1102" spans="1:30" ht="15.6" x14ac:dyDescent="0.3">
      <c r="A1102" s="17"/>
      <c r="B1102" s="17"/>
      <c r="C1102" s="17"/>
      <c r="D1102" s="17"/>
      <c r="E1102" s="17"/>
      <c r="F1102" s="17"/>
      <c r="G1102" s="17"/>
      <c r="H1102" s="18"/>
      <c r="I1102" s="17"/>
      <c r="J1102" s="17"/>
      <c r="K1102" s="17"/>
      <c r="L1102" s="18"/>
      <c r="M1102" s="17"/>
      <c r="N1102" s="18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</row>
    <row r="1103" spans="1:30" ht="15.6" x14ac:dyDescent="0.3">
      <c r="A1103" s="17"/>
      <c r="B1103" s="17"/>
      <c r="C1103" s="17"/>
      <c r="D1103" s="17"/>
      <c r="E1103" s="17"/>
      <c r="F1103" s="17"/>
      <c r="G1103" s="17"/>
      <c r="H1103" s="18"/>
      <c r="I1103" s="17"/>
      <c r="J1103" s="17"/>
      <c r="K1103" s="17"/>
      <c r="L1103" s="18"/>
      <c r="M1103" s="17"/>
      <c r="N1103" s="18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</row>
    <row r="1104" spans="1:30" ht="15.6" x14ac:dyDescent="0.3">
      <c r="A1104" s="17"/>
      <c r="B1104" s="17"/>
      <c r="C1104" s="17"/>
      <c r="D1104" s="17"/>
      <c r="E1104" s="17"/>
      <c r="F1104" s="17"/>
      <c r="G1104" s="17"/>
      <c r="H1104" s="18"/>
      <c r="I1104" s="17"/>
      <c r="J1104" s="17"/>
      <c r="K1104" s="17"/>
      <c r="L1104" s="18"/>
      <c r="M1104" s="17"/>
      <c r="N1104" s="18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</row>
    <row r="1105" spans="1:30" ht="15.6" x14ac:dyDescent="0.3">
      <c r="A1105" s="17"/>
      <c r="B1105" s="17"/>
      <c r="C1105" s="17"/>
      <c r="D1105" s="17"/>
      <c r="E1105" s="17"/>
      <c r="F1105" s="17"/>
      <c r="G1105" s="17"/>
      <c r="H1105" s="18"/>
      <c r="I1105" s="17"/>
      <c r="J1105" s="17"/>
      <c r="K1105" s="17"/>
      <c r="L1105" s="18"/>
      <c r="M1105" s="17"/>
      <c r="N1105" s="18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</row>
    <row r="1106" spans="1:30" ht="15.6" x14ac:dyDescent="0.3">
      <c r="A1106" s="17"/>
      <c r="B1106" s="17"/>
      <c r="C1106" s="17"/>
      <c r="D1106" s="17"/>
      <c r="E1106" s="17"/>
      <c r="F1106" s="17"/>
      <c r="G1106" s="17"/>
      <c r="H1106" s="18"/>
      <c r="I1106" s="17"/>
      <c r="J1106" s="17"/>
      <c r="K1106" s="17"/>
      <c r="L1106" s="18"/>
      <c r="M1106" s="17"/>
      <c r="N1106" s="18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</row>
    <row r="1107" spans="1:30" ht="15.6" x14ac:dyDescent="0.3">
      <c r="A1107" s="17"/>
      <c r="B1107" s="17"/>
      <c r="C1107" s="17"/>
      <c r="D1107" s="17"/>
      <c r="E1107" s="17"/>
      <c r="F1107" s="17"/>
      <c r="G1107" s="17"/>
      <c r="H1107" s="18"/>
      <c r="I1107" s="17"/>
      <c r="J1107" s="17"/>
      <c r="K1107" s="17"/>
      <c r="L1107" s="18"/>
      <c r="M1107" s="17"/>
      <c r="N1107" s="18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</row>
    <row r="1108" spans="1:30" ht="15.6" x14ac:dyDescent="0.3">
      <c r="A1108" s="17"/>
      <c r="B1108" s="17"/>
      <c r="C1108" s="17"/>
      <c r="D1108" s="17"/>
      <c r="E1108" s="17"/>
      <c r="F1108" s="17"/>
      <c r="G1108" s="17"/>
      <c r="H1108" s="18"/>
      <c r="I1108" s="17"/>
      <c r="J1108" s="17"/>
      <c r="K1108" s="17"/>
      <c r="L1108" s="18"/>
      <c r="M1108" s="17"/>
      <c r="N1108" s="18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</row>
    <row r="1109" spans="1:30" ht="15.6" x14ac:dyDescent="0.3">
      <c r="A1109" s="17"/>
      <c r="B1109" s="17"/>
      <c r="C1109" s="17"/>
      <c r="D1109" s="17"/>
      <c r="E1109" s="17"/>
      <c r="F1109" s="17"/>
      <c r="G1109" s="17"/>
      <c r="H1109" s="18"/>
      <c r="I1109" s="17"/>
      <c r="J1109" s="17"/>
      <c r="K1109" s="17"/>
      <c r="L1109" s="18"/>
      <c r="M1109" s="17"/>
      <c r="N1109" s="18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</row>
    <row r="1110" spans="1:30" ht="15.6" x14ac:dyDescent="0.3">
      <c r="A1110" s="17"/>
      <c r="B1110" s="17"/>
      <c r="C1110" s="17"/>
      <c r="D1110" s="17"/>
      <c r="E1110" s="17"/>
      <c r="F1110" s="17"/>
      <c r="G1110" s="17"/>
      <c r="H1110" s="18"/>
      <c r="I1110" s="17"/>
      <c r="J1110" s="17"/>
      <c r="K1110" s="17"/>
      <c r="L1110" s="18"/>
      <c r="M1110" s="17"/>
      <c r="N1110" s="18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</row>
    <row r="1111" spans="1:30" ht="15.6" x14ac:dyDescent="0.3">
      <c r="A1111" s="17"/>
      <c r="B1111" s="17"/>
      <c r="C1111" s="17"/>
      <c r="D1111" s="17"/>
      <c r="E1111" s="17"/>
      <c r="F1111" s="17"/>
      <c r="G1111" s="17"/>
      <c r="H1111" s="18"/>
      <c r="I1111" s="17"/>
      <c r="J1111" s="17"/>
      <c r="K1111" s="17"/>
      <c r="L1111" s="18"/>
      <c r="M1111" s="17"/>
      <c r="N1111" s="18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</row>
    <row r="1112" spans="1:30" ht="15.6" x14ac:dyDescent="0.3">
      <c r="A1112" s="17"/>
      <c r="B1112" s="17"/>
      <c r="C1112" s="17"/>
      <c r="D1112" s="17"/>
      <c r="E1112" s="17"/>
      <c r="F1112" s="17"/>
      <c r="G1112" s="17"/>
      <c r="H1112" s="18"/>
      <c r="I1112" s="17"/>
      <c r="J1112" s="17"/>
      <c r="K1112" s="17"/>
      <c r="L1112" s="18"/>
      <c r="M1112" s="17"/>
      <c r="N1112" s="18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</row>
    <row r="1113" spans="1:30" ht="15.6" x14ac:dyDescent="0.3">
      <c r="A1113" s="17"/>
      <c r="B1113" s="17"/>
      <c r="C1113" s="17"/>
      <c r="D1113" s="17"/>
      <c r="E1113" s="17"/>
      <c r="F1113" s="17"/>
      <c r="G1113" s="17"/>
      <c r="H1113" s="18"/>
      <c r="I1113" s="17"/>
      <c r="J1113" s="17"/>
      <c r="K1113" s="17"/>
      <c r="L1113" s="18"/>
      <c r="M1113" s="17"/>
      <c r="N1113" s="18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</row>
    <row r="1114" spans="1:30" ht="15.6" x14ac:dyDescent="0.3">
      <c r="A1114" s="17"/>
      <c r="B1114" s="17"/>
      <c r="C1114" s="17"/>
      <c r="D1114" s="17"/>
      <c r="E1114" s="17"/>
      <c r="F1114" s="17"/>
      <c r="G1114" s="17"/>
      <c r="H1114" s="18"/>
      <c r="I1114" s="17"/>
      <c r="J1114" s="17"/>
      <c r="K1114" s="17"/>
      <c r="L1114" s="18"/>
      <c r="M1114" s="17"/>
      <c r="N1114" s="18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</row>
    <row r="1115" spans="1:30" ht="15.6" x14ac:dyDescent="0.3">
      <c r="A1115" s="17"/>
      <c r="B1115" s="17"/>
      <c r="C1115" s="17"/>
      <c r="D1115" s="17"/>
      <c r="E1115" s="17"/>
      <c r="F1115" s="17"/>
      <c r="G1115" s="17"/>
      <c r="H1115" s="18"/>
      <c r="I1115" s="17"/>
      <c r="J1115" s="17"/>
      <c r="K1115" s="17"/>
      <c r="L1115" s="18"/>
      <c r="M1115" s="17"/>
      <c r="N1115" s="18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</row>
    <row r="1116" spans="1:30" ht="15.6" x14ac:dyDescent="0.3">
      <c r="A1116" s="17"/>
      <c r="B1116" s="17"/>
      <c r="C1116" s="17"/>
      <c r="D1116" s="17"/>
      <c r="E1116" s="17"/>
      <c r="F1116" s="17"/>
      <c r="G1116" s="17"/>
      <c r="H1116" s="18"/>
      <c r="I1116" s="17"/>
      <c r="J1116" s="17"/>
      <c r="K1116" s="17"/>
      <c r="L1116" s="18"/>
      <c r="M1116" s="17"/>
      <c r="N1116" s="18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</row>
    <row r="1117" spans="1:30" ht="15.6" x14ac:dyDescent="0.3">
      <c r="A1117" s="17"/>
      <c r="B1117" s="17"/>
      <c r="C1117" s="17"/>
      <c r="D1117" s="17"/>
      <c r="E1117" s="17"/>
      <c r="F1117" s="17"/>
      <c r="G1117" s="17"/>
      <c r="H1117" s="18"/>
      <c r="I1117" s="17"/>
      <c r="J1117" s="17"/>
      <c r="K1117" s="17"/>
      <c r="L1117" s="18"/>
      <c r="M1117" s="17"/>
      <c r="N1117" s="18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</row>
    <row r="1118" spans="1:30" ht="15.6" x14ac:dyDescent="0.3">
      <c r="A1118" s="17"/>
      <c r="B1118" s="17"/>
      <c r="C1118" s="17"/>
      <c r="D1118" s="17"/>
      <c r="E1118" s="17"/>
      <c r="F1118" s="17"/>
      <c r="G1118" s="17"/>
      <c r="H1118" s="18"/>
      <c r="I1118" s="17"/>
      <c r="J1118" s="17"/>
      <c r="K1118" s="17"/>
      <c r="L1118" s="18"/>
      <c r="M1118" s="17"/>
      <c r="N1118" s="18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</row>
    <row r="1119" spans="1:30" ht="15.6" x14ac:dyDescent="0.3">
      <c r="A1119" s="17"/>
      <c r="B1119" s="17"/>
      <c r="C1119" s="17"/>
      <c r="D1119" s="17"/>
      <c r="E1119" s="17"/>
      <c r="F1119" s="17"/>
      <c r="G1119" s="17"/>
      <c r="H1119" s="18"/>
      <c r="I1119" s="17"/>
      <c r="J1119" s="17"/>
      <c r="K1119" s="17"/>
      <c r="L1119" s="18"/>
      <c r="M1119" s="17"/>
      <c r="N1119" s="18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</row>
    <row r="1120" spans="1:30" ht="15.6" x14ac:dyDescent="0.3">
      <c r="A1120" s="17"/>
      <c r="B1120" s="17"/>
      <c r="C1120" s="17"/>
      <c r="D1120" s="17"/>
      <c r="E1120" s="17"/>
      <c r="F1120" s="17"/>
      <c r="G1120" s="17"/>
      <c r="H1120" s="18"/>
      <c r="I1120" s="17"/>
      <c r="J1120" s="17"/>
      <c r="K1120" s="17"/>
      <c r="L1120" s="18"/>
      <c r="M1120" s="17"/>
      <c r="N1120" s="18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</row>
    <row r="1121" spans="1:30" ht="15.6" x14ac:dyDescent="0.3">
      <c r="A1121" s="17"/>
      <c r="B1121" s="17"/>
      <c r="C1121" s="17"/>
      <c r="D1121" s="17"/>
      <c r="E1121" s="17"/>
      <c r="F1121" s="17"/>
      <c r="G1121" s="17"/>
      <c r="H1121" s="18"/>
      <c r="I1121" s="17"/>
      <c r="J1121" s="17"/>
      <c r="K1121" s="17"/>
      <c r="L1121" s="18"/>
      <c r="M1121" s="17"/>
      <c r="N1121" s="18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</row>
    <row r="1122" spans="1:30" ht="15.6" x14ac:dyDescent="0.3">
      <c r="A1122" s="17"/>
      <c r="B1122" s="17"/>
      <c r="C1122" s="17"/>
      <c r="D1122" s="17"/>
      <c r="E1122" s="17"/>
      <c r="F1122" s="17"/>
      <c r="G1122" s="17"/>
      <c r="H1122" s="18"/>
      <c r="I1122" s="17"/>
      <c r="J1122" s="17"/>
      <c r="K1122" s="17"/>
      <c r="L1122" s="18"/>
      <c r="M1122" s="17"/>
      <c r="N1122" s="18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</row>
    <row r="1123" spans="1:30" ht="15.6" x14ac:dyDescent="0.3">
      <c r="A1123" s="17"/>
      <c r="B1123" s="17"/>
      <c r="C1123" s="17"/>
      <c r="D1123" s="17"/>
      <c r="E1123" s="17"/>
      <c r="F1123" s="17"/>
      <c r="G1123" s="17"/>
      <c r="H1123" s="18"/>
      <c r="I1123" s="17"/>
      <c r="J1123" s="17"/>
      <c r="K1123" s="17"/>
      <c r="L1123" s="18"/>
      <c r="M1123" s="17"/>
      <c r="N1123" s="18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</row>
    <row r="1124" spans="1:30" ht="15.6" x14ac:dyDescent="0.3">
      <c r="A1124" s="17"/>
      <c r="B1124" s="17"/>
      <c r="C1124" s="17"/>
      <c r="D1124" s="17"/>
      <c r="E1124" s="17"/>
      <c r="F1124" s="17"/>
      <c r="G1124" s="17"/>
      <c r="H1124" s="18"/>
      <c r="I1124" s="17"/>
      <c r="J1124" s="17"/>
      <c r="K1124" s="17"/>
      <c r="L1124" s="18"/>
      <c r="M1124" s="17"/>
      <c r="N1124" s="18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</row>
    <row r="1125" spans="1:30" ht="15.6" x14ac:dyDescent="0.3">
      <c r="A1125" s="17"/>
      <c r="B1125" s="17"/>
      <c r="C1125" s="17"/>
      <c r="D1125" s="17"/>
      <c r="E1125" s="17"/>
      <c r="F1125" s="17"/>
      <c r="G1125" s="17"/>
      <c r="H1125" s="18"/>
      <c r="I1125" s="17"/>
      <c r="J1125" s="17"/>
      <c r="K1125" s="17"/>
      <c r="L1125" s="18"/>
      <c r="M1125" s="17"/>
      <c r="N1125" s="18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</row>
    <row r="1126" spans="1:30" ht="15.6" x14ac:dyDescent="0.3">
      <c r="A1126" s="17"/>
      <c r="B1126" s="17"/>
      <c r="C1126" s="17"/>
      <c r="D1126" s="17"/>
      <c r="E1126" s="17"/>
      <c r="F1126" s="17"/>
      <c r="G1126" s="17"/>
      <c r="H1126" s="18"/>
      <c r="I1126" s="17"/>
      <c r="J1126" s="17"/>
      <c r="K1126" s="17"/>
      <c r="L1126" s="18"/>
      <c r="M1126" s="17"/>
      <c r="N1126" s="18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</row>
    <row r="1127" spans="1:30" ht="15.6" x14ac:dyDescent="0.3">
      <c r="A1127" s="17"/>
      <c r="B1127" s="17"/>
      <c r="C1127" s="17"/>
      <c r="D1127" s="17"/>
      <c r="E1127" s="17"/>
      <c r="F1127" s="17"/>
      <c r="G1127" s="17"/>
      <c r="H1127" s="18"/>
      <c r="I1127" s="17"/>
      <c r="J1127" s="17"/>
      <c r="K1127" s="17"/>
      <c r="L1127" s="18"/>
      <c r="M1127" s="17"/>
      <c r="N1127" s="18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</row>
    <row r="1128" spans="1:30" ht="15.6" x14ac:dyDescent="0.3">
      <c r="A1128" s="17"/>
      <c r="B1128" s="17"/>
      <c r="C1128" s="17"/>
      <c r="D1128" s="17"/>
      <c r="E1128" s="17"/>
      <c r="F1128" s="17"/>
      <c r="G1128" s="17"/>
      <c r="H1128" s="18"/>
      <c r="I1128" s="17"/>
      <c r="J1128" s="17"/>
      <c r="K1128" s="17"/>
      <c r="L1128" s="18"/>
      <c r="M1128" s="17"/>
      <c r="N1128" s="18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</row>
    <row r="1129" spans="1:30" ht="15.6" x14ac:dyDescent="0.3">
      <c r="A1129" s="17"/>
      <c r="B1129" s="17"/>
      <c r="C1129" s="17"/>
      <c r="D1129" s="17"/>
      <c r="E1129" s="17"/>
      <c r="F1129" s="17"/>
      <c r="G1129" s="17"/>
      <c r="H1129" s="18"/>
      <c r="I1129" s="17"/>
      <c r="J1129" s="17"/>
      <c r="K1129" s="17"/>
      <c r="L1129" s="18"/>
      <c r="M1129" s="17"/>
      <c r="N1129" s="18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</row>
    <row r="1130" spans="1:30" ht="15.6" x14ac:dyDescent="0.3">
      <c r="A1130" s="17"/>
      <c r="B1130" s="17"/>
      <c r="C1130" s="17"/>
      <c r="D1130" s="17"/>
      <c r="E1130" s="17"/>
      <c r="F1130" s="17"/>
      <c r="G1130" s="17"/>
      <c r="H1130" s="18"/>
      <c r="I1130" s="17"/>
      <c r="J1130" s="17"/>
      <c r="K1130" s="17"/>
      <c r="L1130" s="18"/>
      <c r="M1130" s="17"/>
      <c r="N1130" s="18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</row>
    <row r="1131" spans="1:30" ht="15.6" x14ac:dyDescent="0.3">
      <c r="A1131" s="17"/>
      <c r="B1131" s="17"/>
      <c r="C1131" s="17"/>
      <c r="D1131" s="17"/>
      <c r="E1131" s="17"/>
      <c r="F1131" s="17"/>
      <c r="G1131" s="17"/>
      <c r="H1131" s="18"/>
      <c r="I1131" s="17"/>
      <c r="J1131" s="17"/>
      <c r="K1131" s="17"/>
      <c r="L1131" s="18"/>
      <c r="M1131" s="17"/>
      <c r="N1131" s="18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</row>
    <row r="1132" spans="1:30" ht="15.6" x14ac:dyDescent="0.3">
      <c r="A1132" s="17"/>
      <c r="B1132" s="17"/>
      <c r="C1132" s="17"/>
      <c r="D1132" s="17"/>
      <c r="E1132" s="17"/>
      <c r="F1132" s="17"/>
      <c r="G1132" s="17"/>
      <c r="H1132" s="18"/>
      <c r="I1132" s="17"/>
      <c r="J1132" s="17"/>
      <c r="K1132" s="17"/>
      <c r="L1132" s="18"/>
      <c r="M1132" s="17"/>
      <c r="N1132" s="18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</row>
    <row r="1133" spans="1:30" ht="15.6" x14ac:dyDescent="0.3">
      <c r="A1133" s="17"/>
      <c r="B1133" s="17"/>
      <c r="C1133" s="17"/>
      <c r="D1133" s="17"/>
      <c r="E1133" s="17"/>
      <c r="F1133" s="17"/>
      <c r="G1133" s="17"/>
      <c r="H1133" s="18"/>
      <c r="I1133" s="17"/>
      <c r="J1133" s="17"/>
      <c r="K1133" s="17"/>
      <c r="L1133" s="18"/>
      <c r="M1133" s="17"/>
      <c r="N1133" s="18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</row>
    <row r="1134" spans="1:30" ht="15.6" x14ac:dyDescent="0.3">
      <c r="A1134" s="17"/>
      <c r="B1134" s="17"/>
      <c r="C1134" s="17"/>
      <c r="D1134" s="17"/>
      <c r="E1134" s="17"/>
      <c r="F1134" s="17"/>
      <c r="G1134" s="17"/>
      <c r="H1134" s="18"/>
      <c r="I1134" s="17"/>
      <c r="J1134" s="17"/>
      <c r="K1134" s="17"/>
      <c r="L1134" s="18"/>
      <c r="M1134" s="17"/>
      <c r="N1134" s="18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</row>
    <row r="1135" spans="1:30" ht="15.6" x14ac:dyDescent="0.3">
      <c r="A1135" s="17"/>
      <c r="B1135" s="17"/>
      <c r="C1135" s="17"/>
      <c r="D1135" s="17"/>
      <c r="E1135" s="17"/>
      <c r="F1135" s="17"/>
      <c r="G1135" s="17"/>
      <c r="H1135" s="18"/>
      <c r="I1135" s="17"/>
      <c r="J1135" s="17"/>
      <c r="K1135" s="17"/>
      <c r="L1135" s="18"/>
      <c r="M1135" s="17"/>
      <c r="N1135" s="18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</row>
    <row r="1136" spans="1:30" ht="15.6" x14ac:dyDescent="0.3">
      <c r="A1136" s="17"/>
      <c r="B1136" s="17"/>
      <c r="C1136" s="17"/>
      <c r="D1136" s="17"/>
      <c r="E1136" s="17"/>
      <c r="F1136" s="17"/>
      <c r="G1136" s="17"/>
      <c r="H1136" s="18"/>
      <c r="I1136" s="17"/>
      <c r="J1136" s="17"/>
      <c r="K1136" s="17"/>
      <c r="L1136" s="18"/>
      <c r="M1136" s="17"/>
      <c r="N1136" s="18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</row>
    <row r="1137" spans="1:30" ht="15.6" x14ac:dyDescent="0.3">
      <c r="A1137" s="17"/>
      <c r="B1137" s="17"/>
      <c r="C1137" s="17"/>
      <c r="D1137" s="17"/>
      <c r="E1137" s="17"/>
      <c r="F1137" s="17"/>
      <c r="G1137" s="17"/>
      <c r="H1137" s="18"/>
      <c r="I1137" s="17"/>
      <c r="J1137" s="17"/>
      <c r="K1137" s="17"/>
      <c r="L1137" s="18"/>
      <c r="M1137" s="17"/>
      <c r="N1137" s="18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</row>
    <row r="1138" spans="1:30" ht="15.6" x14ac:dyDescent="0.3">
      <c r="A1138" s="17"/>
      <c r="B1138" s="17"/>
      <c r="C1138" s="17"/>
      <c r="D1138" s="17"/>
      <c r="E1138" s="17"/>
      <c r="F1138" s="17"/>
      <c r="G1138" s="17"/>
      <c r="H1138" s="18"/>
      <c r="I1138" s="17"/>
      <c r="J1138" s="17"/>
      <c r="K1138" s="17"/>
      <c r="L1138" s="18"/>
      <c r="M1138" s="17"/>
      <c r="N1138" s="18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</row>
    <row r="1139" spans="1:30" ht="15.6" x14ac:dyDescent="0.3">
      <c r="A1139" s="17"/>
      <c r="B1139" s="17"/>
      <c r="C1139" s="17"/>
      <c r="D1139" s="17"/>
      <c r="E1139" s="17"/>
      <c r="F1139" s="17"/>
      <c r="G1139" s="17"/>
      <c r="H1139" s="18"/>
      <c r="I1139" s="17"/>
      <c r="J1139" s="17"/>
      <c r="K1139" s="17"/>
      <c r="L1139" s="18"/>
      <c r="M1139" s="17"/>
      <c r="N1139" s="18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</row>
    <row r="1140" spans="1:30" ht="15.6" x14ac:dyDescent="0.3">
      <c r="A1140" s="17"/>
      <c r="B1140" s="17"/>
      <c r="C1140" s="17"/>
      <c r="D1140" s="17"/>
      <c r="E1140" s="17"/>
      <c r="F1140" s="17"/>
      <c r="G1140" s="17"/>
      <c r="H1140" s="18"/>
      <c r="I1140" s="17"/>
      <c r="J1140" s="17"/>
      <c r="K1140" s="17"/>
      <c r="L1140" s="18"/>
      <c r="M1140" s="17"/>
      <c r="N1140" s="18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</row>
    <row r="1141" spans="1:30" ht="15.6" x14ac:dyDescent="0.3">
      <c r="A1141" s="17"/>
      <c r="B1141" s="17"/>
      <c r="C1141" s="17"/>
      <c r="D1141" s="17"/>
      <c r="E1141" s="17"/>
      <c r="F1141" s="17"/>
      <c r="G1141" s="17"/>
      <c r="H1141" s="18"/>
      <c r="I1141" s="17"/>
      <c r="J1141" s="17"/>
      <c r="K1141" s="17"/>
      <c r="L1141" s="18"/>
      <c r="M1141" s="17"/>
      <c r="N1141" s="18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 spans="1:30" ht="15.6" x14ac:dyDescent="0.3">
      <c r="A1142" s="17"/>
      <c r="B1142" s="17"/>
      <c r="C1142" s="17"/>
      <c r="D1142" s="17"/>
      <c r="E1142" s="17"/>
      <c r="F1142" s="17"/>
      <c r="G1142" s="17"/>
      <c r="H1142" s="18"/>
      <c r="I1142" s="17"/>
      <c r="J1142" s="17"/>
      <c r="K1142" s="17"/>
      <c r="L1142" s="18"/>
      <c r="M1142" s="17"/>
      <c r="N1142" s="18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</row>
    <row r="1143" spans="1:30" ht="15.6" x14ac:dyDescent="0.3">
      <c r="A1143" s="17"/>
      <c r="B1143" s="17"/>
      <c r="C1143" s="17"/>
      <c r="D1143" s="17"/>
      <c r="E1143" s="17"/>
      <c r="F1143" s="17"/>
      <c r="G1143" s="17"/>
      <c r="H1143" s="18"/>
      <c r="I1143" s="17"/>
      <c r="J1143" s="17"/>
      <c r="K1143" s="17"/>
      <c r="L1143" s="18"/>
      <c r="M1143" s="17"/>
      <c r="N1143" s="18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</row>
    <row r="1144" spans="1:30" ht="15.6" x14ac:dyDescent="0.3">
      <c r="A1144" s="17"/>
      <c r="B1144" s="17"/>
      <c r="C1144" s="17"/>
      <c r="D1144" s="17"/>
      <c r="E1144" s="17"/>
      <c r="F1144" s="17"/>
      <c r="G1144" s="17"/>
      <c r="H1144" s="18"/>
      <c r="I1144" s="17"/>
      <c r="J1144" s="17"/>
      <c r="K1144" s="17"/>
      <c r="L1144" s="18"/>
      <c r="M1144" s="17"/>
      <c r="N1144" s="18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</row>
    <row r="1145" spans="1:30" ht="15.6" x14ac:dyDescent="0.3">
      <c r="A1145" s="17"/>
      <c r="B1145" s="17"/>
      <c r="C1145" s="17"/>
      <c r="D1145" s="17"/>
      <c r="E1145" s="17"/>
      <c r="F1145" s="17"/>
      <c r="G1145" s="17"/>
      <c r="H1145" s="18"/>
      <c r="I1145" s="17"/>
      <c r="J1145" s="17"/>
      <c r="K1145" s="17"/>
      <c r="L1145" s="18"/>
      <c r="M1145" s="17"/>
      <c r="N1145" s="18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</row>
    <row r="1146" spans="1:30" ht="15.6" x14ac:dyDescent="0.3">
      <c r="A1146" s="17"/>
      <c r="B1146" s="17"/>
      <c r="C1146" s="17"/>
      <c r="D1146" s="17"/>
      <c r="E1146" s="17"/>
      <c r="F1146" s="17"/>
      <c r="G1146" s="17"/>
      <c r="H1146" s="18"/>
      <c r="I1146" s="17"/>
      <c r="J1146" s="17"/>
      <c r="K1146" s="17"/>
      <c r="L1146" s="18"/>
      <c r="M1146" s="17"/>
      <c r="N1146" s="18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</row>
    <row r="1147" spans="1:30" ht="15.6" x14ac:dyDescent="0.3">
      <c r="A1147" s="17"/>
      <c r="B1147" s="17"/>
      <c r="C1147" s="17"/>
      <c r="D1147" s="17"/>
      <c r="E1147" s="17"/>
      <c r="F1147" s="17"/>
      <c r="G1147" s="17"/>
      <c r="H1147" s="18"/>
      <c r="I1147" s="17"/>
      <c r="J1147" s="17"/>
      <c r="K1147" s="17"/>
      <c r="L1147" s="18"/>
      <c r="M1147" s="17"/>
      <c r="N1147" s="18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</row>
    <row r="1148" spans="1:30" ht="15.6" x14ac:dyDescent="0.3">
      <c r="A1148" s="17"/>
      <c r="B1148" s="17"/>
      <c r="C1148" s="17"/>
      <c r="D1148" s="17"/>
      <c r="E1148" s="17"/>
      <c r="F1148" s="17"/>
      <c r="G1148" s="17"/>
      <c r="H1148" s="18"/>
      <c r="I1148" s="17"/>
      <c r="J1148" s="17"/>
      <c r="K1148" s="17"/>
      <c r="L1148" s="18"/>
      <c r="M1148" s="17"/>
      <c r="N1148" s="18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</row>
    <row r="1149" spans="1:30" ht="15.6" x14ac:dyDescent="0.3">
      <c r="A1149" s="17"/>
      <c r="B1149" s="17"/>
      <c r="C1149" s="17"/>
      <c r="D1149" s="17"/>
      <c r="E1149" s="17"/>
      <c r="F1149" s="17"/>
      <c r="G1149" s="17"/>
      <c r="H1149" s="18"/>
      <c r="I1149" s="17"/>
      <c r="J1149" s="17"/>
      <c r="K1149" s="17"/>
      <c r="L1149" s="18"/>
      <c r="M1149" s="17"/>
      <c r="N1149" s="18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</row>
    <row r="1150" spans="1:30" ht="15.6" x14ac:dyDescent="0.3">
      <c r="A1150" s="17"/>
      <c r="B1150" s="17"/>
      <c r="C1150" s="17"/>
      <c r="D1150" s="17"/>
      <c r="E1150" s="17"/>
      <c r="F1150" s="17"/>
      <c r="G1150" s="17"/>
      <c r="H1150" s="18"/>
      <c r="I1150" s="17"/>
      <c r="J1150" s="17"/>
      <c r="K1150" s="17"/>
      <c r="L1150" s="18"/>
      <c r="M1150" s="17"/>
      <c r="N1150" s="18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</row>
    <row r="1151" spans="1:30" ht="15.6" x14ac:dyDescent="0.3">
      <c r="A1151" s="17"/>
      <c r="B1151" s="17"/>
      <c r="C1151" s="17"/>
      <c r="D1151" s="17"/>
      <c r="E1151" s="17"/>
      <c r="F1151" s="17"/>
      <c r="G1151" s="17"/>
      <c r="H1151" s="18"/>
      <c r="I1151" s="17"/>
      <c r="J1151" s="17"/>
      <c r="K1151" s="17"/>
      <c r="L1151" s="18"/>
      <c r="M1151" s="17"/>
      <c r="N1151" s="18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</row>
    <row r="1152" spans="1:30" ht="15.6" x14ac:dyDescent="0.3">
      <c r="A1152" s="17"/>
      <c r="B1152" s="17"/>
      <c r="C1152" s="17"/>
      <c r="D1152" s="17"/>
      <c r="E1152" s="17"/>
      <c r="F1152" s="17"/>
      <c r="G1152" s="17"/>
      <c r="H1152" s="18"/>
      <c r="I1152" s="17"/>
      <c r="J1152" s="17"/>
      <c r="K1152" s="17"/>
      <c r="L1152" s="18"/>
      <c r="M1152" s="17"/>
      <c r="N1152" s="18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</row>
    <row r="1153" spans="1:30" ht="15.6" x14ac:dyDescent="0.3">
      <c r="A1153" s="17"/>
      <c r="B1153" s="17"/>
      <c r="C1153" s="17"/>
      <c r="D1153" s="17"/>
      <c r="E1153" s="17"/>
      <c r="F1153" s="17"/>
      <c r="G1153" s="17"/>
      <c r="H1153" s="18"/>
      <c r="I1153" s="17"/>
      <c r="J1153" s="17"/>
      <c r="K1153" s="17"/>
      <c r="L1153" s="18"/>
      <c r="M1153" s="17"/>
      <c r="N1153" s="18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</row>
    <row r="1154" spans="1:30" ht="15.6" x14ac:dyDescent="0.3">
      <c r="A1154" s="17"/>
      <c r="B1154" s="17"/>
      <c r="C1154" s="17"/>
      <c r="D1154" s="17"/>
      <c r="E1154" s="17"/>
      <c r="F1154" s="17"/>
      <c r="G1154" s="17"/>
      <c r="H1154" s="18"/>
      <c r="I1154" s="17"/>
      <c r="J1154" s="17"/>
      <c r="K1154" s="17"/>
      <c r="L1154" s="18"/>
      <c r="M1154" s="17"/>
      <c r="N1154" s="18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</row>
    <row r="1155" spans="1:30" ht="15.6" x14ac:dyDescent="0.3">
      <c r="A1155" s="17"/>
      <c r="B1155" s="17"/>
      <c r="C1155" s="17"/>
      <c r="D1155" s="17"/>
      <c r="E1155" s="17"/>
      <c r="F1155" s="17"/>
      <c r="G1155" s="17"/>
      <c r="H1155" s="18"/>
      <c r="I1155" s="17"/>
      <c r="J1155" s="17"/>
      <c r="K1155" s="17"/>
      <c r="L1155" s="18"/>
      <c r="M1155" s="17"/>
      <c r="N1155" s="18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</row>
    <row r="1156" spans="1:30" ht="15.6" x14ac:dyDescent="0.3">
      <c r="A1156" s="17"/>
      <c r="B1156" s="17"/>
      <c r="C1156" s="17"/>
      <c r="D1156" s="17"/>
      <c r="E1156" s="17"/>
      <c r="F1156" s="17"/>
      <c r="G1156" s="17"/>
      <c r="H1156" s="18"/>
      <c r="I1156" s="17"/>
      <c r="J1156" s="17"/>
      <c r="K1156" s="17"/>
      <c r="L1156" s="18"/>
      <c r="M1156" s="17"/>
      <c r="N1156" s="18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</row>
    <row r="1157" spans="1:30" ht="15.6" x14ac:dyDescent="0.3">
      <c r="A1157" s="17"/>
      <c r="B1157" s="17"/>
      <c r="C1157" s="17"/>
      <c r="D1157" s="17"/>
      <c r="E1157" s="17"/>
      <c r="F1157" s="17"/>
      <c r="G1157" s="17"/>
      <c r="H1157" s="18"/>
      <c r="I1157" s="17"/>
      <c r="J1157" s="17"/>
      <c r="K1157" s="17"/>
      <c r="L1157" s="18"/>
      <c r="M1157" s="17"/>
      <c r="N1157" s="18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</row>
    <row r="1158" spans="1:30" ht="15.6" x14ac:dyDescent="0.3">
      <c r="A1158" s="17"/>
      <c r="B1158" s="17"/>
      <c r="C1158" s="17"/>
      <c r="D1158" s="17"/>
      <c r="E1158" s="17"/>
      <c r="F1158" s="17"/>
      <c r="G1158" s="17"/>
      <c r="H1158" s="18"/>
      <c r="I1158" s="17"/>
      <c r="J1158" s="17"/>
      <c r="K1158" s="17"/>
      <c r="L1158" s="18"/>
      <c r="M1158" s="17"/>
      <c r="N1158" s="18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</row>
    <row r="1159" spans="1:30" ht="15.6" x14ac:dyDescent="0.3">
      <c r="A1159" s="17"/>
      <c r="B1159" s="17"/>
      <c r="C1159" s="17"/>
      <c r="D1159" s="17"/>
      <c r="E1159" s="17"/>
      <c r="F1159" s="17"/>
      <c r="G1159" s="17"/>
      <c r="H1159" s="18"/>
      <c r="I1159" s="17"/>
      <c r="J1159" s="17"/>
      <c r="K1159" s="17"/>
      <c r="L1159" s="18"/>
      <c r="M1159" s="17"/>
      <c r="N1159" s="18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</row>
    <row r="1160" spans="1:30" ht="15.6" x14ac:dyDescent="0.3">
      <c r="A1160" s="17"/>
      <c r="B1160" s="17"/>
      <c r="C1160" s="17"/>
      <c r="D1160" s="17"/>
      <c r="E1160" s="17"/>
      <c r="F1160" s="17"/>
      <c r="G1160" s="17"/>
      <c r="H1160" s="18"/>
      <c r="I1160" s="17"/>
      <c r="J1160" s="17"/>
      <c r="K1160" s="17"/>
      <c r="L1160" s="18"/>
      <c r="M1160" s="17"/>
      <c r="N1160" s="18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</row>
    <row r="1161" spans="1:30" ht="15.6" x14ac:dyDescent="0.3">
      <c r="A1161" s="17"/>
      <c r="B1161" s="17"/>
      <c r="C1161" s="17"/>
      <c r="D1161" s="17"/>
      <c r="E1161" s="17"/>
      <c r="F1161" s="17"/>
      <c r="G1161" s="17"/>
      <c r="H1161" s="18"/>
      <c r="I1161" s="17"/>
      <c r="J1161" s="17"/>
      <c r="K1161" s="17"/>
      <c r="L1161" s="18"/>
      <c r="M1161" s="17"/>
      <c r="N1161" s="18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</row>
    <row r="1162" spans="1:30" ht="15.6" x14ac:dyDescent="0.3">
      <c r="A1162" s="17"/>
      <c r="B1162" s="17"/>
      <c r="C1162" s="17"/>
      <c r="D1162" s="17"/>
      <c r="E1162" s="17"/>
      <c r="F1162" s="17"/>
      <c r="G1162" s="17"/>
      <c r="H1162" s="18"/>
      <c r="I1162" s="17"/>
      <c r="J1162" s="17"/>
      <c r="K1162" s="17"/>
      <c r="L1162" s="18"/>
      <c r="M1162" s="17"/>
      <c r="N1162" s="18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</row>
    <row r="1163" spans="1:30" ht="15.6" x14ac:dyDescent="0.3">
      <c r="A1163" s="17"/>
      <c r="B1163" s="17"/>
      <c r="C1163" s="17"/>
      <c r="D1163" s="17"/>
      <c r="E1163" s="17"/>
      <c r="F1163" s="17"/>
      <c r="G1163" s="17"/>
      <c r="H1163" s="18"/>
      <c r="I1163" s="17"/>
      <c r="J1163" s="17"/>
      <c r="K1163" s="17"/>
      <c r="L1163" s="18"/>
      <c r="M1163" s="17"/>
      <c r="N1163" s="18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</row>
    <row r="1164" spans="1:30" ht="15.6" x14ac:dyDescent="0.3">
      <c r="A1164" s="17"/>
      <c r="B1164" s="17"/>
      <c r="C1164" s="17"/>
      <c r="D1164" s="17"/>
      <c r="E1164" s="17"/>
      <c r="F1164" s="17"/>
      <c r="G1164" s="17"/>
      <c r="H1164" s="18"/>
      <c r="I1164" s="17"/>
      <c r="J1164" s="17"/>
      <c r="K1164" s="17"/>
      <c r="L1164" s="18"/>
      <c r="M1164" s="17"/>
      <c r="N1164" s="18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</row>
    <row r="1165" spans="1:30" ht="15.6" x14ac:dyDescent="0.3">
      <c r="A1165" s="17"/>
      <c r="B1165" s="17"/>
      <c r="C1165" s="17"/>
      <c r="D1165" s="17"/>
      <c r="E1165" s="17"/>
      <c r="F1165" s="17"/>
      <c r="G1165" s="17"/>
      <c r="H1165" s="18"/>
      <c r="I1165" s="17"/>
      <c r="J1165" s="17"/>
      <c r="K1165" s="17"/>
      <c r="L1165" s="18"/>
      <c r="M1165" s="17"/>
      <c r="N1165" s="18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</row>
    <row r="1166" spans="1:30" ht="15.6" x14ac:dyDescent="0.3">
      <c r="A1166" s="17"/>
      <c r="B1166" s="17"/>
      <c r="C1166" s="17"/>
      <c r="D1166" s="17"/>
      <c r="E1166" s="17"/>
      <c r="F1166" s="17"/>
      <c r="G1166" s="17"/>
      <c r="H1166" s="18"/>
      <c r="I1166" s="17"/>
      <c r="J1166" s="17"/>
      <c r="K1166" s="17"/>
      <c r="L1166" s="18"/>
      <c r="M1166" s="17"/>
      <c r="N1166" s="18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</row>
    <row r="1167" spans="1:30" ht="15.6" x14ac:dyDescent="0.3">
      <c r="A1167" s="17"/>
      <c r="B1167" s="17"/>
      <c r="C1167" s="17"/>
      <c r="D1167" s="17"/>
      <c r="E1167" s="17"/>
      <c r="F1167" s="17"/>
      <c r="G1167" s="17"/>
      <c r="H1167" s="18"/>
      <c r="I1167" s="17"/>
      <c r="J1167" s="17"/>
      <c r="K1167" s="17"/>
      <c r="L1167" s="18"/>
      <c r="M1167" s="17"/>
      <c r="N1167" s="18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</row>
    <row r="1168" spans="1:30" ht="15.6" x14ac:dyDescent="0.3">
      <c r="A1168" s="17"/>
      <c r="B1168" s="17"/>
      <c r="C1168" s="17"/>
      <c r="D1168" s="17"/>
      <c r="E1168" s="17"/>
      <c r="F1168" s="17"/>
      <c r="G1168" s="17"/>
      <c r="H1168" s="18"/>
      <c r="I1168" s="17"/>
      <c r="J1168" s="17"/>
      <c r="K1168" s="17"/>
      <c r="L1168" s="18"/>
      <c r="M1168" s="17"/>
      <c r="N1168" s="18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</row>
    <row r="1169" spans="1:30" ht="15.6" x14ac:dyDescent="0.3">
      <c r="A1169" s="17"/>
      <c r="B1169" s="17"/>
      <c r="C1169" s="17"/>
      <c r="D1169" s="17"/>
      <c r="E1169" s="17"/>
      <c r="F1169" s="17"/>
      <c r="G1169" s="17"/>
      <c r="H1169" s="18"/>
      <c r="I1169" s="17"/>
      <c r="J1169" s="17"/>
      <c r="K1169" s="17"/>
      <c r="L1169" s="18"/>
      <c r="M1169" s="17"/>
      <c r="N1169" s="18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</row>
    <row r="1170" spans="1:30" ht="15.6" x14ac:dyDescent="0.3">
      <c r="A1170" s="17"/>
      <c r="B1170" s="17"/>
      <c r="C1170" s="17"/>
      <c r="D1170" s="17"/>
      <c r="E1170" s="17"/>
      <c r="F1170" s="17"/>
      <c r="G1170" s="17"/>
      <c r="H1170" s="18"/>
      <c r="I1170" s="17"/>
      <c r="J1170" s="17"/>
      <c r="K1170" s="17"/>
      <c r="L1170" s="18"/>
      <c r="M1170" s="17"/>
      <c r="N1170" s="18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</row>
    <row r="1171" spans="1:30" ht="15.6" x14ac:dyDescent="0.3">
      <c r="A1171" s="17"/>
      <c r="B1171" s="17"/>
      <c r="C1171" s="17"/>
      <c r="D1171" s="17"/>
      <c r="E1171" s="17"/>
      <c r="F1171" s="17"/>
      <c r="G1171" s="17"/>
      <c r="H1171" s="18"/>
      <c r="I1171" s="17"/>
      <c r="J1171" s="17"/>
      <c r="K1171" s="17"/>
      <c r="L1171" s="18"/>
      <c r="M1171" s="17"/>
      <c r="N1171" s="18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</row>
    <row r="1172" spans="1:30" ht="15.6" x14ac:dyDescent="0.3">
      <c r="A1172" s="17"/>
      <c r="B1172" s="17"/>
      <c r="C1172" s="17"/>
      <c r="D1172" s="17"/>
      <c r="E1172" s="17"/>
      <c r="F1172" s="17"/>
      <c r="G1172" s="17"/>
      <c r="H1172" s="18"/>
      <c r="I1172" s="17"/>
      <c r="J1172" s="17"/>
      <c r="K1172" s="17"/>
      <c r="L1172" s="18"/>
      <c r="M1172" s="17"/>
      <c r="N1172" s="18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</row>
    <row r="1173" spans="1:30" ht="15.6" x14ac:dyDescent="0.3">
      <c r="A1173" s="17"/>
      <c r="B1173" s="17"/>
      <c r="C1173" s="17"/>
      <c r="D1173" s="17"/>
      <c r="E1173" s="17"/>
      <c r="F1173" s="17"/>
      <c r="G1173" s="17"/>
      <c r="H1173" s="18"/>
      <c r="I1173" s="17"/>
      <c r="J1173" s="17"/>
      <c r="K1173" s="17"/>
      <c r="L1173" s="18"/>
      <c r="M1173" s="17"/>
      <c r="N1173" s="18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</row>
    <row r="1174" spans="1:30" ht="15.6" x14ac:dyDescent="0.3">
      <c r="A1174" s="17"/>
      <c r="B1174" s="17"/>
      <c r="C1174" s="17"/>
      <c r="D1174" s="17"/>
      <c r="E1174" s="17"/>
      <c r="F1174" s="17"/>
      <c r="G1174" s="17"/>
      <c r="H1174" s="18"/>
      <c r="I1174" s="17"/>
      <c r="J1174" s="17"/>
      <c r="K1174" s="17"/>
      <c r="L1174" s="18"/>
      <c r="M1174" s="17"/>
      <c r="N1174" s="18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</row>
    <row r="1175" spans="1:30" ht="15.6" x14ac:dyDescent="0.3">
      <c r="A1175" s="17"/>
      <c r="B1175" s="17"/>
      <c r="C1175" s="17"/>
      <c r="D1175" s="17"/>
      <c r="E1175" s="17"/>
      <c r="F1175" s="17"/>
      <c r="G1175" s="17"/>
      <c r="H1175" s="18"/>
      <c r="I1175" s="17"/>
      <c r="J1175" s="17"/>
      <c r="K1175" s="17"/>
      <c r="L1175" s="18"/>
      <c r="M1175" s="17"/>
      <c r="N1175" s="18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</row>
    <row r="1176" spans="1:30" ht="15.6" x14ac:dyDescent="0.3">
      <c r="A1176" s="17"/>
      <c r="B1176" s="17"/>
      <c r="C1176" s="17"/>
      <c r="D1176" s="17"/>
      <c r="E1176" s="17"/>
      <c r="F1176" s="17"/>
      <c r="G1176" s="17"/>
      <c r="H1176" s="18"/>
      <c r="I1176" s="17"/>
      <c r="J1176" s="17"/>
      <c r="K1176" s="17"/>
      <c r="L1176" s="18"/>
      <c r="M1176" s="17"/>
      <c r="N1176" s="18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</row>
    <row r="1177" spans="1:30" ht="15.6" x14ac:dyDescent="0.3">
      <c r="A1177" s="17"/>
      <c r="B1177" s="17"/>
      <c r="C1177" s="17"/>
      <c r="D1177" s="17"/>
      <c r="E1177" s="17"/>
      <c r="F1177" s="17"/>
      <c r="G1177" s="17"/>
      <c r="H1177" s="18"/>
      <c r="I1177" s="17"/>
      <c r="J1177" s="17"/>
      <c r="K1177" s="17"/>
      <c r="L1177" s="18"/>
      <c r="M1177" s="17"/>
      <c r="N1177" s="18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</row>
    <row r="1178" spans="1:30" ht="15.6" x14ac:dyDescent="0.3">
      <c r="A1178" s="17"/>
      <c r="B1178" s="17"/>
      <c r="C1178" s="17"/>
      <c r="D1178" s="17"/>
      <c r="E1178" s="17"/>
      <c r="F1178" s="17"/>
      <c r="G1178" s="17"/>
      <c r="H1178" s="18"/>
      <c r="I1178" s="17"/>
      <c r="J1178" s="17"/>
      <c r="K1178" s="17"/>
      <c r="L1178" s="18"/>
      <c r="M1178" s="17"/>
      <c r="N1178" s="18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</row>
    <row r="1179" spans="1:30" ht="15.6" x14ac:dyDescent="0.3">
      <c r="A1179" s="17"/>
      <c r="B1179" s="17"/>
      <c r="C1179" s="17"/>
      <c r="D1179" s="17"/>
      <c r="E1179" s="17"/>
      <c r="F1179" s="17"/>
      <c r="G1179" s="17"/>
      <c r="H1179" s="18"/>
      <c r="I1179" s="17"/>
      <c r="J1179" s="17"/>
      <c r="K1179" s="17"/>
      <c r="L1179" s="18"/>
      <c r="M1179" s="17"/>
      <c r="N1179" s="18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</row>
    <row r="1180" spans="1:30" ht="15.6" x14ac:dyDescent="0.3">
      <c r="A1180" s="17"/>
      <c r="B1180" s="17"/>
      <c r="C1180" s="17"/>
      <c r="D1180" s="17"/>
      <c r="E1180" s="17"/>
      <c r="F1180" s="17"/>
      <c r="G1180" s="17"/>
      <c r="H1180" s="18"/>
      <c r="I1180" s="17"/>
      <c r="J1180" s="17"/>
      <c r="K1180" s="17"/>
      <c r="L1180" s="18"/>
      <c r="M1180" s="17"/>
      <c r="N1180" s="18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</row>
    <row r="1181" spans="1:30" ht="15.6" x14ac:dyDescent="0.3">
      <c r="A1181" s="17"/>
      <c r="B1181" s="17"/>
      <c r="C1181" s="17"/>
      <c r="D1181" s="17"/>
      <c r="E1181" s="17"/>
      <c r="F1181" s="17"/>
      <c r="G1181" s="17"/>
      <c r="H1181" s="18"/>
      <c r="I1181" s="17"/>
      <c r="J1181" s="17"/>
      <c r="K1181" s="17"/>
      <c r="L1181" s="18"/>
      <c r="M1181" s="17"/>
      <c r="N1181" s="18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</row>
    <row r="1182" spans="1:30" ht="15.6" x14ac:dyDescent="0.3">
      <c r="A1182" s="17"/>
      <c r="B1182" s="17"/>
      <c r="C1182" s="17"/>
      <c r="D1182" s="17"/>
      <c r="E1182" s="17"/>
      <c r="F1182" s="17"/>
      <c r="G1182" s="17"/>
      <c r="H1182" s="18"/>
      <c r="I1182" s="17"/>
      <c r="J1182" s="17"/>
      <c r="K1182" s="17"/>
      <c r="L1182" s="18"/>
      <c r="M1182" s="17"/>
      <c r="N1182" s="18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</row>
    <row r="1183" spans="1:30" ht="15.6" x14ac:dyDescent="0.3">
      <c r="A1183" s="17"/>
      <c r="B1183" s="17"/>
      <c r="C1183" s="17"/>
      <c r="D1183" s="17"/>
      <c r="E1183" s="17"/>
      <c r="F1183" s="17"/>
      <c r="G1183" s="17"/>
      <c r="H1183" s="18"/>
      <c r="I1183" s="17"/>
      <c r="J1183" s="17"/>
      <c r="K1183" s="17"/>
      <c r="L1183" s="18"/>
      <c r="M1183" s="17"/>
      <c r="N1183" s="18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</row>
    <row r="1184" spans="1:30" ht="15.6" x14ac:dyDescent="0.3">
      <c r="A1184" s="17"/>
      <c r="B1184" s="17"/>
      <c r="C1184" s="17"/>
      <c r="D1184" s="17"/>
      <c r="E1184" s="17"/>
      <c r="F1184" s="17"/>
      <c r="G1184" s="17"/>
      <c r="H1184" s="18"/>
      <c r="I1184" s="17"/>
      <c r="J1184" s="17"/>
      <c r="K1184" s="17"/>
      <c r="L1184" s="18"/>
      <c r="M1184" s="17"/>
      <c r="N1184" s="18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</row>
    <row r="1185" spans="1:30" ht="15.6" x14ac:dyDescent="0.3">
      <c r="A1185" s="17"/>
      <c r="B1185" s="17"/>
      <c r="C1185" s="17"/>
      <c r="D1185" s="17"/>
      <c r="E1185" s="17"/>
      <c r="F1185" s="17"/>
      <c r="G1185" s="17"/>
      <c r="H1185" s="18"/>
      <c r="I1185" s="17"/>
      <c r="J1185" s="17"/>
      <c r="K1185" s="17"/>
      <c r="L1185" s="18"/>
      <c r="M1185" s="17"/>
      <c r="N1185" s="18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</row>
    <row r="1186" spans="1:30" ht="15.6" x14ac:dyDescent="0.3">
      <c r="A1186" s="17"/>
      <c r="B1186" s="17"/>
      <c r="C1186" s="17"/>
      <c r="D1186" s="17"/>
      <c r="E1186" s="17"/>
      <c r="F1186" s="17"/>
      <c r="G1186" s="17"/>
      <c r="H1186" s="18"/>
      <c r="I1186" s="17"/>
      <c r="J1186" s="17"/>
      <c r="K1186" s="17"/>
      <c r="L1186" s="18"/>
      <c r="M1186" s="17"/>
      <c r="N1186" s="18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</row>
    <row r="1187" spans="1:30" ht="15.6" x14ac:dyDescent="0.3">
      <c r="A1187" s="17"/>
      <c r="B1187" s="17"/>
      <c r="C1187" s="17"/>
      <c r="D1187" s="17"/>
      <c r="E1187" s="17"/>
      <c r="F1187" s="17"/>
      <c r="G1187" s="17"/>
      <c r="H1187" s="18"/>
      <c r="I1187" s="17"/>
      <c r="J1187" s="17"/>
      <c r="K1187" s="17"/>
      <c r="L1187" s="18"/>
      <c r="M1187" s="17"/>
      <c r="N1187" s="18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</row>
    <row r="1188" spans="1:30" ht="15.6" x14ac:dyDescent="0.3">
      <c r="A1188" s="17"/>
      <c r="B1188" s="17"/>
      <c r="C1188" s="17"/>
      <c r="D1188" s="17"/>
      <c r="E1188" s="17"/>
      <c r="F1188" s="17"/>
      <c r="G1188" s="17"/>
      <c r="H1188" s="18"/>
      <c r="I1188" s="17"/>
      <c r="J1188" s="17"/>
      <c r="K1188" s="17"/>
      <c r="L1188" s="18"/>
      <c r="M1188" s="17"/>
      <c r="N1188" s="18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</row>
    <row r="1189" spans="1:30" ht="15.6" x14ac:dyDescent="0.3">
      <c r="A1189" s="17"/>
      <c r="B1189" s="17"/>
      <c r="C1189" s="17"/>
      <c r="D1189" s="17"/>
      <c r="E1189" s="17"/>
      <c r="F1189" s="17"/>
      <c r="G1189" s="17"/>
      <c r="H1189" s="18"/>
      <c r="I1189" s="17"/>
      <c r="J1189" s="17"/>
      <c r="K1189" s="17"/>
      <c r="L1189" s="18"/>
      <c r="M1189" s="17"/>
      <c r="N1189" s="18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</row>
    <row r="1190" spans="1:30" ht="15.6" x14ac:dyDescent="0.3">
      <c r="A1190" s="17"/>
      <c r="B1190" s="17"/>
      <c r="C1190" s="17"/>
      <c r="D1190" s="17"/>
      <c r="E1190" s="17"/>
      <c r="F1190" s="17"/>
      <c r="G1190" s="17"/>
      <c r="H1190" s="18"/>
      <c r="I1190" s="17"/>
      <c r="J1190" s="17"/>
      <c r="K1190" s="17"/>
      <c r="L1190" s="18"/>
      <c r="M1190" s="17"/>
      <c r="N1190" s="18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</row>
    <row r="1191" spans="1:30" ht="15.6" x14ac:dyDescent="0.3">
      <c r="A1191" s="17"/>
      <c r="B1191" s="17"/>
      <c r="C1191" s="17"/>
      <c r="D1191" s="17"/>
      <c r="E1191" s="17"/>
      <c r="F1191" s="17"/>
      <c r="G1191" s="17"/>
      <c r="H1191" s="18"/>
      <c r="I1191" s="17"/>
      <c r="J1191" s="17"/>
      <c r="K1191" s="17"/>
      <c r="L1191" s="18"/>
      <c r="M1191" s="17"/>
      <c r="N1191" s="18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</row>
    <row r="1192" spans="1:30" ht="15.6" x14ac:dyDescent="0.3">
      <c r="A1192" s="17"/>
      <c r="B1192" s="17"/>
      <c r="C1192" s="17"/>
      <c r="D1192" s="17"/>
      <c r="E1192" s="17"/>
      <c r="F1192" s="17"/>
      <c r="G1192" s="17"/>
      <c r="H1192" s="18"/>
      <c r="I1192" s="17"/>
      <c r="J1192" s="17"/>
      <c r="K1192" s="17"/>
      <c r="L1192" s="18"/>
      <c r="M1192" s="17"/>
      <c r="N1192" s="18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</row>
    <row r="1193" spans="1:30" ht="15.6" x14ac:dyDescent="0.3">
      <c r="A1193" s="17"/>
      <c r="B1193" s="17"/>
      <c r="C1193" s="17"/>
      <c r="D1193" s="17"/>
      <c r="E1193" s="17"/>
      <c r="F1193" s="17"/>
      <c r="G1193" s="17"/>
      <c r="H1193" s="18"/>
      <c r="I1193" s="17"/>
      <c r="J1193" s="17"/>
      <c r="K1193" s="17"/>
      <c r="L1193" s="18"/>
      <c r="M1193" s="17"/>
      <c r="N1193" s="18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</row>
    <row r="1194" spans="1:30" ht="15.6" x14ac:dyDescent="0.3">
      <c r="A1194" s="17"/>
      <c r="B1194" s="17"/>
      <c r="C1194" s="17"/>
      <c r="D1194" s="17"/>
      <c r="E1194" s="17"/>
      <c r="F1194" s="17"/>
      <c r="G1194" s="17"/>
      <c r="H1194" s="18"/>
      <c r="I1194" s="17"/>
      <c r="J1194" s="17"/>
      <c r="K1194" s="17"/>
      <c r="L1194" s="18"/>
      <c r="M1194" s="17"/>
      <c r="N1194" s="18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</row>
    <row r="1195" spans="1:30" ht="15.6" x14ac:dyDescent="0.3">
      <c r="A1195" s="17"/>
      <c r="B1195" s="17"/>
      <c r="C1195" s="17"/>
      <c r="D1195" s="17"/>
      <c r="E1195" s="17"/>
      <c r="F1195" s="17"/>
      <c r="G1195" s="17"/>
      <c r="H1195" s="18"/>
      <c r="I1195" s="17"/>
      <c r="J1195" s="17"/>
      <c r="K1195" s="17"/>
      <c r="L1195" s="18"/>
      <c r="M1195" s="17"/>
      <c r="N1195" s="18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</row>
    <row r="1196" spans="1:30" ht="15.6" x14ac:dyDescent="0.3">
      <c r="A1196" s="17"/>
      <c r="B1196" s="17"/>
      <c r="C1196" s="17"/>
      <c r="D1196" s="17"/>
      <c r="E1196" s="17"/>
      <c r="F1196" s="17"/>
      <c r="G1196" s="17"/>
      <c r="H1196" s="18"/>
      <c r="I1196" s="17"/>
      <c r="J1196" s="17"/>
      <c r="K1196" s="17"/>
      <c r="L1196" s="18"/>
      <c r="M1196" s="17"/>
      <c r="N1196" s="18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</row>
    <row r="1197" spans="1:30" ht="15.6" x14ac:dyDescent="0.3">
      <c r="A1197" s="17"/>
      <c r="B1197" s="17"/>
      <c r="C1197" s="17"/>
      <c r="D1197" s="17"/>
      <c r="E1197" s="17"/>
      <c r="F1197" s="17"/>
      <c r="G1197" s="17"/>
      <c r="H1197" s="18"/>
      <c r="I1197" s="17"/>
      <c r="J1197" s="17"/>
      <c r="K1197" s="17"/>
      <c r="L1197" s="18"/>
      <c r="M1197" s="17"/>
      <c r="N1197" s="18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</row>
    <row r="1198" spans="1:30" ht="15.6" x14ac:dyDescent="0.3">
      <c r="A1198" s="17"/>
      <c r="B1198" s="17"/>
      <c r="C1198" s="17"/>
      <c r="D1198" s="17"/>
      <c r="E1198" s="17"/>
      <c r="F1198" s="17"/>
      <c r="G1198" s="17"/>
      <c r="H1198" s="18"/>
      <c r="I1198" s="17"/>
      <c r="J1198" s="17"/>
      <c r="K1198" s="17"/>
      <c r="L1198" s="18"/>
      <c r="M1198" s="17"/>
      <c r="N1198" s="18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</row>
    <row r="1199" spans="1:30" ht="15.6" x14ac:dyDescent="0.3">
      <c r="A1199" s="17"/>
      <c r="B1199" s="17"/>
      <c r="C1199" s="17"/>
      <c r="D1199" s="17"/>
      <c r="E1199" s="17"/>
      <c r="F1199" s="17"/>
      <c r="G1199" s="17"/>
      <c r="H1199" s="18"/>
      <c r="I1199" s="17"/>
      <c r="J1199" s="17"/>
      <c r="K1199" s="17"/>
      <c r="L1199" s="18"/>
      <c r="M1199" s="17"/>
      <c r="N1199" s="18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</row>
    <row r="1200" spans="1:30" ht="15.6" x14ac:dyDescent="0.3">
      <c r="A1200" s="17"/>
      <c r="B1200" s="17"/>
      <c r="C1200" s="17"/>
      <c r="D1200" s="17"/>
      <c r="E1200" s="17"/>
      <c r="F1200" s="17"/>
      <c r="G1200" s="17"/>
      <c r="H1200" s="18"/>
      <c r="I1200" s="17"/>
      <c r="J1200" s="17"/>
      <c r="K1200" s="17"/>
      <c r="L1200" s="18"/>
      <c r="M1200" s="17"/>
      <c r="N1200" s="18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</row>
    <row r="1201" spans="1:30" ht="15.6" x14ac:dyDescent="0.3">
      <c r="A1201" s="17"/>
      <c r="B1201" s="17"/>
      <c r="C1201" s="17"/>
      <c r="D1201" s="17"/>
      <c r="E1201" s="17"/>
      <c r="F1201" s="17"/>
      <c r="G1201" s="17"/>
      <c r="H1201" s="18"/>
      <c r="I1201" s="17"/>
      <c r="J1201" s="17"/>
      <c r="K1201" s="17"/>
      <c r="L1201" s="18"/>
      <c r="M1201" s="17"/>
      <c r="N1201" s="18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</row>
    <row r="1202" spans="1:30" ht="15.6" x14ac:dyDescent="0.3">
      <c r="A1202" s="17"/>
      <c r="B1202" s="17"/>
      <c r="C1202" s="17"/>
      <c r="D1202" s="17"/>
      <c r="E1202" s="17"/>
      <c r="F1202" s="17"/>
      <c r="G1202" s="17"/>
      <c r="H1202" s="18"/>
      <c r="I1202" s="17"/>
      <c r="J1202" s="17"/>
      <c r="K1202" s="17"/>
      <c r="L1202" s="18"/>
      <c r="M1202" s="17"/>
      <c r="N1202" s="18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</row>
    <row r="1203" spans="1:30" ht="15.6" x14ac:dyDescent="0.3">
      <c r="A1203" s="17"/>
      <c r="B1203" s="17"/>
      <c r="C1203" s="17"/>
      <c r="D1203" s="17"/>
      <c r="E1203" s="17"/>
      <c r="F1203" s="17"/>
      <c r="G1203" s="17"/>
      <c r="H1203" s="18"/>
      <c r="I1203" s="17"/>
      <c r="J1203" s="17"/>
      <c r="K1203" s="17"/>
      <c r="L1203" s="18"/>
      <c r="M1203" s="17"/>
      <c r="N1203" s="18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</row>
    <row r="1204" spans="1:30" ht="15.6" x14ac:dyDescent="0.3">
      <c r="A1204" s="17"/>
      <c r="B1204" s="17"/>
      <c r="C1204" s="17"/>
      <c r="D1204" s="17"/>
      <c r="E1204" s="17"/>
      <c r="F1204" s="17"/>
      <c r="G1204" s="17"/>
      <c r="H1204" s="18"/>
      <c r="I1204" s="17"/>
      <c r="J1204" s="17"/>
      <c r="K1204" s="17"/>
      <c r="L1204" s="18"/>
      <c r="M1204" s="17"/>
      <c r="N1204" s="18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</row>
    <row r="1205" spans="1:30" ht="15.6" x14ac:dyDescent="0.3">
      <c r="A1205" s="17"/>
      <c r="B1205" s="17"/>
      <c r="C1205" s="17"/>
      <c r="D1205" s="17"/>
      <c r="E1205" s="17"/>
      <c r="F1205" s="17"/>
      <c r="G1205" s="17"/>
      <c r="H1205" s="18"/>
      <c r="I1205" s="17"/>
      <c r="J1205" s="17"/>
      <c r="K1205" s="17"/>
      <c r="L1205" s="18"/>
      <c r="M1205" s="17"/>
      <c r="N1205" s="18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 spans="1:30" ht="15.6" x14ac:dyDescent="0.3">
      <c r="A1206" s="17"/>
      <c r="B1206" s="17"/>
      <c r="C1206" s="17"/>
      <c r="D1206" s="17"/>
      <c r="E1206" s="17"/>
      <c r="F1206" s="17"/>
      <c r="G1206" s="17"/>
      <c r="H1206" s="18"/>
      <c r="I1206" s="17"/>
      <c r="J1206" s="17"/>
      <c r="K1206" s="17"/>
      <c r="L1206" s="18"/>
      <c r="M1206" s="17"/>
      <c r="N1206" s="18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</row>
    <row r="1207" spans="1:30" ht="15.6" x14ac:dyDescent="0.3">
      <c r="A1207" s="17"/>
      <c r="B1207" s="17"/>
      <c r="C1207" s="17"/>
      <c r="D1207" s="17"/>
      <c r="E1207" s="17"/>
      <c r="F1207" s="17"/>
      <c r="G1207" s="17"/>
      <c r="H1207" s="18"/>
      <c r="I1207" s="17"/>
      <c r="J1207" s="17"/>
      <c r="K1207" s="17"/>
      <c r="L1207" s="18"/>
      <c r="M1207" s="17"/>
      <c r="N1207" s="18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</row>
    <row r="1208" spans="1:30" ht="15.6" x14ac:dyDescent="0.3">
      <c r="A1208" s="17"/>
      <c r="B1208" s="17"/>
      <c r="C1208" s="17"/>
      <c r="D1208" s="17"/>
      <c r="E1208" s="17"/>
      <c r="F1208" s="17"/>
      <c r="G1208" s="17"/>
      <c r="H1208" s="18"/>
      <c r="I1208" s="17"/>
      <c r="J1208" s="17"/>
      <c r="K1208" s="17"/>
      <c r="L1208" s="18"/>
      <c r="M1208" s="17"/>
      <c r="N1208" s="18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</row>
    <row r="1209" spans="1:30" ht="15.6" x14ac:dyDescent="0.3">
      <c r="A1209" s="17"/>
      <c r="B1209" s="17"/>
      <c r="C1209" s="17"/>
      <c r="D1209" s="17"/>
      <c r="E1209" s="17"/>
      <c r="F1209" s="17"/>
      <c r="G1209" s="17"/>
      <c r="H1209" s="18"/>
      <c r="I1209" s="17"/>
      <c r="J1209" s="17"/>
      <c r="K1209" s="17"/>
      <c r="L1209" s="18"/>
      <c r="M1209" s="17"/>
      <c r="N1209" s="18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</row>
    <row r="1210" spans="1:30" ht="15.6" x14ac:dyDescent="0.3">
      <c r="A1210" s="17"/>
      <c r="B1210" s="17"/>
      <c r="C1210" s="17"/>
      <c r="D1210" s="17"/>
      <c r="E1210" s="17"/>
      <c r="F1210" s="17"/>
      <c r="G1210" s="17"/>
      <c r="H1210" s="18"/>
      <c r="I1210" s="17"/>
      <c r="J1210" s="17"/>
      <c r="K1210" s="17"/>
      <c r="L1210" s="18"/>
      <c r="M1210" s="17"/>
      <c r="N1210" s="18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</row>
    <row r="1211" spans="1:30" ht="15.6" x14ac:dyDescent="0.3">
      <c r="A1211" s="17"/>
      <c r="B1211" s="17"/>
      <c r="C1211" s="17"/>
      <c r="D1211" s="17"/>
      <c r="E1211" s="17"/>
      <c r="F1211" s="17"/>
      <c r="G1211" s="17"/>
      <c r="H1211" s="18"/>
      <c r="I1211" s="17"/>
      <c r="J1211" s="17"/>
      <c r="K1211" s="17"/>
      <c r="L1211" s="18"/>
      <c r="M1211" s="17"/>
      <c r="N1211" s="18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</row>
    <row r="1212" spans="1:30" ht="15.6" x14ac:dyDescent="0.3">
      <c r="A1212" s="17"/>
      <c r="B1212" s="17"/>
      <c r="C1212" s="17"/>
      <c r="D1212" s="17"/>
      <c r="E1212" s="17"/>
      <c r="F1212" s="17"/>
      <c r="G1212" s="17"/>
      <c r="H1212" s="18"/>
      <c r="I1212" s="17"/>
      <c r="J1212" s="17"/>
      <c r="K1212" s="17"/>
      <c r="L1212" s="18"/>
      <c r="M1212" s="17"/>
      <c r="N1212" s="18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</row>
    <row r="1213" spans="1:30" ht="15.6" x14ac:dyDescent="0.3">
      <c r="A1213" s="17"/>
      <c r="B1213" s="17"/>
      <c r="C1213" s="17"/>
      <c r="D1213" s="17"/>
      <c r="E1213" s="17"/>
      <c r="F1213" s="17"/>
      <c r="G1213" s="17"/>
      <c r="H1213" s="18"/>
      <c r="I1213" s="17"/>
      <c r="J1213" s="17"/>
      <c r="K1213" s="17"/>
      <c r="L1213" s="18"/>
      <c r="M1213" s="17"/>
      <c r="N1213" s="18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</row>
    <row r="1214" spans="1:30" ht="15.6" x14ac:dyDescent="0.3">
      <c r="A1214" s="17"/>
      <c r="B1214" s="17"/>
      <c r="C1214" s="17"/>
      <c r="D1214" s="17"/>
      <c r="E1214" s="17"/>
      <c r="F1214" s="17"/>
      <c r="G1214" s="17"/>
      <c r="H1214" s="18"/>
      <c r="I1214" s="17"/>
      <c r="J1214" s="17"/>
      <c r="K1214" s="17"/>
      <c r="L1214" s="18"/>
      <c r="M1214" s="17"/>
      <c r="N1214" s="18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</row>
    <row r="1215" spans="1:30" ht="15.6" x14ac:dyDescent="0.3">
      <c r="A1215" s="17"/>
      <c r="B1215" s="17"/>
      <c r="C1215" s="17"/>
      <c r="D1215" s="17"/>
      <c r="E1215" s="17"/>
      <c r="F1215" s="17"/>
      <c r="G1215" s="17"/>
      <c r="H1215" s="18"/>
      <c r="I1215" s="17"/>
      <c r="J1215" s="17"/>
      <c r="K1215" s="17"/>
      <c r="L1215" s="18"/>
      <c r="M1215" s="17"/>
      <c r="N1215" s="18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</row>
    <row r="1216" spans="1:30" ht="15.6" x14ac:dyDescent="0.3">
      <c r="A1216" s="17"/>
      <c r="B1216" s="17"/>
      <c r="C1216" s="17"/>
      <c r="D1216" s="17"/>
      <c r="E1216" s="17"/>
      <c r="F1216" s="17"/>
      <c r="G1216" s="17"/>
      <c r="H1216" s="18"/>
      <c r="I1216" s="17"/>
      <c r="J1216" s="17"/>
      <c r="K1216" s="17"/>
      <c r="L1216" s="18"/>
      <c r="M1216" s="17"/>
      <c r="N1216" s="18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</row>
    <row r="1217" spans="1:30" ht="15.6" x14ac:dyDescent="0.3">
      <c r="A1217" s="17"/>
      <c r="B1217" s="17"/>
      <c r="C1217" s="17"/>
      <c r="D1217" s="17"/>
      <c r="E1217" s="17"/>
      <c r="F1217" s="17"/>
      <c r="G1217" s="17"/>
      <c r="H1217" s="18"/>
      <c r="I1217" s="17"/>
      <c r="J1217" s="17"/>
      <c r="K1217" s="17"/>
      <c r="L1217" s="18"/>
      <c r="M1217" s="17"/>
      <c r="N1217" s="18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</row>
    <row r="1218" spans="1:30" ht="15.6" x14ac:dyDescent="0.3">
      <c r="A1218" s="17"/>
      <c r="B1218" s="17"/>
      <c r="C1218" s="17"/>
      <c r="D1218" s="17"/>
      <c r="E1218" s="17"/>
      <c r="F1218" s="17"/>
      <c r="G1218" s="17"/>
      <c r="H1218" s="18"/>
      <c r="I1218" s="17"/>
      <c r="J1218" s="17"/>
      <c r="K1218" s="17"/>
      <c r="L1218" s="18"/>
      <c r="M1218" s="17"/>
      <c r="N1218" s="18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</row>
    <row r="1219" spans="1:30" ht="15.6" x14ac:dyDescent="0.3">
      <c r="A1219" s="17"/>
      <c r="B1219" s="17"/>
      <c r="C1219" s="17"/>
      <c r="D1219" s="17"/>
      <c r="E1219" s="17"/>
      <c r="F1219" s="17"/>
      <c r="G1219" s="17"/>
      <c r="H1219" s="18"/>
      <c r="I1219" s="17"/>
      <c r="J1219" s="17"/>
      <c r="K1219" s="17"/>
      <c r="L1219" s="18"/>
      <c r="M1219" s="17"/>
      <c r="N1219" s="18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</row>
    <row r="1220" spans="1:30" ht="15.6" x14ac:dyDescent="0.3">
      <c r="A1220" s="17"/>
      <c r="B1220" s="17"/>
      <c r="C1220" s="17"/>
      <c r="D1220" s="17"/>
      <c r="E1220" s="17"/>
      <c r="F1220" s="17"/>
      <c r="G1220" s="17"/>
      <c r="H1220" s="18"/>
      <c r="I1220" s="17"/>
      <c r="J1220" s="17"/>
      <c r="K1220" s="17"/>
      <c r="L1220" s="18"/>
      <c r="M1220" s="17"/>
      <c r="N1220" s="18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</row>
    <row r="1221" spans="1:30" ht="15.6" x14ac:dyDescent="0.3">
      <c r="A1221" s="17"/>
      <c r="B1221" s="17"/>
      <c r="C1221" s="17"/>
      <c r="D1221" s="17"/>
      <c r="E1221" s="17"/>
      <c r="F1221" s="17"/>
      <c r="G1221" s="17"/>
      <c r="H1221" s="18"/>
      <c r="I1221" s="17"/>
      <c r="J1221" s="17"/>
      <c r="K1221" s="17"/>
      <c r="L1221" s="18"/>
      <c r="M1221" s="17"/>
      <c r="N1221" s="18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</row>
    <row r="1222" spans="1:30" ht="15.6" x14ac:dyDescent="0.3">
      <c r="A1222" s="17"/>
      <c r="B1222" s="17"/>
      <c r="C1222" s="17"/>
      <c r="D1222" s="17"/>
      <c r="E1222" s="17"/>
      <c r="F1222" s="17"/>
      <c r="G1222" s="17"/>
      <c r="H1222" s="18"/>
      <c r="I1222" s="17"/>
      <c r="J1222" s="17"/>
      <c r="K1222" s="17"/>
      <c r="L1222" s="18"/>
      <c r="M1222" s="17"/>
      <c r="N1222" s="18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</row>
    <row r="1223" spans="1:30" ht="15.6" x14ac:dyDescent="0.3">
      <c r="A1223" s="17"/>
      <c r="B1223" s="17"/>
      <c r="C1223" s="17"/>
      <c r="D1223" s="17"/>
      <c r="E1223" s="17"/>
      <c r="F1223" s="17"/>
      <c r="G1223" s="17"/>
      <c r="H1223" s="18"/>
      <c r="I1223" s="17"/>
      <c r="J1223" s="17"/>
      <c r="K1223" s="17"/>
      <c r="L1223" s="18"/>
      <c r="M1223" s="17"/>
      <c r="N1223" s="18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</row>
    <row r="1224" spans="1:30" ht="15.6" x14ac:dyDescent="0.3">
      <c r="A1224" s="17"/>
      <c r="B1224" s="17"/>
      <c r="C1224" s="17"/>
      <c r="D1224" s="17"/>
      <c r="E1224" s="17"/>
      <c r="F1224" s="17"/>
      <c r="G1224" s="17"/>
      <c r="H1224" s="18"/>
      <c r="I1224" s="17"/>
      <c r="J1224" s="17"/>
      <c r="K1224" s="17"/>
      <c r="L1224" s="18"/>
      <c r="M1224" s="17"/>
      <c r="N1224" s="18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</row>
    <row r="1225" spans="1:30" ht="15.6" x14ac:dyDescent="0.3">
      <c r="A1225" s="17"/>
      <c r="B1225" s="17"/>
      <c r="C1225" s="17"/>
      <c r="D1225" s="17"/>
      <c r="E1225" s="17"/>
      <c r="F1225" s="17"/>
      <c r="G1225" s="17"/>
      <c r="H1225" s="18"/>
      <c r="I1225" s="17"/>
      <c r="J1225" s="17"/>
      <c r="K1225" s="17"/>
      <c r="L1225" s="18"/>
      <c r="M1225" s="17"/>
      <c r="N1225" s="18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</row>
    <row r="1226" spans="1:30" ht="15.6" x14ac:dyDescent="0.3">
      <c r="A1226" s="17"/>
      <c r="B1226" s="17"/>
      <c r="C1226" s="17"/>
      <c r="D1226" s="17"/>
      <c r="E1226" s="17"/>
      <c r="F1226" s="17"/>
      <c r="G1226" s="17"/>
      <c r="H1226" s="18"/>
      <c r="I1226" s="17"/>
      <c r="J1226" s="17"/>
      <c r="K1226" s="17"/>
      <c r="L1226" s="18"/>
      <c r="M1226" s="17"/>
      <c r="N1226" s="18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</row>
    <row r="1227" spans="1:30" ht="15.6" x14ac:dyDescent="0.3">
      <c r="A1227" s="17"/>
      <c r="B1227" s="17"/>
      <c r="C1227" s="17"/>
      <c r="D1227" s="17"/>
      <c r="E1227" s="17"/>
      <c r="F1227" s="17"/>
      <c r="G1227" s="17"/>
      <c r="H1227" s="18"/>
      <c r="I1227" s="17"/>
      <c r="J1227" s="17"/>
      <c r="K1227" s="17"/>
      <c r="L1227" s="18"/>
      <c r="M1227" s="17"/>
      <c r="N1227" s="18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</row>
    <row r="1228" spans="1:30" ht="15.6" x14ac:dyDescent="0.3">
      <c r="A1228" s="17"/>
      <c r="B1228" s="17"/>
      <c r="C1228" s="17"/>
      <c r="D1228" s="17"/>
      <c r="E1228" s="17"/>
      <c r="F1228" s="17"/>
      <c r="G1228" s="17"/>
      <c r="H1228" s="18"/>
      <c r="I1228" s="17"/>
      <c r="J1228" s="17"/>
      <c r="K1228" s="17"/>
      <c r="L1228" s="18"/>
      <c r="M1228" s="17"/>
      <c r="N1228" s="18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</row>
    <row r="1229" spans="1:30" ht="15.6" x14ac:dyDescent="0.3">
      <c r="A1229" s="17"/>
      <c r="B1229" s="17"/>
      <c r="C1229" s="17"/>
      <c r="D1229" s="17"/>
      <c r="E1229" s="17"/>
      <c r="F1229" s="17"/>
      <c r="G1229" s="17"/>
      <c r="H1229" s="18"/>
      <c r="I1229" s="17"/>
      <c r="J1229" s="17"/>
      <c r="K1229" s="17"/>
      <c r="L1229" s="18"/>
      <c r="M1229" s="17"/>
      <c r="N1229" s="18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</row>
    <row r="1230" spans="1:30" ht="15.6" x14ac:dyDescent="0.3">
      <c r="A1230" s="17"/>
      <c r="B1230" s="17"/>
      <c r="C1230" s="17"/>
      <c r="D1230" s="17"/>
      <c r="E1230" s="17"/>
      <c r="F1230" s="17"/>
      <c r="G1230" s="17"/>
      <c r="H1230" s="18"/>
      <c r="I1230" s="17"/>
      <c r="J1230" s="17"/>
      <c r="K1230" s="17"/>
      <c r="L1230" s="18"/>
      <c r="M1230" s="17"/>
      <c r="N1230" s="18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</row>
    <row r="1231" spans="1:30" ht="15.6" x14ac:dyDescent="0.3">
      <c r="A1231" s="17"/>
      <c r="B1231" s="17"/>
      <c r="C1231" s="17"/>
      <c r="D1231" s="17"/>
      <c r="E1231" s="17"/>
      <c r="F1231" s="17"/>
      <c r="G1231" s="17"/>
      <c r="H1231" s="18"/>
      <c r="I1231" s="17"/>
      <c r="J1231" s="17"/>
      <c r="K1231" s="17"/>
      <c r="L1231" s="18"/>
      <c r="M1231" s="17"/>
      <c r="N1231" s="18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</row>
    <row r="1232" spans="1:30" ht="15.6" x14ac:dyDescent="0.3">
      <c r="A1232" s="17"/>
      <c r="B1232" s="17"/>
      <c r="C1232" s="17"/>
      <c r="D1232" s="17"/>
      <c r="E1232" s="17"/>
      <c r="F1232" s="17"/>
      <c r="G1232" s="17"/>
      <c r="H1232" s="18"/>
      <c r="I1232" s="17"/>
      <c r="J1232" s="17"/>
      <c r="K1232" s="17"/>
      <c r="L1232" s="18"/>
      <c r="M1232" s="17"/>
      <c r="N1232" s="18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</row>
    <row r="1233" spans="1:30" ht="15.6" x14ac:dyDescent="0.3">
      <c r="A1233" s="17"/>
      <c r="B1233" s="17"/>
      <c r="C1233" s="17"/>
      <c r="D1233" s="17"/>
      <c r="E1233" s="17"/>
      <c r="F1233" s="17"/>
      <c r="G1233" s="17"/>
      <c r="H1233" s="18"/>
      <c r="I1233" s="17"/>
      <c r="J1233" s="17"/>
      <c r="K1233" s="17"/>
      <c r="L1233" s="18"/>
      <c r="M1233" s="17"/>
      <c r="N1233" s="18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</row>
    <row r="1234" spans="1:30" ht="15.6" x14ac:dyDescent="0.3">
      <c r="A1234" s="17"/>
      <c r="B1234" s="17"/>
      <c r="C1234" s="17"/>
      <c r="D1234" s="17"/>
      <c r="E1234" s="17"/>
      <c r="F1234" s="17"/>
      <c r="G1234" s="17"/>
      <c r="H1234" s="18"/>
      <c r="I1234" s="17"/>
      <c r="J1234" s="17"/>
      <c r="K1234" s="17"/>
      <c r="L1234" s="18"/>
      <c r="M1234" s="17"/>
      <c r="N1234" s="18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</row>
    <row r="1235" spans="1:30" ht="15.6" x14ac:dyDescent="0.3">
      <c r="A1235" s="17"/>
      <c r="B1235" s="17"/>
      <c r="C1235" s="17"/>
      <c r="D1235" s="17"/>
      <c r="E1235" s="17"/>
      <c r="F1235" s="17"/>
      <c r="G1235" s="17"/>
      <c r="H1235" s="18"/>
      <c r="I1235" s="17"/>
      <c r="J1235" s="17"/>
      <c r="K1235" s="17"/>
      <c r="L1235" s="18"/>
      <c r="M1235" s="17"/>
      <c r="N1235" s="18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</row>
    <row r="1236" spans="1:30" ht="15.6" x14ac:dyDescent="0.3">
      <c r="A1236" s="17"/>
      <c r="B1236" s="17"/>
      <c r="C1236" s="17"/>
      <c r="D1236" s="17"/>
      <c r="E1236" s="17"/>
      <c r="F1236" s="17"/>
      <c r="G1236" s="17"/>
      <c r="H1236" s="18"/>
      <c r="I1236" s="17"/>
      <c r="J1236" s="17"/>
      <c r="K1236" s="17"/>
      <c r="L1236" s="18"/>
      <c r="M1236" s="17"/>
      <c r="N1236" s="18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</row>
    <row r="1237" spans="1:30" ht="15.6" x14ac:dyDescent="0.3">
      <c r="A1237" s="17"/>
      <c r="B1237" s="17"/>
      <c r="C1237" s="17"/>
      <c r="D1237" s="17"/>
      <c r="E1237" s="17"/>
      <c r="F1237" s="17"/>
      <c r="G1237" s="17"/>
      <c r="H1237" s="18"/>
      <c r="I1237" s="17"/>
      <c r="J1237" s="17"/>
      <c r="K1237" s="17"/>
      <c r="L1237" s="18"/>
      <c r="M1237" s="17"/>
      <c r="N1237" s="18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</row>
    <row r="1238" spans="1:30" ht="15.6" x14ac:dyDescent="0.3">
      <c r="A1238" s="17"/>
      <c r="B1238" s="17"/>
      <c r="C1238" s="17"/>
      <c r="D1238" s="17"/>
      <c r="E1238" s="17"/>
      <c r="F1238" s="17"/>
      <c r="G1238" s="17"/>
      <c r="H1238" s="18"/>
      <c r="I1238" s="17"/>
      <c r="J1238" s="17"/>
      <c r="K1238" s="17"/>
      <c r="L1238" s="18"/>
      <c r="M1238" s="17"/>
      <c r="N1238" s="18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</row>
    <row r="1239" spans="1:30" ht="15.6" x14ac:dyDescent="0.3">
      <c r="A1239" s="17"/>
      <c r="B1239" s="17"/>
      <c r="C1239" s="17"/>
      <c r="D1239" s="17"/>
      <c r="E1239" s="17"/>
      <c r="F1239" s="17"/>
      <c r="G1239" s="17"/>
      <c r="H1239" s="18"/>
      <c r="I1239" s="17"/>
      <c r="J1239" s="17"/>
      <c r="K1239" s="17"/>
      <c r="L1239" s="18"/>
      <c r="M1239" s="17"/>
      <c r="N1239" s="18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</row>
    <row r="1240" spans="1:30" ht="15.6" x14ac:dyDescent="0.3">
      <c r="A1240" s="17"/>
      <c r="B1240" s="17"/>
      <c r="C1240" s="17"/>
      <c r="D1240" s="17"/>
      <c r="E1240" s="17"/>
      <c r="F1240" s="17"/>
      <c r="G1240" s="17"/>
      <c r="H1240" s="18"/>
      <c r="I1240" s="17"/>
      <c r="J1240" s="17"/>
      <c r="K1240" s="17"/>
      <c r="L1240" s="18"/>
      <c r="M1240" s="17"/>
      <c r="N1240" s="18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</row>
    <row r="1241" spans="1:30" ht="15.6" x14ac:dyDescent="0.3">
      <c r="A1241" s="17"/>
      <c r="B1241" s="17"/>
      <c r="C1241" s="17"/>
      <c r="D1241" s="17"/>
      <c r="E1241" s="17"/>
      <c r="F1241" s="17"/>
      <c r="G1241" s="17"/>
      <c r="H1241" s="18"/>
      <c r="I1241" s="17"/>
      <c r="J1241" s="17"/>
      <c r="K1241" s="17"/>
      <c r="L1241" s="18"/>
      <c r="M1241" s="17"/>
      <c r="N1241" s="18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</row>
    <row r="1242" spans="1:30" ht="15.6" x14ac:dyDescent="0.3">
      <c r="A1242" s="17"/>
      <c r="B1242" s="17"/>
      <c r="C1242" s="17"/>
      <c r="D1242" s="17"/>
      <c r="E1242" s="17"/>
      <c r="F1242" s="17"/>
      <c r="G1242" s="17"/>
      <c r="H1242" s="18"/>
      <c r="I1242" s="17"/>
      <c r="J1242" s="17"/>
      <c r="K1242" s="17"/>
      <c r="L1242" s="18"/>
      <c r="M1242" s="17"/>
      <c r="N1242" s="18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</row>
    <row r="1243" spans="1:30" ht="15.6" x14ac:dyDescent="0.3">
      <c r="A1243" s="17"/>
      <c r="B1243" s="17"/>
      <c r="C1243" s="17"/>
      <c r="D1243" s="17"/>
      <c r="E1243" s="17"/>
      <c r="F1243" s="17"/>
      <c r="G1243" s="17"/>
      <c r="H1243" s="18"/>
      <c r="I1243" s="17"/>
      <c r="J1243" s="17"/>
      <c r="K1243" s="17"/>
      <c r="L1243" s="18"/>
      <c r="M1243" s="17"/>
      <c r="N1243" s="18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</row>
    <row r="1244" spans="1:30" ht="15.6" x14ac:dyDescent="0.3">
      <c r="A1244" s="17"/>
      <c r="B1244" s="17"/>
      <c r="C1244" s="17"/>
      <c r="D1244" s="17"/>
      <c r="E1244" s="17"/>
      <c r="F1244" s="17"/>
      <c r="G1244" s="17"/>
      <c r="H1244" s="18"/>
      <c r="I1244" s="17"/>
      <c r="J1244" s="17"/>
      <c r="K1244" s="17"/>
      <c r="L1244" s="18"/>
      <c r="M1244" s="17"/>
      <c r="N1244" s="18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</row>
    <row r="1245" spans="1:30" ht="15.6" x14ac:dyDescent="0.3">
      <c r="A1245" s="17"/>
      <c r="B1245" s="17"/>
      <c r="C1245" s="17"/>
      <c r="D1245" s="17"/>
      <c r="E1245" s="17"/>
      <c r="F1245" s="17"/>
      <c r="G1245" s="17"/>
      <c r="H1245" s="18"/>
      <c r="I1245" s="17"/>
      <c r="J1245" s="17"/>
      <c r="K1245" s="17"/>
      <c r="L1245" s="18"/>
      <c r="M1245" s="17"/>
      <c r="N1245" s="18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</row>
    <row r="1246" spans="1:30" ht="15.6" x14ac:dyDescent="0.3">
      <c r="A1246" s="17"/>
      <c r="B1246" s="17"/>
      <c r="C1246" s="17"/>
      <c r="D1246" s="17"/>
      <c r="E1246" s="17"/>
      <c r="F1246" s="17"/>
      <c r="G1246" s="17"/>
      <c r="H1246" s="18"/>
      <c r="I1246" s="17"/>
      <c r="J1246" s="17"/>
      <c r="K1246" s="17"/>
      <c r="L1246" s="18"/>
      <c r="M1246" s="17"/>
      <c r="N1246" s="18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</row>
    <row r="1247" spans="1:30" ht="15.6" x14ac:dyDescent="0.3">
      <c r="A1247" s="17"/>
      <c r="B1247" s="17"/>
      <c r="C1247" s="17"/>
      <c r="D1247" s="17"/>
      <c r="E1247" s="17"/>
      <c r="F1247" s="17"/>
      <c r="G1247" s="17"/>
      <c r="H1247" s="18"/>
      <c r="I1247" s="17"/>
      <c r="J1247" s="17"/>
      <c r="K1247" s="17"/>
      <c r="L1247" s="18"/>
      <c r="M1247" s="17"/>
      <c r="N1247" s="18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</row>
    <row r="1248" spans="1:30" ht="15.6" x14ac:dyDescent="0.3">
      <c r="A1248" s="17"/>
      <c r="B1248" s="17"/>
      <c r="C1248" s="17"/>
      <c r="D1248" s="17"/>
      <c r="E1248" s="17"/>
      <c r="F1248" s="17"/>
      <c r="G1248" s="17"/>
      <c r="H1248" s="18"/>
      <c r="I1248" s="17"/>
      <c r="J1248" s="17"/>
      <c r="K1248" s="17"/>
      <c r="L1248" s="18"/>
      <c r="M1248" s="17"/>
      <c r="N1248" s="18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</row>
    <row r="1249" spans="1:30" ht="15.6" x14ac:dyDescent="0.3">
      <c r="A1249" s="17"/>
      <c r="B1249" s="17"/>
      <c r="C1249" s="17"/>
      <c r="D1249" s="17"/>
      <c r="E1249" s="17"/>
      <c r="F1249" s="17"/>
      <c r="G1249" s="17"/>
      <c r="H1249" s="18"/>
      <c r="I1249" s="17"/>
      <c r="J1249" s="17"/>
      <c r="K1249" s="17"/>
      <c r="L1249" s="18"/>
      <c r="M1249" s="17"/>
      <c r="N1249" s="18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</row>
    <row r="1250" spans="1:30" ht="15.6" x14ac:dyDescent="0.3">
      <c r="A1250" s="17"/>
      <c r="B1250" s="17"/>
      <c r="C1250" s="17"/>
      <c r="D1250" s="17"/>
      <c r="E1250" s="17"/>
      <c r="F1250" s="17"/>
      <c r="G1250" s="17"/>
      <c r="H1250" s="18"/>
      <c r="I1250" s="17"/>
      <c r="J1250" s="17"/>
      <c r="K1250" s="17"/>
      <c r="L1250" s="18"/>
      <c r="M1250" s="17"/>
      <c r="N1250" s="18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</row>
    <row r="1251" spans="1:30" ht="15.6" x14ac:dyDescent="0.3">
      <c r="A1251" s="17"/>
      <c r="B1251" s="17"/>
      <c r="C1251" s="17"/>
      <c r="D1251" s="17"/>
      <c r="E1251" s="17"/>
      <c r="F1251" s="17"/>
      <c r="G1251" s="17"/>
      <c r="H1251" s="18"/>
      <c r="I1251" s="17"/>
      <c r="J1251" s="17"/>
      <c r="K1251" s="17"/>
      <c r="L1251" s="18"/>
      <c r="M1251" s="17"/>
      <c r="N1251" s="18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</row>
    <row r="1252" spans="1:30" ht="15.6" x14ac:dyDescent="0.3">
      <c r="A1252" s="17"/>
      <c r="B1252" s="17"/>
      <c r="C1252" s="17"/>
      <c r="D1252" s="17"/>
      <c r="E1252" s="17"/>
      <c r="F1252" s="17"/>
      <c r="G1252" s="17"/>
      <c r="H1252" s="18"/>
      <c r="I1252" s="17"/>
      <c r="J1252" s="17"/>
      <c r="K1252" s="17"/>
      <c r="L1252" s="18"/>
      <c r="M1252" s="17"/>
      <c r="N1252" s="18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</row>
    <row r="1253" spans="1:30" ht="15.6" x14ac:dyDescent="0.3">
      <c r="A1253" s="17"/>
      <c r="B1253" s="17"/>
      <c r="C1253" s="17"/>
      <c r="D1253" s="17"/>
      <c r="E1253" s="17"/>
      <c r="F1253" s="17"/>
      <c r="G1253" s="17"/>
      <c r="H1253" s="18"/>
      <c r="I1253" s="17"/>
      <c r="J1253" s="17"/>
      <c r="K1253" s="17"/>
      <c r="L1253" s="18"/>
      <c r="M1253" s="17"/>
      <c r="N1253" s="18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</row>
    <row r="1254" spans="1:30" ht="15.6" x14ac:dyDescent="0.3">
      <c r="A1254" s="17"/>
      <c r="B1254" s="17"/>
      <c r="C1254" s="17"/>
      <c r="D1254" s="17"/>
      <c r="E1254" s="17"/>
      <c r="F1254" s="17"/>
      <c r="G1254" s="17"/>
      <c r="H1254" s="18"/>
      <c r="I1254" s="17"/>
      <c r="J1254" s="17"/>
      <c r="K1254" s="17"/>
      <c r="L1254" s="18"/>
      <c r="M1254" s="17"/>
      <c r="N1254" s="18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</row>
    <row r="1255" spans="1:30" ht="15.6" x14ac:dyDescent="0.3">
      <c r="A1255" s="17"/>
      <c r="B1255" s="17"/>
      <c r="C1255" s="17"/>
      <c r="D1255" s="17"/>
      <c r="E1255" s="17"/>
      <c r="F1255" s="17"/>
      <c r="G1255" s="17"/>
      <c r="H1255" s="18"/>
      <c r="I1255" s="17"/>
      <c r="J1255" s="17"/>
      <c r="K1255" s="17"/>
      <c r="L1255" s="18"/>
      <c r="M1255" s="17"/>
      <c r="N1255" s="18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</row>
    <row r="1256" spans="1:30" ht="15.6" x14ac:dyDescent="0.3">
      <c r="A1256" s="17"/>
      <c r="B1256" s="17"/>
      <c r="C1256" s="17"/>
      <c r="D1256" s="17"/>
      <c r="E1256" s="17"/>
      <c r="F1256" s="17"/>
      <c r="G1256" s="17"/>
      <c r="H1256" s="18"/>
      <c r="I1256" s="17"/>
      <c r="J1256" s="17"/>
      <c r="K1256" s="17"/>
      <c r="L1256" s="18"/>
      <c r="M1256" s="17"/>
      <c r="N1256" s="18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</row>
    <row r="1257" spans="1:30" ht="15.6" x14ac:dyDescent="0.3">
      <c r="A1257" s="17"/>
      <c r="B1257" s="17"/>
      <c r="C1257" s="17"/>
      <c r="D1257" s="17"/>
      <c r="E1257" s="17"/>
      <c r="F1257" s="17"/>
      <c r="G1257" s="17"/>
      <c r="H1257" s="18"/>
      <c r="I1257" s="17"/>
      <c r="J1257" s="17"/>
      <c r="K1257" s="17"/>
      <c r="L1257" s="18"/>
      <c r="M1257" s="17"/>
      <c r="N1257" s="18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</row>
    <row r="1258" spans="1:30" ht="15.6" x14ac:dyDescent="0.3">
      <c r="A1258" s="17"/>
      <c r="B1258" s="17"/>
      <c r="C1258" s="17"/>
      <c r="D1258" s="17"/>
      <c r="E1258" s="17"/>
      <c r="F1258" s="17"/>
      <c r="G1258" s="17"/>
      <c r="H1258" s="18"/>
      <c r="I1258" s="17"/>
      <c r="J1258" s="17"/>
      <c r="K1258" s="17"/>
      <c r="L1258" s="18"/>
      <c r="M1258" s="17"/>
      <c r="N1258" s="18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</row>
    <row r="1259" spans="1:30" ht="15.6" x14ac:dyDescent="0.3">
      <c r="A1259" s="17"/>
      <c r="B1259" s="17"/>
      <c r="C1259" s="17"/>
      <c r="D1259" s="17"/>
      <c r="E1259" s="17"/>
      <c r="F1259" s="17"/>
      <c r="G1259" s="17"/>
      <c r="H1259" s="18"/>
      <c r="I1259" s="17"/>
      <c r="J1259" s="17"/>
      <c r="K1259" s="17"/>
      <c r="L1259" s="18"/>
      <c r="M1259" s="17"/>
      <c r="N1259" s="18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</row>
    <row r="1260" spans="1:30" ht="15.6" x14ac:dyDescent="0.3">
      <c r="A1260" s="17"/>
      <c r="B1260" s="17"/>
      <c r="C1260" s="17"/>
      <c r="D1260" s="17"/>
      <c r="E1260" s="17"/>
      <c r="F1260" s="17"/>
      <c r="G1260" s="17"/>
      <c r="H1260" s="18"/>
      <c r="I1260" s="17"/>
      <c r="J1260" s="17"/>
      <c r="K1260" s="17"/>
      <c r="L1260" s="18"/>
      <c r="M1260" s="17"/>
      <c r="N1260" s="18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</row>
    <row r="1261" spans="1:30" ht="15.6" x14ac:dyDescent="0.3">
      <c r="A1261" s="17"/>
      <c r="B1261" s="17"/>
      <c r="C1261" s="17"/>
      <c r="D1261" s="17"/>
      <c r="E1261" s="17"/>
      <c r="F1261" s="17"/>
      <c r="G1261" s="17"/>
      <c r="H1261" s="18"/>
      <c r="I1261" s="17"/>
      <c r="J1261" s="17"/>
      <c r="K1261" s="17"/>
      <c r="L1261" s="18"/>
      <c r="M1261" s="17"/>
      <c r="N1261" s="18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</row>
    <row r="1262" spans="1:30" ht="15.6" x14ac:dyDescent="0.3">
      <c r="A1262" s="17"/>
      <c r="B1262" s="17"/>
      <c r="C1262" s="17"/>
      <c r="D1262" s="17"/>
      <c r="E1262" s="17"/>
      <c r="F1262" s="17"/>
      <c r="G1262" s="17"/>
      <c r="H1262" s="18"/>
      <c r="I1262" s="17"/>
      <c r="J1262" s="17"/>
      <c r="K1262" s="17"/>
      <c r="L1262" s="18"/>
      <c r="M1262" s="17"/>
      <c r="N1262" s="18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</row>
    <row r="1263" spans="1:30" ht="15.6" x14ac:dyDescent="0.3">
      <c r="A1263" s="17"/>
      <c r="B1263" s="17"/>
      <c r="C1263" s="17"/>
      <c r="D1263" s="17"/>
      <c r="E1263" s="17"/>
      <c r="F1263" s="17"/>
      <c r="G1263" s="17"/>
      <c r="H1263" s="18"/>
      <c r="I1263" s="17"/>
      <c r="J1263" s="17"/>
      <c r="K1263" s="17"/>
      <c r="L1263" s="18"/>
      <c r="M1263" s="17"/>
      <c r="N1263" s="18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</row>
    <row r="1264" spans="1:30" ht="15.6" x14ac:dyDescent="0.3">
      <c r="A1264" s="17"/>
      <c r="B1264" s="17"/>
      <c r="C1264" s="17"/>
      <c r="D1264" s="17"/>
      <c r="E1264" s="17"/>
      <c r="F1264" s="17"/>
      <c r="G1264" s="17"/>
      <c r="H1264" s="18"/>
      <c r="I1264" s="17"/>
      <c r="J1264" s="17"/>
      <c r="K1264" s="17"/>
      <c r="L1264" s="18"/>
      <c r="M1264" s="17"/>
      <c r="N1264" s="18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</row>
    <row r="1265" spans="1:30" ht="15.6" x14ac:dyDescent="0.3">
      <c r="A1265" s="17"/>
      <c r="B1265" s="17"/>
      <c r="C1265" s="17"/>
      <c r="D1265" s="17"/>
      <c r="E1265" s="17"/>
      <c r="F1265" s="17"/>
      <c r="G1265" s="17"/>
      <c r="H1265" s="18"/>
      <c r="I1265" s="17"/>
      <c r="J1265" s="17"/>
      <c r="K1265" s="17"/>
      <c r="L1265" s="18"/>
      <c r="M1265" s="17"/>
      <c r="N1265" s="18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</row>
    <row r="1266" spans="1:30" ht="15.6" x14ac:dyDescent="0.3">
      <c r="A1266" s="17"/>
      <c r="B1266" s="17"/>
      <c r="C1266" s="17"/>
      <c r="D1266" s="17"/>
      <c r="E1266" s="17"/>
      <c r="F1266" s="17"/>
      <c r="G1266" s="17"/>
      <c r="H1266" s="18"/>
      <c r="I1266" s="17"/>
      <c r="J1266" s="17"/>
      <c r="K1266" s="17"/>
      <c r="L1266" s="18"/>
      <c r="M1266" s="17"/>
      <c r="N1266" s="18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</row>
    <row r="1267" spans="1:30" ht="15.6" x14ac:dyDescent="0.3">
      <c r="A1267" s="17"/>
      <c r="B1267" s="17"/>
      <c r="C1267" s="17"/>
      <c r="D1267" s="17"/>
      <c r="E1267" s="17"/>
      <c r="F1267" s="17"/>
      <c r="G1267" s="17"/>
      <c r="H1267" s="18"/>
      <c r="I1267" s="17"/>
      <c r="J1267" s="17"/>
      <c r="K1267" s="17"/>
      <c r="L1267" s="18"/>
      <c r="M1267" s="17"/>
      <c r="N1267" s="18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</row>
    <row r="1268" spans="1:30" ht="15.6" x14ac:dyDescent="0.3">
      <c r="A1268" s="17"/>
      <c r="B1268" s="17"/>
      <c r="C1268" s="17"/>
      <c r="D1268" s="17"/>
      <c r="E1268" s="17"/>
      <c r="F1268" s="17"/>
      <c r="G1268" s="17"/>
      <c r="H1268" s="18"/>
      <c r="I1268" s="17"/>
      <c r="J1268" s="17"/>
      <c r="K1268" s="17"/>
      <c r="L1268" s="18"/>
      <c r="M1268" s="17"/>
      <c r="N1268" s="18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</row>
    <row r="1269" spans="1:30" ht="15.6" x14ac:dyDescent="0.3">
      <c r="A1269" s="17"/>
      <c r="B1269" s="17"/>
      <c r="C1269" s="17"/>
      <c r="D1269" s="17"/>
      <c r="E1269" s="17"/>
      <c r="F1269" s="17"/>
      <c r="G1269" s="17"/>
      <c r="H1269" s="18"/>
      <c r="I1269" s="17"/>
      <c r="J1269" s="17"/>
      <c r="K1269" s="17"/>
      <c r="L1269" s="18"/>
      <c r="M1269" s="17"/>
      <c r="N1269" s="18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</row>
    <row r="1270" spans="1:30" ht="15.6" x14ac:dyDescent="0.3">
      <c r="A1270" s="17"/>
      <c r="B1270" s="17"/>
      <c r="C1270" s="17"/>
      <c r="D1270" s="17"/>
      <c r="E1270" s="17"/>
      <c r="F1270" s="17"/>
      <c r="G1270" s="17"/>
      <c r="H1270" s="18"/>
      <c r="I1270" s="17"/>
      <c r="J1270" s="17"/>
      <c r="K1270" s="17"/>
      <c r="L1270" s="18"/>
      <c r="M1270" s="17"/>
      <c r="N1270" s="18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 spans="1:30" ht="15.6" x14ac:dyDescent="0.3">
      <c r="A1271" s="17"/>
      <c r="B1271" s="17"/>
      <c r="C1271" s="17"/>
      <c r="D1271" s="17"/>
      <c r="E1271" s="17"/>
      <c r="F1271" s="17"/>
      <c r="G1271" s="17"/>
      <c r="H1271" s="18"/>
      <c r="I1271" s="17"/>
      <c r="J1271" s="17"/>
      <c r="K1271" s="17"/>
      <c r="L1271" s="18"/>
      <c r="M1271" s="17"/>
      <c r="N1271" s="18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</row>
    <row r="1272" spans="1:30" ht="15.6" x14ac:dyDescent="0.3">
      <c r="A1272" s="17"/>
      <c r="B1272" s="17"/>
      <c r="C1272" s="17"/>
      <c r="D1272" s="17"/>
      <c r="E1272" s="17"/>
      <c r="F1272" s="17"/>
      <c r="G1272" s="17"/>
      <c r="H1272" s="18"/>
      <c r="I1272" s="17"/>
      <c r="J1272" s="17"/>
      <c r="K1272" s="17"/>
      <c r="L1272" s="18"/>
      <c r="M1272" s="17"/>
      <c r="N1272" s="18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</row>
    <row r="1273" spans="1:30" ht="15.6" x14ac:dyDescent="0.3">
      <c r="A1273" s="17"/>
      <c r="B1273" s="17"/>
      <c r="C1273" s="17"/>
      <c r="D1273" s="17"/>
      <c r="E1273" s="17"/>
      <c r="F1273" s="17"/>
      <c r="G1273" s="17"/>
      <c r="H1273" s="18"/>
      <c r="I1273" s="17"/>
      <c r="J1273" s="17"/>
      <c r="K1273" s="17"/>
      <c r="L1273" s="18"/>
      <c r="M1273" s="17"/>
      <c r="N1273" s="18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</row>
    <row r="1274" spans="1:30" ht="15.6" x14ac:dyDescent="0.3">
      <c r="A1274" s="17"/>
      <c r="B1274" s="17"/>
      <c r="C1274" s="17"/>
      <c r="D1274" s="17"/>
      <c r="E1274" s="17"/>
      <c r="F1274" s="17"/>
      <c r="G1274" s="17"/>
      <c r="H1274" s="18"/>
      <c r="I1274" s="17"/>
      <c r="J1274" s="17"/>
      <c r="K1274" s="17"/>
      <c r="L1274" s="18"/>
      <c r="M1274" s="17"/>
      <c r="N1274" s="18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</row>
    <row r="1275" spans="1:30" ht="15.6" x14ac:dyDescent="0.3">
      <c r="A1275" s="17"/>
      <c r="B1275" s="17"/>
      <c r="C1275" s="17"/>
      <c r="D1275" s="17"/>
      <c r="E1275" s="17"/>
      <c r="F1275" s="17"/>
      <c r="G1275" s="17"/>
      <c r="H1275" s="18"/>
      <c r="I1275" s="17"/>
      <c r="J1275" s="17"/>
      <c r="K1275" s="17"/>
      <c r="L1275" s="18"/>
      <c r="M1275" s="17"/>
      <c r="N1275" s="18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</row>
    <row r="1276" spans="1:30" ht="15.6" x14ac:dyDescent="0.3">
      <c r="A1276" s="17"/>
      <c r="B1276" s="17"/>
      <c r="C1276" s="17"/>
      <c r="D1276" s="17"/>
      <c r="E1276" s="17"/>
      <c r="F1276" s="17"/>
      <c r="G1276" s="17"/>
      <c r="H1276" s="18"/>
      <c r="I1276" s="17"/>
      <c r="J1276" s="17"/>
      <c r="K1276" s="17"/>
      <c r="L1276" s="18"/>
      <c r="M1276" s="17"/>
      <c r="N1276" s="18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</row>
    <row r="1277" spans="1:30" ht="15.6" x14ac:dyDescent="0.3">
      <c r="A1277" s="17"/>
      <c r="B1277" s="17"/>
      <c r="C1277" s="17"/>
      <c r="D1277" s="17"/>
      <c r="E1277" s="17"/>
      <c r="F1277" s="17"/>
      <c r="G1277" s="17"/>
      <c r="H1277" s="18"/>
      <c r="I1277" s="17"/>
      <c r="J1277" s="17"/>
      <c r="K1277" s="17"/>
      <c r="L1277" s="18"/>
      <c r="M1277" s="17"/>
      <c r="N1277" s="18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</row>
    <row r="1278" spans="1:30" ht="15.6" x14ac:dyDescent="0.3">
      <c r="A1278" s="17"/>
      <c r="B1278" s="17"/>
      <c r="C1278" s="17"/>
      <c r="D1278" s="17"/>
      <c r="E1278" s="17"/>
      <c r="F1278" s="17"/>
      <c r="G1278" s="17"/>
      <c r="H1278" s="18"/>
      <c r="I1278" s="17"/>
      <c r="J1278" s="17"/>
      <c r="K1278" s="17"/>
      <c r="L1278" s="18"/>
      <c r="M1278" s="17"/>
      <c r="N1278" s="18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</row>
    <row r="1279" spans="1:30" ht="15.6" x14ac:dyDescent="0.3">
      <c r="A1279" s="17"/>
      <c r="B1279" s="17"/>
      <c r="C1279" s="17"/>
      <c r="D1279" s="17"/>
      <c r="E1279" s="17"/>
      <c r="F1279" s="17"/>
      <c r="G1279" s="17"/>
      <c r="H1279" s="18"/>
      <c r="I1279" s="17"/>
      <c r="J1279" s="17"/>
      <c r="K1279" s="17"/>
      <c r="L1279" s="18"/>
      <c r="M1279" s="17"/>
      <c r="N1279" s="18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</row>
    <row r="1280" spans="1:30" ht="15.6" x14ac:dyDescent="0.3">
      <c r="A1280" s="17"/>
      <c r="B1280" s="17"/>
      <c r="C1280" s="17"/>
      <c r="D1280" s="17"/>
      <c r="E1280" s="17"/>
      <c r="F1280" s="17"/>
      <c r="G1280" s="17"/>
      <c r="H1280" s="18"/>
      <c r="I1280" s="17"/>
      <c r="J1280" s="17"/>
      <c r="K1280" s="17"/>
      <c r="L1280" s="18"/>
      <c r="M1280" s="17"/>
      <c r="N1280" s="18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</row>
    <row r="1281" spans="1:30" ht="15.6" x14ac:dyDescent="0.3">
      <c r="A1281" s="17"/>
      <c r="B1281" s="17"/>
      <c r="C1281" s="17"/>
      <c r="D1281" s="17"/>
      <c r="E1281" s="17"/>
      <c r="F1281" s="17"/>
      <c r="G1281" s="17"/>
      <c r="H1281" s="18"/>
      <c r="I1281" s="17"/>
      <c r="J1281" s="17"/>
      <c r="K1281" s="17"/>
      <c r="L1281" s="18"/>
      <c r="M1281" s="17"/>
      <c r="N1281" s="18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</row>
    <row r="1282" spans="1:30" ht="15.6" x14ac:dyDescent="0.3">
      <c r="A1282" s="17"/>
      <c r="B1282" s="17"/>
      <c r="C1282" s="17"/>
      <c r="D1282" s="17"/>
      <c r="E1282" s="17"/>
      <c r="F1282" s="17"/>
      <c r="G1282" s="17"/>
      <c r="H1282" s="18"/>
      <c r="I1282" s="17"/>
      <c r="J1282" s="17"/>
      <c r="K1282" s="17"/>
      <c r="L1282" s="18"/>
      <c r="M1282" s="17"/>
      <c r="N1282" s="18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</row>
    <row r="1283" spans="1:30" ht="15.6" x14ac:dyDescent="0.3">
      <c r="A1283" s="17"/>
      <c r="B1283" s="17"/>
      <c r="C1283" s="17"/>
      <c r="D1283" s="17"/>
      <c r="E1283" s="17"/>
      <c r="F1283" s="17"/>
      <c r="G1283" s="17"/>
      <c r="H1283" s="18"/>
      <c r="I1283" s="17"/>
      <c r="J1283" s="17"/>
      <c r="K1283" s="17"/>
      <c r="L1283" s="18"/>
      <c r="M1283" s="17"/>
      <c r="N1283" s="18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</row>
    <row r="1284" spans="1:30" ht="15.6" x14ac:dyDescent="0.3">
      <c r="A1284" s="17"/>
      <c r="B1284" s="17"/>
      <c r="C1284" s="17"/>
      <c r="D1284" s="17"/>
      <c r="E1284" s="17"/>
      <c r="F1284" s="17"/>
      <c r="G1284" s="17"/>
      <c r="H1284" s="18"/>
      <c r="I1284" s="17"/>
      <c r="J1284" s="17"/>
      <c r="K1284" s="17"/>
      <c r="L1284" s="18"/>
      <c r="M1284" s="17"/>
      <c r="N1284" s="18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</row>
    <row r="1285" spans="1:30" ht="15.6" x14ac:dyDescent="0.3">
      <c r="A1285" s="17"/>
      <c r="B1285" s="17"/>
      <c r="C1285" s="17"/>
      <c r="D1285" s="17"/>
      <c r="E1285" s="17"/>
      <c r="F1285" s="17"/>
      <c r="G1285" s="17"/>
      <c r="H1285" s="18"/>
      <c r="I1285" s="17"/>
      <c r="J1285" s="17"/>
      <c r="K1285" s="17"/>
      <c r="L1285" s="18"/>
      <c r="M1285" s="17"/>
      <c r="N1285" s="18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</row>
    <row r="1286" spans="1:30" ht="15.6" x14ac:dyDescent="0.3">
      <c r="A1286" s="17"/>
      <c r="B1286" s="17"/>
      <c r="C1286" s="17"/>
      <c r="D1286" s="17"/>
      <c r="E1286" s="17"/>
      <c r="F1286" s="17"/>
      <c r="G1286" s="17"/>
      <c r="H1286" s="18"/>
      <c r="I1286" s="17"/>
      <c r="J1286" s="17"/>
      <c r="K1286" s="17"/>
      <c r="L1286" s="18"/>
      <c r="M1286" s="17"/>
      <c r="N1286" s="18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</row>
    <row r="1287" spans="1:30" ht="15.6" x14ac:dyDescent="0.3">
      <c r="A1287" s="17"/>
      <c r="B1287" s="17"/>
      <c r="C1287" s="17"/>
      <c r="D1287" s="17"/>
      <c r="E1287" s="17"/>
      <c r="F1287" s="17"/>
      <c r="G1287" s="17"/>
      <c r="H1287" s="18"/>
      <c r="I1287" s="17"/>
      <c r="J1287" s="17"/>
      <c r="K1287" s="17"/>
      <c r="L1287" s="18"/>
      <c r="M1287" s="17"/>
      <c r="N1287" s="18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</row>
    <row r="1288" spans="1:30" ht="15.6" x14ac:dyDescent="0.3">
      <c r="A1288" s="17"/>
      <c r="B1288" s="17"/>
      <c r="C1288" s="17"/>
      <c r="D1288" s="17"/>
      <c r="E1288" s="17"/>
      <c r="F1288" s="17"/>
      <c r="G1288" s="17"/>
      <c r="H1288" s="18"/>
      <c r="I1288" s="17"/>
      <c r="J1288" s="17"/>
      <c r="K1288" s="17"/>
      <c r="L1288" s="18"/>
      <c r="M1288" s="17"/>
      <c r="N1288" s="18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</row>
    <row r="1289" spans="1:30" ht="15.6" x14ac:dyDescent="0.3">
      <c r="A1289" s="17"/>
      <c r="B1289" s="17"/>
      <c r="C1289" s="17"/>
      <c r="D1289" s="17"/>
      <c r="E1289" s="17"/>
      <c r="F1289" s="17"/>
      <c r="G1289" s="17"/>
      <c r="H1289" s="18"/>
      <c r="I1289" s="17"/>
      <c r="J1289" s="17"/>
      <c r="K1289" s="17"/>
      <c r="L1289" s="18"/>
      <c r="M1289" s="17"/>
      <c r="N1289" s="18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</row>
    <row r="1290" spans="1:30" ht="15.6" x14ac:dyDescent="0.3">
      <c r="A1290" s="17"/>
      <c r="B1290" s="17"/>
      <c r="C1290" s="17"/>
      <c r="D1290" s="17"/>
      <c r="E1290" s="17"/>
      <c r="F1290" s="17"/>
      <c r="G1290" s="17"/>
      <c r="H1290" s="18"/>
      <c r="I1290" s="17"/>
      <c r="J1290" s="17"/>
      <c r="K1290" s="17"/>
      <c r="L1290" s="18"/>
      <c r="M1290" s="17"/>
      <c r="N1290" s="18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</row>
    <row r="1291" spans="1:30" ht="15.6" x14ac:dyDescent="0.3">
      <c r="A1291" s="17"/>
      <c r="B1291" s="17"/>
      <c r="C1291" s="17"/>
      <c r="D1291" s="17"/>
      <c r="E1291" s="17"/>
      <c r="F1291" s="17"/>
      <c r="G1291" s="17"/>
      <c r="H1291" s="18"/>
      <c r="I1291" s="17"/>
      <c r="J1291" s="17"/>
      <c r="K1291" s="17"/>
      <c r="L1291" s="18"/>
      <c r="M1291" s="17"/>
      <c r="N1291" s="18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</row>
    <row r="1292" spans="1:30" ht="15.6" x14ac:dyDescent="0.3">
      <c r="A1292" s="17"/>
      <c r="B1292" s="17"/>
      <c r="C1292" s="17"/>
      <c r="D1292" s="17"/>
      <c r="E1292" s="17"/>
      <c r="F1292" s="17"/>
      <c r="G1292" s="17"/>
      <c r="H1292" s="18"/>
      <c r="I1292" s="17"/>
      <c r="J1292" s="17"/>
      <c r="K1292" s="17"/>
      <c r="L1292" s="18"/>
      <c r="M1292" s="17"/>
      <c r="N1292" s="18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</row>
    <row r="1293" spans="1:30" ht="15.6" x14ac:dyDescent="0.3">
      <c r="A1293" s="17"/>
      <c r="B1293" s="17"/>
      <c r="C1293" s="17"/>
      <c r="D1293" s="17"/>
      <c r="E1293" s="17"/>
      <c r="F1293" s="17"/>
      <c r="G1293" s="17"/>
      <c r="H1293" s="18"/>
      <c r="I1293" s="17"/>
      <c r="J1293" s="17"/>
      <c r="K1293" s="17"/>
      <c r="L1293" s="18"/>
      <c r="M1293" s="17"/>
      <c r="N1293" s="18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</row>
    <row r="1294" spans="1:30" ht="15.6" x14ac:dyDescent="0.3">
      <c r="A1294" s="17"/>
      <c r="B1294" s="17"/>
      <c r="C1294" s="17"/>
      <c r="D1294" s="17"/>
      <c r="E1294" s="17"/>
      <c r="F1294" s="17"/>
      <c r="G1294" s="17"/>
      <c r="H1294" s="18"/>
      <c r="I1294" s="17"/>
      <c r="J1294" s="17"/>
      <c r="K1294" s="17"/>
      <c r="L1294" s="18"/>
      <c r="M1294" s="17"/>
      <c r="N1294" s="18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</row>
    <row r="1295" spans="1:30" ht="15.6" x14ac:dyDescent="0.3">
      <c r="A1295" s="17"/>
      <c r="B1295" s="17"/>
      <c r="C1295" s="17"/>
      <c r="D1295" s="17"/>
      <c r="E1295" s="17"/>
      <c r="F1295" s="17"/>
      <c r="G1295" s="17"/>
      <c r="H1295" s="18"/>
      <c r="I1295" s="17"/>
      <c r="J1295" s="17"/>
      <c r="K1295" s="17"/>
      <c r="L1295" s="18"/>
      <c r="M1295" s="17"/>
      <c r="N1295" s="18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</row>
    <row r="1296" spans="1:30" ht="15.6" x14ac:dyDescent="0.3">
      <c r="A1296" s="17"/>
      <c r="B1296" s="17"/>
      <c r="C1296" s="17"/>
      <c r="D1296" s="17"/>
      <c r="E1296" s="17"/>
      <c r="F1296" s="17"/>
      <c r="G1296" s="17"/>
      <c r="H1296" s="18"/>
      <c r="I1296" s="17"/>
      <c r="J1296" s="17"/>
      <c r="K1296" s="17"/>
      <c r="L1296" s="18"/>
      <c r="M1296" s="17"/>
      <c r="N1296" s="18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</row>
    <row r="1297" spans="1:30" ht="15.6" x14ac:dyDescent="0.3">
      <c r="A1297" s="17"/>
      <c r="B1297" s="17"/>
      <c r="C1297" s="17"/>
      <c r="D1297" s="17"/>
      <c r="E1297" s="17"/>
      <c r="F1297" s="17"/>
      <c r="G1297" s="17"/>
      <c r="H1297" s="18"/>
      <c r="I1297" s="17"/>
      <c r="J1297" s="17"/>
      <c r="K1297" s="17"/>
      <c r="L1297" s="18"/>
      <c r="M1297" s="17"/>
      <c r="N1297" s="18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</row>
    <row r="1298" spans="1:30" ht="15.6" x14ac:dyDescent="0.3">
      <c r="A1298" s="17"/>
      <c r="B1298" s="17"/>
      <c r="C1298" s="17"/>
      <c r="D1298" s="17"/>
      <c r="E1298" s="17"/>
      <c r="F1298" s="17"/>
      <c r="G1298" s="17"/>
      <c r="H1298" s="18"/>
      <c r="I1298" s="17"/>
      <c r="J1298" s="17"/>
      <c r="K1298" s="17"/>
      <c r="L1298" s="18"/>
      <c r="M1298" s="17"/>
      <c r="N1298" s="18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</row>
    <row r="1299" spans="1:30" ht="15.6" x14ac:dyDescent="0.3">
      <c r="A1299" s="17"/>
      <c r="B1299" s="17"/>
      <c r="C1299" s="17"/>
      <c r="D1299" s="17"/>
      <c r="E1299" s="17"/>
      <c r="F1299" s="17"/>
      <c r="G1299" s="17"/>
      <c r="H1299" s="18"/>
      <c r="I1299" s="17"/>
      <c r="J1299" s="17"/>
      <c r="K1299" s="17"/>
      <c r="L1299" s="18"/>
      <c r="M1299" s="17"/>
      <c r="N1299" s="18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</row>
    <row r="1300" spans="1:30" ht="15.6" x14ac:dyDescent="0.3">
      <c r="A1300" s="17"/>
      <c r="B1300" s="17"/>
      <c r="C1300" s="17"/>
      <c r="D1300" s="17"/>
      <c r="E1300" s="17"/>
      <c r="F1300" s="17"/>
      <c r="G1300" s="17"/>
      <c r="H1300" s="18"/>
      <c r="I1300" s="17"/>
      <c r="J1300" s="17"/>
      <c r="K1300" s="17"/>
      <c r="L1300" s="18"/>
      <c r="M1300" s="17"/>
      <c r="N1300" s="18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</row>
    <row r="1301" spans="1:30" ht="15.6" x14ac:dyDescent="0.3">
      <c r="A1301" s="17"/>
      <c r="B1301" s="17"/>
      <c r="C1301" s="17"/>
      <c r="D1301" s="17"/>
      <c r="E1301" s="17"/>
      <c r="F1301" s="17"/>
      <c r="G1301" s="17"/>
      <c r="H1301" s="18"/>
      <c r="I1301" s="17"/>
      <c r="J1301" s="17"/>
      <c r="K1301" s="17"/>
      <c r="L1301" s="18"/>
      <c r="M1301" s="17"/>
      <c r="N1301" s="18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</row>
    <row r="1302" spans="1:30" ht="15.6" x14ac:dyDescent="0.3">
      <c r="A1302" s="17"/>
      <c r="B1302" s="17"/>
      <c r="C1302" s="17"/>
      <c r="D1302" s="17"/>
      <c r="E1302" s="17"/>
      <c r="F1302" s="17"/>
      <c r="G1302" s="17"/>
      <c r="H1302" s="18"/>
      <c r="I1302" s="17"/>
      <c r="J1302" s="17"/>
      <c r="K1302" s="17"/>
      <c r="L1302" s="18"/>
      <c r="M1302" s="17"/>
      <c r="N1302" s="18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</row>
    <row r="1303" spans="1:30" ht="15.6" x14ac:dyDescent="0.3">
      <c r="A1303" s="17"/>
      <c r="B1303" s="17"/>
      <c r="C1303" s="17"/>
      <c r="D1303" s="17"/>
      <c r="E1303" s="17"/>
      <c r="F1303" s="17"/>
      <c r="G1303" s="17"/>
      <c r="H1303" s="18"/>
      <c r="I1303" s="17"/>
      <c r="J1303" s="17"/>
      <c r="K1303" s="17"/>
      <c r="L1303" s="18"/>
      <c r="M1303" s="17"/>
      <c r="N1303" s="18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</row>
    <row r="1304" spans="1:30" ht="15.6" x14ac:dyDescent="0.3">
      <c r="A1304" s="17"/>
      <c r="B1304" s="17"/>
      <c r="C1304" s="17"/>
      <c r="D1304" s="17"/>
      <c r="E1304" s="17"/>
      <c r="F1304" s="17"/>
      <c r="G1304" s="17"/>
      <c r="H1304" s="18"/>
      <c r="I1304" s="17"/>
      <c r="J1304" s="17"/>
      <c r="K1304" s="17"/>
      <c r="L1304" s="18"/>
      <c r="M1304" s="17"/>
      <c r="N1304" s="18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</row>
    <row r="1305" spans="1:30" ht="15.6" x14ac:dyDescent="0.3">
      <c r="A1305" s="17"/>
      <c r="B1305" s="17"/>
      <c r="C1305" s="17"/>
      <c r="D1305" s="17"/>
      <c r="E1305" s="17"/>
      <c r="F1305" s="17"/>
      <c r="G1305" s="17"/>
      <c r="H1305" s="18"/>
      <c r="I1305" s="17"/>
      <c r="J1305" s="17"/>
      <c r="K1305" s="17"/>
      <c r="L1305" s="18"/>
      <c r="M1305" s="17"/>
      <c r="N1305" s="18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</row>
    <row r="1306" spans="1:30" ht="15.6" x14ac:dyDescent="0.3">
      <c r="A1306" s="17"/>
      <c r="B1306" s="17"/>
      <c r="C1306" s="17"/>
      <c r="D1306" s="17"/>
      <c r="E1306" s="17"/>
      <c r="F1306" s="17"/>
      <c r="G1306" s="17"/>
      <c r="H1306" s="18"/>
      <c r="I1306" s="17"/>
      <c r="J1306" s="17"/>
      <c r="K1306" s="17"/>
      <c r="L1306" s="18"/>
      <c r="M1306" s="17"/>
      <c r="N1306" s="18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</row>
    <row r="1307" spans="1:30" ht="15.6" x14ac:dyDescent="0.3">
      <c r="A1307" s="17"/>
      <c r="B1307" s="17"/>
      <c r="C1307" s="17"/>
      <c r="D1307" s="17"/>
      <c r="E1307" s="17"/>
      <c r="F1307" s="17"/>
      <c r="G1307" s="17"/>
      <c r="H1307" s="18"/>
      <c r="I1307" s="17"/>
      <c r="J1307" s="17"/>
      <c r="K1307" s="17"/>
      <c r="L1307" s="18"/>
      <c r="M1307" s="17"/>
      <c r="N1307" s="18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</row>
    <row r="1308" spans="1:30" ht="15.6" x14ac:dyDescent="0.3">
      <c r="A1308" s="17"/>
      <c r="B1308" s="17"/>
      <c r="C1308" s="17"/>
      <c r="D1308" s="17"/>
      <c r="E1308" s="17"/>
      <c r="F1308" s="17"/>
      <c r="G1308" s="17"/>
      <c r="H1308" s="18"/>
      <c r="I1308" s="17"/>
      <c r="J1308" s="17"/>
      <c r="K1308" s="17"/>
      <c r="L1308" s="18"/>
      <c r="M1308" s="17"/>
      <c r="N1308" s="18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</row>
    <row r="1309" spans="1:30" ht="15.6" x14ac:dyDescent="0.3">
      <c r="A1309" s="17"/>
      <c r="B1309" s="17"/>
      <c r="C1309" s="17"/>
      <c r="D1309" s="17"/>
      <c r="E1309" s="17"/>
      <c r="F1309" s="17"/>
      <c r="G1309" s="17"/>
      <c r="H1309" s="18"/>
      <c r="I1309" s="17"/>
      <c r="J1309" s="17"/>
      <c r="K1309" s="17"/>
      <c r="L1309" s="18"/>
      <c r="M1309" s="17"/>
      <c r="N1309" s="18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</row>
    <row r="1310" spans="1:30" ht="15.6" x14ac:dyDescent="0.3">
      <c r="A1310" s="17"/>
      <c r="B1310" s="17"/>
      <c r="C1310" s="17"/>
      <c r="D1310" s="17"/>
      <c r="E1310" s="17"/>
      <c r="F1310" s="17"/>
      <c r="G1310" s="17"/>
      <c r="H1310" s="18"/>
      <c r="I1310" s="17"/>
      <c r="J1310" s="17"/>
      <c r="K1310" s="17"/>
      <c r="L1310" s="18"/>
      <c r="M1310" s="17"/>
      <c r="N1310" s="18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</row>
    <row r="1311" spans="1:30" ht="15.6" x14ac:dyDescent="0.3">
      <c r="A1311" s="17"/>
      <c r="B1311" s="17"/>
      <c r="C1311" s="17"/>
      <c r="D1311" s="17"/>
      <c r="E1311" s="17"/>
      <c r="F1311" s="17"/>
      <c r="G1311" s="17"/>
      <c r="H1311" s="18"/>
      <c r="I1311" s="17"/>
      <c r="J1311" s="17"/>
      <c r="K1311" s="17"/>
      <c r="L1311" s="18"/>
      <c r="M1311" s="17"/>
      <c r="N1311" s="18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</row>
    <row r="1312" spans="1:30" ht="15.6" x14ac:dyDescent="0.3">
      <c r="A1312" s="17"/>
      <c r="B1312" s="17"/>
      <c r="C1312" s="17"/>
      <c r="D1312" s="17"/>
      <c r="E1312" s="17"/>
      <c r="F1312" s="17"/>
      <c r="G1312" s="17"/>
      <c r="H1312" s="18"/>
      <c r="I1312" s="17"/>
      <c r="J1312" s="17"/>
      <c r="K1312" s="17"/>
      <c r="L1312" s="18"/>
      <c r="M1312" s="17"/>
      <c r="N1312" s="18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</row>
    <row r="1313" spans="1:30" ht="15.6" x14ac:dyDescent="0.3">
      <c r="A1313" s="17"/>
      <c r="B1313" s="17"/>
      <c r="C1313" s="17"/>
      <c r="D1313" s="17"/>
      <c r="E1313" s="17"/>
      <c r="F1313" s="17"/>
      <c r="G1313" s="17"/>
      <c r="H1313" s="18"/>
      <c r="I1313" s="17"/>
      <c r="J1313" s="17"/>
      <c r="K1313" s="17"/>
      <c r="L1313" s="18"/>
      <c r="M1313" s="17"/>
      <c r="N1313" s="18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</row>
    <row r="1314" spans="1:30" ht="15.6" x14ac:dyDescent="0.3">
      <c r="A1314" s="17"/>
      <c r="B1314" s="17"/>
      <c r="C1314" s="17"/>
      <c r="D1314" s="17"/>
      <c r="E1314" s="17"/>
      <c r="F1314" s="17"/>
      <c r="G1314" s="17"/>
      <c r="H1314" s="18"/>
      <c r="I1314" s="17"/>
      <c r="J1314" s="17"/>
      <c r="K1314" s="17"/>
      <c r="L1314" s="18"/>
      <c r="M1314" s="17"/>
      <c r="N1314" s="18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</row>
    <row r="1315" spans="1:30" ht="15.6" x14ac:dyDescent="0.3">
      <c r="A1315" s="17"/>
      <c r="B1315" s="17"/>
      <c r="C1315" s="17"/>
      <c r="D1315" s="17"/>
      <c r="E1315" s="17"/>
      <c r="F1315" s="17"/>
      <c r="G1315" s="17"/>
      <c r="H1315" s="18"/>
      <c r="I1315" s="17"/>
      <c r="J1315" s="17"/>
      <c r="K1315" s="17"/>
      <c r="L1315" s="18"/>
      <c r="M1315" s="17"/>
      <c r="N1315" s="18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</row>
    <row r="1316" spans="1:30" ht="15.6" x14ac:dyDescent="0.3">
      <c r="A1316" s="17"/>
      <c r="B1316" s="17"/>
      <c r="C1316" s="17"/>
      <c r="D1316" s="17"/>
      <c r="E1316" s="17"/>
      <c r="F1316" s="17"/>
      <c r="G1316" s="17"/>
      <c r="H1316" s="18"/>
      <c r="I1316" s="17"/>
      <c r="J1316" s="17"/>
      <c r="K1316" s="17"/>
      <c r="L1316" s="18"/>
      <c r="M1316" s="17"/>
      <c r="N1316" s="18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</row>
    <row r="1317" spans="1:30" ht="15.6" x14ac:dyDescent="0.3">
      <c r="A1317" s="17"/>
      <c r="B1317" s="17"/>
      <c r="C1317" s="17"/>
      <c r="D1317" s="17"/>
      <c r="E1317" s="17"/>
      <c r="F1317" s="17"/>
      <c r="G1317" s="17"/>
      <c r="H1317" s="18"/>
      <c r="I1317" s="17"/>
      <c r="J1317" s="17"/>
      <c r="K1317" s="17"/>
      <c r="L1317" s="18"/>
      <c r="M1317" s="17"/>
      <c r="N1317" s="18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</row>
    <row r="1318" spans="1:30" ht="15.6" x14ac:dyDescent="0.3">
      <c r="A1318" s="17"/>
      <c r="B1318" s="17"/>
      <c r="C1318" s="17"/>
      <c r="D1318" s="17"/>
      <c r="E1318" s="17"/>
      <c r="F1318" s="17"/>
      <c r="G1318" s="17"/>
      <c r="H1318" s="18"/>
      <c r="I1318" s="17"/>
      <c r="J1318" s="17"/>
      <c r="K1318" s="17"/>
      <c r="L1318" s="18"/>
      <c r="M1318" s="17"/>
      <c r="N1318" s="18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</row>
    <row r="1319" spans="1:30" ht="15.6" x14ac:dyDescent="0.3">
      <c r="A1319" s="17"/>
      <c r="B1319" s="17"/>
      <c r="C1319" s="17"/>
      <c r="D1319" s="17"/>
      <c r="E1319" s="17"/>
      <c r="F1319" s="17"/>
      <c r="G1319" s="17"/>
      <c r="H1319" s="18"/>
      <c r="I1319" s="17"/>
      <c r="J1319" s="17"/>
      <c r="K1319" s="17"/>
      <c r="L1319" s="18"/>
      <c r="M1319" s="17"/>
      <c r="N1319" s="18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</row>
    <row r="1320" spans="1:30" ht="15.6" x14ac:dyDescent="0.3">
      <c r="A1320" s="17"/>
      <c r="B1320" s="17"/>
      <c r="C1320" s="17"/>
      <c r="D1320" s="17"/>
      <c r="E1320" s="17"/>
      <c r="F1320" s="17"/>
      <c r="G1320" s="17"/>
      <c r="H1320" s="18"/>
      <c r="I1320" s="17"/>
      <c r="J1320" s="17"/>
      <c r="K1320" s="17"/>
      <c r="L1320" s="18"/>
      <c r="M1320" s="17"/>
      <c r="N1320" s="18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</row>
    <row r="1321" spans="1:30" ht="15.6" x14ac:dyDescent="0.3">
      <c r="A1321" s="17"/>
      <c r="B1321" s="17"/>
      <c r="C1321" s="17"/>
      <c r="D1321" s="17"/>
      <c r="E1321" s="17"/>
      <c r="F1321" s="17"/>
      <c r="G1321" s="17"/>
      <c r="H1321" s="18"/>
      <c r="I1321" s="17"/>
      <c r="J1321" s="17"/>
      <c r="K1321" s="17"/>
      <c r="L1321" s="18"/>
      <c r="M1321" s="17"/>
      <c r="N1321" s="18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</row>
    <row r="1322" spans="1:30" ht="15.6" x14ac:dyDescent="0.3">
      <c r="A1322" s="17"/>
      <c r="B1322" s="17"/>
      <c r="C1322" s="17"/>
      <c r="D1322" s="17"/>
      <c r="E1322" s="17"/>
      <c r="F1322" s="17"/>
      <c r="G1322" s="17"/>
      <c r="H1322" s="18"/>
      <c r="I1322" s="17"/>
      <c r="J1322" s="17"/>
      <c r="K1322" s="17"/>
      <c r="L1322" s="18"/>
      <c r="M1322" s="17"/>
      <c r="N1322" s="18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</row>
    <row r="1323" spans="1:30" ht="15.6" x14ac:dyDescent="0.3">
      <c r="A1323" s="17"/>
      <c r="B1323" s="17"/>
      <c r="C1323" s="17"/>
      <c r="D1323" s="17"/>
      <c r="E1323" s="17"/>
      <c r="F1323" s="17"/>
      <c r="G1323" s="17"/>
      <c r="H1323" s="18"/>
      <c r="I1323" s="17"/>
      <c r="J1323" s="17"/>
      <c r="K1323" s="17"/>
      <c r="L1323" s="18"/>
      <c r="M1323" s="17"/>
      <c r="N1323" s="18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</row>
    <row r="1324" spans="1:30" ht="15.6" x14ac:dyDescent="0.3">
      <c r="A1324" s="17"/>
      <c r="B1324" s="17"/>
      <c r="C1324" s="17"/>
      <c r="D1324" s="17"/>
      <c r="E1324" s="17"/>
      <c r="F1324" s="17"/>
      <c r="G1324" s="17"/>
      <c r="H1324" s="18"/>
      <c r="I1324" s="17"/>
      <c r="J1324" s="17"/>
      <c r="K1324" s="17"/>
      <c r="L1324" s="18"/>
      <c r="M1324" s="17"/>
      <c r="N1324" s="18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</row>
    <row r="1325" spans="1:30" ht="15.6" x14ac:dyDescent="0.3">
      <c r="A1325" s="17"/>
      <c r="B1325" s="17"/>
      <c r="C1325" s="17"/>
      <c r="D1325" s="17"/>
      <c r="E1325" s="17"/>
      <c r="F1325" s="17"/>
      <c r="G1325" s="17"/>
      <c r="H1325" s="18"/>
      <c r="I1325" s="17"/>
      <c r="J1325" s="17"/>
      <c r="K1325" s="17"/>
      <c r="L1325" s="18"/>
      <c r="M1325" s="17"/>
      <c r="N1325" s="18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</row>
    <row r="1326" spans="1:30" ht="15.6" x14ac:dyDescent="0.3">
      <c r="A1326" s="17"/>
      <c r="B1326" s="17"/>
      <c r="C1326" s="17"/>
      <c r="D1326" s="17"/>
      <c r="E1326" s="17"/>
      <c r="F1326" s="17"/>
      <c r="G1326" s="17"/>
      <c r="H1326" s="18"/>
      <c r="I1326" s="17"/>
      <c r="J1326" s="17"/>
      <c r="K1326" s="17"/>
      <c r="L1326" s="18"/>
      <c r="M1326" s="17"/>
      <c r="N1326" s="18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</row>
    <row r="1327" spans="1:30" ht="15.6" x14ac:dyDescent="0.3">
      <c r="A1327" s="17"/>
      <c r="B1327" s="17"/>
      <c r="C1327" s="17"/>
      <c r="D1327" s="17"/>
      <c r="E1327" s="17"/>
      <c r="F1327" s="17"/>
      <c r="G1327" s="17"/>
      <c r="H1327" s="18"/>
      <c r="I1327" s="17"/>
      <c r="J1327" s="17"/>
      <c r="K1327" s="17"/>
      <c r="L1327" s="18"/>
      <c r="M1327" s="17"/>
      <c r="N1327" s="18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</row>
    <row r="1328" spans="1:30" ht="15.6" x14ac:dyDescent="0.3">
      <c r="A1328" s="17"/>
      <c r="B1328" s="17"/>
      <c r="C1328" s="17"/>
      <c r="D1328" s="17"/>
      <c r="E1328" s="17"/>
      <c r="F1328" s="17"/>
      <c r="G1328" s="17"/>
      <c r="H1328" s="18"/>
      <c r="I1328" s="17"/>
      <c r="J1328" s="17"/>
      <c r="K1328" s="17"/>
      <c r="L1328" s="18"/>
      <c r="M1328" s="17"/>
      <c r="N1328" s="18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</row>
    <row r="1329" spans="1:30" ht="15.6" x14ac:dyDescent="0.3">
      <c r="A1329" s="17"/>
      <c r="B1329" s="17"/>
      <c r="C1329" s="17"/>
      <c r="D1329" s="17"/>
      <c r="E1329" s="17"/>
      <c r="F1329" s="17"/>
      <c r="G1329" s="17"/>
      <c r="H1329" s="18"/>
      <c r="I1329" s="17"/>
      <c r="J1329" s="17"/>
      <c r="K1329" s="17"/>
      <c r="L1329" s="18"/>
      <c r="M1329" s="17"/>
      <c r="N1329" s="18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</row>
    <row r="1330" spans="1:30" ht="15.6" x14ac:dyDescent="0.3">
      <c r="A1330" s="17"/>
      <c r="B1330" s="17"/>
      <c r="C1330" s="17"/>
      <c r="D1330" s="17"/>
      <c r="E1330" s="17"/>
      <c r="F1330" s="17"/>
      <c r="G1330" s="17"/>
      <c r="H1330" s="18"/>
      <c r="I1330" s="17"/>
      <c r="J1330" s="17"/>
      <c r="K1330" s="17"/>
      <c r="L1330" s="18"/>
      <c r="M1330" s="17"/>
      <c r="N1330" s="18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</row>
    <row r="1331" spans="1:30" ht="15.6" x14ac:dyDescent="0.3">
      <c r="A1331" s="17"/>
      <c r="B1331" s="17"/>
      <c r="C1331" s="17"/>
      <c r="D1331" s="17"/>
      <c r="E1331" s="17"/>
      <c r="F1331" s="17"/>
      <c r="G1331" s="17"/>
      <c r="H1331" s="18"/>
      <c r="I1331" s="17"/>
      <c r="J1331" s="17"/>
      <c r="K1331" s="17"/>
      <c r="L1331" s="18"/>
      <c r="M1331" s="17"/>
      <c r="N1331" s="18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</row>
    <row r="1332" spans="1:30" ht="15.6" x14ac:dyDescent="0.3">
      <c r="A1332" s="17"/>
      <c r="B1332" s="17"/>
      <c r="C1332" s="17"/>
      <c r="D1332" s="17"/>
      <c r="E1332" s="17"/>
      <c r="F1332" s="17"/>
      <c r="G1332" s="17"/>
      <c r="H1332" s="18"/>
      <c r="I1332" s="17"/>
      <c r="J1332" s="17"/>
      <c r="K1332" s="17"/>
      <c r="L1332" s="18"/>
      <c r="M1332" s="17"/>
      <c r="N1332" s="18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</row>
    <row r="1333" spans="1:30" ht="15.6" x14ac:dyDescent="0.3">
      <c r="A1333" s="17"/>
      <c r="B1333" s="17"/>
      <c r="C1333" s="17"/>
      <c r="D1333" s="17"/>
      <c r="E1333" s="17"/>
      <c r="F1333" s="17"/>
      <c r="G1333" s="17"/>
      <c r="H1333" s="18"/>
      <c r="I1333" s="17"/>
      <c r="J1333" s="17"/>
      <c r="K1333" s="17"/>
      <c r="L1333" s="18"/>
      <c r="M1333" s="17"/>
      <c r="N1333" s="18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</row>
    <row r="1334" spans="1:30" ht="15.6" x14ac:dyDescent="0.3">
      <c r="A1334" s="17"/>
      <c r="B1334" s="17"/>
      <c r="C1334" s="17"/>
      <c r="D1334" s="17"/>
      <c r="E1334" s="17"/>
      <c r="F1334" s="17"/>
      <c r="G1334" s="17"/>
      <c r="H1334" s="18"/>
      <c r="I1334" s="17"/>
      <c r="J1334" s="17"/>
      <c r="K1334" s="17"/>
      <c r="L1334" s="18"/>
      <c r="M1334" s="17"/>
      <c r="N1334" s="18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</row>
    <row r="1335" spans="1:30" ht="15.6" x14ac:dyDescent="0.3">
      <c r="A1335" s="17"/>
      <c r="B1335" s="17"/>
      <c r="C1335" s="17"/>
      <c r="D1335" s="17"/>
      <c r="E1335" s="17"/>
      <c r="F1335" s="17"/>
      <c r="G1335" s="17"/>
      <c r="H1335" s="18"/>
      <c r="I1335" s="17"/>
      <c r="J1335" s="17"/>
      <c r="K1335" s="17"/>
      <c r="L1335" s="18"/>
      <c r="M1335" s="17"/>
      <c r="N1335" s="18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</row>
    <row r="1336" spans="1:30" ht="15.6" x14ac:dyDescent="0.3">
      <c r="A1336" s="17"/>
      <c r="B1336" s="17"/>
      <c r="C1336" s="17"/>
      <c r="D1336" s="17"/>
      <c r="E1336" s="17"/>
      <c r="F1336" s="17"/>
      <c r="G1336" s="17"/>
      <c r="H1336" s="18"/>
      <c r="I1336" s="17"/>
      <c r="J1336" s="17"/>
      <c r="K1336" s="17"/>
      <c r="L1336" s="18"/>
      <c r="M1336" s="17"/>
      <c r="N1336" s="18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</row>
    <row r="1337" spans="1:30" ht="15.6" x14ac:dyDescent="0.3">
      <c r="A1337" s="17"/>
      <c r="B1337" s="17"/>
      <c r="C1337" s="17"/>
      <c r="D1337" s="17"/>
      <c r="E1337" s="17"/>
      <c r="F1337" s="17"/>
      <c r="G1337" s="17"/>
      <c r="H1337" s="18"/>
      <c r="I1337" s="17"/>
      <c r="J1337" s="17"/>
      <c r="K1337" s="17"/>
      <c r="L1337" s="18"/>
      <c r="M1337" s="17"/>
      <c r="N1337" s="18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</row>
    <row r="1338" spans="1:30" ht="15.6" x14ac:dyDescent="0.3">
      <c r="A1338" s="17"/>
      <c r="B1338" s="17"/>
      <c r="C1338" s="17"/>
      <c r="D1338" s="17"/>
      <c r="E1338" s="17"/>
      <c r="F1338" s="17"/>
      <c r="G1338" s="17"/>
      <c r="H1338" s="18"/>
      <c r="I1338" s="17"/>
      <c r="J1338" s="17"/>
      <c r="K1338" s="17"/>
      <c r="L1338" s="18"/>
      <c r="M1338" s="17"/>
      <c r="N1338" s="18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</row>
    <row r="1339" spans="1:30" ht="15.6" x14ac:dyDescent="0.3">
      <c r="A1339" s="17"/>
      <c r="B1339" s="17"/>
      <c r="C1339" s="17"/>
      <c r="D1339" s="17"/>
      <c r="E1339" s="17"/>
      <c r="F1339" s="17"/>
      <c r="G1339" s="17"/>
      <c r="H1339" s="18"/>
      <c r="I1339" s="17"/>
      <c r="J1339" s="17"/>
      <c r="K1339" s="17"/>
      <c r="L1339" s="18"/>
      <c r="M1339" s="17"/>
      <c r="N1339" s="18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</row>
    <row r="1340" spans="1:30" ht="15.6" x14ac:dyDescent="0.3">
      <c r="A1340" s="17"/>
      <c r="B1340" s="17"/>
      <c r="C1340" s="17"/>
      <c r="D1340" s="17"/>
      <c r="E1340" s="17"/>
      <c r="F1340" s="17"/>
      <c r="G1340" s="17"/>
      <c r="H1340" s="18"/>
      <c r="I1340" s="17"/>
      <c r="J1340" s="17"/>
      <c r="K1340" s="17"/>
      <c r="L1340" s="18"/>
      <c r="M1340" s="17"/>
      <c r="N1340" s="18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</row>
    <row r="1341" spans="1:30" ht="15.6" x14ac:dyDescent="0.3">
      <c r="A1341" s="17"/>
      <c r="B1341" s="17"/>
      <c r="C1341" s="17"/>
      <c r="D1341" s="17"/>
      <c r="E1341" s="17"/>
      <c r="F1341" s="17"/>
      <c r="G1341" s="17"/>
      <c r="H1341" s="18"/>
      <c r="I1341" s="17"/>
      <c r="J1341" s="17"/>
      <c r="K1341" s="17"/>
      <c r="L1341" s="18"/>
      <c r="M1341" s="17"/>
      <c r="N1341" s="18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</row>
    <row r="1342" spans="1:30" ht="15.6" x14ac:dyDescent="0.3">
      <c r="A1342" s="17"/>
      <c r="B1342" s="17"/>
      <c r="C1342" s="17"/>
      <c r="D1342" s="17"/>
      <c r="E1342" s="17"/>
      <c r="F1342" s="17"/>
      <c r="G1342" s="17"/>
      <c r="H1342" s="18"/>
      <c r="I1342" s="17"/>
      <c r="J1342" s="17"/>
      <c r="K1342" s="17"/>
      <c r="L1342" s="18"/>
      <c r="M1342" s="17"/>
      <c r="N1342" s="18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</row>
    <row r="1343" spans="1:30" ht="15.6" x14ac:dyDescent="0.3">
      <c r="A1343" s="17"/>
      <c r="B1343" s="17"/>
      <c r="C1343" s="17"/>
      <c r="D1343" s="17"/>
      <c r="E1343" s="17"/>
      <c r="F1343" s="17"/>
      <c r="G1343" s="17"/>
      <c r="H1343" s="18"/>
      <c r="I1343" s="17"/>
      <c r="J1343" s="17"/>
      <c r="K1343" s="17"/>
      <c r="L1343" s="18"/>
      <c r="M1343" s="17"/>
      <c r="N1343" s="18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</row>
    <row r="1344" spans="1:30" ht="15.6" x14ac:dyDescent="0.3">
      <c r="A1344" s="17"/>
      <c r="B1344" s="17"/>
      <c r="C1344" s="17"/>
      <c r="D1344" s="17"/>
      <c r="E1344" s="17"/>
      <c r="F1344" s="17"/>
      <c r="G1344" s="17"/>
      <c r="H1344" s="18"/>
      <c r="I1344" s="17"/>
      <c r="J1344" s="17"/>
      <c r="K1344" s="17"/>
      <c r="L1344" s="18"/>
      <c r="M1344" s="17"/>
      <c r="N1344" s="18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</row>
    <row r="1345" spans="1:30" ht="15.6" x14ac:dyDescent="0.3">
      <c r="A1345" s="17"/>
      <c r="B1345" s="17"/>
      <c r="C1345" s="17"/>
      <c r="D1345" s="17"/>
      <c r="E1345" s="17"/>
      <c r="F1345" s="17"/>
      <c r="G1345" s="17"/>
      <c r="H1345" s="18"/>
      <c r="I1345" s="17"/>
      <c r="J1345" s="17"/>
      <c r="K1345" s="17"/>
      <c r="L1345" s="18"/>
      <c r="M1345" s="17"/>
      <c r="N1345" s="18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</row>
    <row r="1346" spans="1:30" ht="15.6" x14ac:dyDescent="0.3">
      <c r="A1346" s="17"/>
      <c r="B1346" s="17"/>
      <c r="C1346" s="17"/>
      <c r="D1346" s="17"/>
      <c r="E1346" s="17"/>
      <c r="F1346" s="17"/>
      <c r="G1346" s="17"/>
      <c r="H1346" s="18"/>
      <c r="I1346" s="17"/>
      <c r="J1346" s="17"/>
      <c r="K1346" s="17"/>
      <c r="L1346" s="18"/>
      <c r="M1346" s="17"/>
      <c r="N1346" s="18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</row>
    <row r="1347" spans="1:30" ht="15.6" x14ac:dyDescent="0.3">
      <c r="A1347" s="17"/>
      <c r="B1347" s="17"/>
      <c r="C1347" s="17"/>
      <c r="D1347" s="17"/>
      <c r="E1347" s="17"/>
      <c r="F1347" s="17"/>
      <c r="G1347" s="17"/>
      <c r="H1347" s="18"/>
      <c r="I1347" s="17"/>
      <c r="J1347" s="17"/>
      <c r="K1347" s="17"/>
      <c r="L1347" s="18"/>
      <c r="M1347" s="17"/>
      <c r="N1347" s="18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</row>
    <row r="1348" spans="1:30" ht="15.6" x14ac:dyDescent="0.3">
      <c r="A1348" s="17"/>
      <c r="B1348" s="17"/>
      <c r="C1348" s="17"/>
      <c r="D1348" s="17"/>
      <c r="E1348" s="17"/>
      <c r="F1348" s="17"/>
      <c r="G1348" s="17"/>
      <c r="H1348" s="18"/>
      <c r="I1348" s="17"/>
      <c r="J1348" s="17"/>
      <c r="K1348" s="17"/>
      <c r="L1348" s="18"/>
      <c r="M1348" s="17"/>
      <c r="N1348" s="18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</row>
    <row r="1349" spans="1:30" ht="15.6" x14ac:dyDescent="0.3">
      <c r="A1349" s="17"/>
      <c r="B1349" s="17"/>
      <c r="C1349" s="17"/>
      <c r="D1349" s="17"/>
      <c r="E1349" s="17"/>
      <c r="F1349" s="17"/>
      <c r="G1349" s="17"/>
      <c r="H1349" s="18"/>
      <c r="I1349" s="17"/>
      <c r="J1349" s="17"/>
      <c r="K1349" s="17"/>
      <c r="L1349" s="18"/>
      <c r="M1349" s="17"/>
      <c r="N1349" s="18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</row>
    <row r="1350" spans="1:30" ht="15.6" x14ac:dyDescent="0.3">
      <c r="A1350" s="17"/>
      <c r="B1350" s="17"/>
      <c r="C1350" s="17"/>
      <c r="D1350" s="17"/>
      <c r="E1350" s="17"/>
      <c r="F1350" s="17"/>
      <c r="G1350" s="17"/>
      <c r="H1350" s="18"/>
      <c r="I1350" s="17"/>
      <c r="J1350" s="17"/>
      <c r="K1350" s="17"/>
      <c r="L1350" s="18"/>
      <c r="M1350" s="17"/>
      <c r="N1350" s="18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</row>
    <row r="1351" spans="1:30" ht="15.6" x14ac:dyDescent="0.3">
      <c r="A1351" s="17"/>
      <c r="B1351" s="17"/>
      <c r="C1351" s="17"/>
      <c r="D1351" s="17"/>
      <c r="E1351" s="17"/>
      <c r="F1351" s="17"/>
      <c r="G1351" s="17"/>
      <c r="H1351" s="18"/>
      <c r="I1351" s="17"/>
      <c r="J1351" s="17"/>
      <c r="K1351" s="17"/>
      <c r="L1351" s="18"/>
      <c r="M1351" s="17"/>
      <c r="N1351" s="18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</row>
    <row r="1352" spans="1:30" ht="15.6" x14ac:dyDescent="0.3">
      <c r="A1352" s="17"/>
      <c r="B1352" s="17"/>
      <c r="C1352" s="17"/>
      <c r="D1352" s="17"/>
      <c r="E1352" s="17"/>
      <c r="F1352" s="17"/>
      <c r="G1352" s="17"/>
      <c r="H1352" s="18"/>
      <c r="I1352" s="17"/>
      <c r="J1352" s="17"/>
      <c r="K1352" s="17"/>
      <c r="L1352" s="18"/>
      <c r="M1352" s="17"/>
      <c r="N1352" s="18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</row>
    <row r="1353" spans="1:30" ht="15.6" x14ac:dyDescent="0.3">
      <c r="A1353" s="17"/>
      <c r="B1353" s="17"/>
      <c r="C1353" s="17"/>
      <c r="D1353" s="17"/>
      <c r="E1353" s="17"/>
      <c r="F1353" s="17"/>
      <c r="G1353" s="17"/>
      <c r="H1353" s="18"/>
      <c r="I1353" s="17"/>
      <c r="J1353" s="17"/>
      <c r="K1353" s="17"/>
      <c r="L1353" s="18"/>
      <c r="M1353" s="17"/>
      <c r="N1353" s="18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</row>
    <row r="1354" spans="1:30" ht="15.6" x14ac:dyDescent="0.3">
      <c r="A1354" s="17"/>
      <c r="B1354" s="17"/>
      <c r="C1354" s="17"/>
      <c r="D1354" s="17"/>
      <c r="E1354" s="17"/>
      <c r="F1354" s="17"/>
      <c r="G1354" s="17"/>
      <c r="H1354" s="18"/>
      <c r="I1354" s="17"/>
      <c r="J1354" s="17"/>
      <c r="K1354" s="17"/>
      <c r="L1354" s="18"/>
      <c r="M1354" s="17"/>
      <c r="N1354" s="18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</row>
    <row r="1355" spans="1:30" ht="15.6" x14ac:dyDescent="0.3">
      <c r="A1355" s="17"/>
      <c r="B1355" s="17"/>
      <c r="C1355" s="17"/>
      <c r="D1355" s="17"/>
      <c r="E1355" s="17"/>
      <c r="F1355" s="17"/>
      <c r="G1355" s="17"/>
      <c r="H1355" s="18"/>
      <c r="I1355" s="17"/>
      <c r="J1355" s="17"/>
      <c r="K1355" s="17"/>
      <c r="L1355" s="18"/>
      <c r="M1355" s="17"/>
      <c r="N1355" s="18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</row>
    <row r="1356" spans="1:30" ht="15.6" x14ac:dyDescent="0.3">
      <c r="A1356" s="17"/>
      <c r="B1356" s="17"/>
      <c r="C1356" s="17"/>
      <c r="D1356" s="17"/>
      <c r="E1356" s="17"/>
      <c r="F1356" s="17"/>
      <c r="G1356" s="17"/>
      <c r="H1356" s="18"/>
      <c r="I1356" s="17"/>
      <c r="J1356" s="17"/>
      <c r="K1356" s="17"/>
      <c r="L1356" s="18"/>
      <c r="M1356" s="17"/>
      <c r="N1356" s="18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</row>
    <row r="1357" spans="1:30" ht="15.6" x14ac:dyDescent="0.3">
      <c r="A1357" s="17"/>
      <c r="B1357" s="17"/>
      <c r="C1357" s="17"/>
      <c r="D1357" s="17"/>
      <c r="E1357" s="17"/>
      <c r="F1357" s="17"/>
      <c r="G1357" s="17"/>
      <c r="H1357" s="18"/>
      <c r="I1357" s="17"/>
      <c r="J1357" s="17"/>
      <c r="K1357" s="17"/>
      <c r="L1357" s="18"/>
      <c r="M1357" s="17"/>
      <c r="N1357" s="18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</row>
    <row r="1358" spans="1:30" ht="15.6" x14ac:dyDescent="0.3">
      <c r="A1358" s="17"/>
      <c r="B1358" s="17"/>
      <c r="C1358" s="17"/>
      <c r="D1358" s="17"/>
      <c r="E1358" s="17"/>
      <c r="F1358" s="17"/>
      <c r="G1358" s="17"/>
      <c r="H1358" s="18"/>
      <c r="I1358" s="17"/>
      <c r="J1358" s="17"/>
      <c r="K1358" s="17"/>
      <c r="L1358" s="18"/>
      <c r="M1358" s="17"/>
      <c r="N1358" s="18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</row>
    <row r="1359" spans="1:30" ht="15.6" x14ac:dyDescent="0.3">
      <c r="A1359" s="17"/>
      <c r="B1359" s="17"/>
      <c r="C1359" s="17"/>
      <c r="D1359" s="17"/>
      <c r="E1359" s="17"/>
      <c r="F1359" s="17"/>
      <c r="G1359" s="17"/>
      <c r="H1359" s="18"/>
      <c r="I1359" s="17"/>
      <c r="J1359" s="17"/>
      <c r="K1359" s="17"/>
      <c r="L1359" s="18"/>
      <c r="M1359" s="17"/>
      <c r="N1359" s="18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</row>
    <row r="1360" spans="1:30" ht="15.6" x14ac:dyDescent="0.3">
      <c r="A1360" s="17"/>
      <c r="B1360" s="17"/>
      <c r="C1360" s="17"/>
      <c r="D1360" s="17"/>
      <c r="E1360" s="17"/>
      <c r="F1360" s="17"/>
      <c r="G1360" s="17"/>
      <c r="H1360" s="18"/>
      <c r="I1360" s="17"/>
      <c r="J1360" s="17"/>
      <c r="K1360" s="17"/>
      <c r="L1360" s="18"/>
      <c r="M1360" s="17"/>
      <c r="N1360" s="18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</row>
    <row r="1361" spans="1:30" ht="15.6" x14ac:dyDescent="0.3">
      <c r="A1361" s="17"/>
      <c r="B1361" s="17"/>
      <c r="C1361" s="17"/>
      <c r="D1361" s="17"/>
      <c r="E1361" s="17"/>
      <c r="F1361" s="17"/>
      <c r="G1361" s="17"/>
      <c r="H1361" s="18"/>
      <c r="I1361" s="17"/>
      <c r="J1361" s="17"/>
      <c r="K1361" s="17"/>
      <c r="L1361" s="18"/>
      <c r="M1361" s="17"/>
      <c r="N1361" s="18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</row>
    <row r="1362" spans="1:30" ht="15.6" x14ac:dyDescent="0.3">
      <c r="A1362" s="17"/>
      <c r="B1362" s="17"/>
      <c r="C1362" s="17"/>
      <c r="D1362" s="17"/>
      <c r="E1362" s="17"/>
      <c r="F1362" s="17"/>
      <c r="G1362" s="17"/>
      <c r="H1362" s="18"/>
      <c r="I1362" s="17"/>
      <c r="J1362" s="17"/>
      <c r="K1362" s="17"/>
      <c r="L1362" s="18"/>
      <c r="M1362" s="17"/>
      <c r="N1362" s="18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</row>
    <row r="1363" spans="1:30" ht="15.6" x14ac:dyDescent="0.3">
      <c r="A1363" s="17"/>
      <c r="B1363" s="17"/>
      <c r="C1363" s="17"/>
      <c r="D1363" s="17"/>
      <c r="E1363" s="17"/>
      <c r="F1363" s="17"/>
      <c r="G1363" s="17"/>
      <c r="H1363" s="18"/>
      <c r="I1363" s="17"/>
      <c r="J1363" s="17"/>
      <c r="K1363" s="17"/>
      <c r="L1363" s="18"/>
      <c r="M1363" s="17"/>
      <c r="N1363" s="18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</row>
    <row r="1364" spans="1:30" ht="15.6" x14ac:dyDescent="0.3">
      <c r="A1364" s="17"/>
      <c r="B1364" s="17"/>
      <c r="C1364" s="17"/>
      <c r="D1364" s="17"/>
      <c r="E1364" s="17"/>
      <c r="F1364" s="17"/>
      <c r="G1364" s="17"/>
      <c r="H1364" s="18"/>
      <c r="I1364" s="17"/>
      <c r="J1364" s="17"/>
      <c r="K1364" s="17"/>
      <c r="L1364" s="18"/>
      <c r="M1364" s="17"/>
      <c r="N1364" s="18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</row>
    <row r="1365" spans="1:30" ht="15.6" x14ac:dyDescent="0.3">
      <c r="A1365" s="17"/>
      <c r="B1365" s="17"/>
      <c r="C1365" s="17"/>
      <c r="D1365" s="17"/>
      <c r="E1365" s="17"/>
      <c r="F1365" s="17"/>
      <c r="G1365" s="17"/>
      <c r="H1365" s="18"/>
      <c r="I1365" s="17"/>
      <c r="J1365" s="17"/>
      <c r="K1365" s="17"/>
      <c r="L1365" s="18"/>
      <c r="M1365" s="17"/>
      <c r="N1365" s="18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</row>
    <row r="1366" spans="1:30" ht="15.6" x14ac:dyDescent="0.3">
      <c r="A1366" s="17"/>
      <c r="B1366" s="17"/>
      <c r="C1366" s="17"/>
      <c r="D1366" s="17"/>
      <c r="E1366" s="17"/>
      <c r="F1366" s="17"/>
      <c r="G1366" s="17"/>
      <c r="H1366" s="18"/>
      <c r="I1366" s="17"/>
      <c r="J1366" s="17"/>
      <c r="K1366" s="17"/>
      <c r="L1366" s="18"/>
      <c r="M1366" s="17"/>
      <c r="N1366" s="18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</row>
    <row r="1367" spans="1:30" ht="15.6" x14ac:dyDescent="0.3">
      <c r="A1367" s="17"/>
      <c r="B1367" s="17"/>
      <c r="C1367" s="17"/>
      <c r="D1367" s="17"/>
      <c r="E1367" s="17"/>
      <c r="F1367" s="17"/>
      <c r="G1367" s="17"/>
      <c r="H1367" s="18"/>
      <c r="I1367" s="17"/>
      <c r="J1367" s="17"/>
      <c r="K1367" s="17"/>
      <c r="L1367" s="18"/>
      <c r="M1367" s="17"/>
      <c r="N1367" s="18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</row>
    <row r="1368" spans="1:30" ht="15.6" x14ac:dyDescent="0.3">
      <c r="A1368" s="17"/>
      <c r="B1368" s="17"/>
      <c r="C1368" s="17"/>
      <c r="D1368" s="17"/>
      <c r="E1368" s="17"/>
      <c r="F1368" s="17"/>
      <c r="G1368" s="17"/>
      <c r="H1368" s="18"/>
      <c r="I1368" s="17"/>
      <c r="J1368" s="17"/>
      <c r="K1368" s="17"/>
      <c r="L1368" s="18"/>
      <c r="M1368" s="17"/>
      <c r="N1368" s="18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</row>
    <row r="1369" spans="1:30" ht="15.6" x14ac:dyDescent="0.3">
      <c r="A1369" s="17"/>
      <c r="B1369" s="17"/>
      <c r="C1369" s="17"/>
      <c r="D1369" s="17"/>
      <c r="E1369" s="17"/>
      <c r="F1369" s="17"/>
      <c r="G1369" s="17"/>
      <c r="H1369" s="18"/>
      <c r="I1369" s="17"/>
      <c r="J1369" s="17"/>
      <c r="K1369" s="17"/>
      <c r="L1369" s="18"/>
      <c r="M1369" s="17"/>
      <c r="N1369" s="18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</row>
    <row r="1370" spans="1:30" ht="15.6" x14ac:dyDescent="0.3">
      <c r="A1370" s="17"/>
      <c r="B1370" s="17"/>
      <c r="C1370" s="17"/>
      <c r="D1370" s="17"/>
      <c r="E1370" s="17"/>
      <c r="F1370" s="17"/>
      <c r="G1370" s="17"/>
      <c r="H1370" s="18"/>
      <c r="I1370" s="17"/>
      <c r="J1370" s="17"/>
      <c r="K1370" s="17"/>
      <c r="L1370" s="18"/>
      <c r="M1370" s="17"/>
      <c r="N1370" s="18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</row>
    <row r="1371" spans="1:30" ht="15.6" x14ac:dyDescent="0.3">
      <c r="A1371" s="17"/>
      <c r="B1371" s="17"/>
      <c r="C1371" s="17"/>
      <c r="D1371" s="17"/>
      <c r="E1371" s="17"/>
      <c r="F1371" s="17"/>
      <c r="G1371" s="17"/>
      <c r="H1371" s="18"/>
      <c r="I1371" s="17"/>
      <c r="J1371" s="17"/>
      <c r="K1371" s="17"/>
      <c r="L1371" s="18"/>
      <c r="M1371" s="17"/>
      <c r="N1371" s="18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</row>
    <row r="1372" spans="1:30" ht="15.6" x14ac:dyDescent="0.3">
      <c r="A1372" s="17"/>
      <c r="B1372" s="17"/>
      <c r="C1372" s="17"/>
      <c r="D1372" s="17"/>
      <c r="E1372" s="17"/>
      <c r="F1372" s="17"/>
      <c r="G1372" s="17"/>
      <c r="H1372" s="18"/>
      <c r="I1372" s="17"/>
      <c r="J1372" s="17"/>
      <c r="K1372" s="17"/>
      <c r="L1372" s="18"/>
      <c r="M1372" s="17"/>
      <c r="N1372" s="18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</row>
    <row r="1373" spans="1:30" ht="15.6" x14ac:dyDescent="0.3">
      <c r="A1373" s="17"/>
      <c r="B1373" s="17"/>
      <c r="C1373" s="17"/>
      <c r="D1373" s="17"/>
      <c r="E1373" s="17"/>
      <c r="F1373" s="17"/>
      <c r="G1373" s="17"/>
      <c r="H1373" s="18"/>
      <c r="I1373" s="17"/>
      <c r="J1373" s="17"/>
      <c r="K1373" s="17"/>
      <c r="L1373" s="18"/>
      <c r="M1373" s="17"/>
      <c r="N1373" s="18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</row>
    <row r="1374" spans="1:30" ht="15.6" x14ac:dyDescent="0.3">
      <c r="A1374" s="17"/>
      <c r="B1374" s="17"/>
      <c r="C1374" s="17"/>
      <c r="D1374" s="17"/>
      <c r="E1374" s="17"/>
      <c r="F1374" s="17"/>
      <c r="G1374" s="17"/>
      <c r="H1374" s="18"/>
      <c r="I1374" s="17"/>
      <c r="J1374" s="17"/>
      <c r="K1374" s="17"/>
      <c r="L1374" s="18"/>
      <c r="M1374" s="17"/>
      <c r="N1374" s="18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</row>
    <row r="1375" spans="1:30" ht="15.6" x14ac:dyDescent="0.3">
      <c r="A1375" s="17"/>
      <c r="B1375" s="17"/>
      <c r="C1375" s="17"/>
      <c r="D1375" s="17"/>
      <c r="E1375" s="17"/>
      <c r="F1375" s="17"/>
      <c r="G1375" s="17"/>
      <c r="H1375" s="18"/>
      <c r="I1375" s="17"/>
      <c r="J1375" s="17"/>
      <c r="K1375" s="17"/>
      <c r="L1375" s="18"/>
      <c r="M1375" s="17"/>
      <c r="N1375" s="18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</row>
    <row r="1376" spans="1:30" ht="15.6" x14ac:dyDescent="0.3">
      <c r="A1376" s="17"/>
      <c r="B1376" s="17"/>
      <c r="C1376" s="17"/>
      <c r="D1376" s="17"/>
      <c r="E1376" s="17"/>
      <c r="F1376" s="17"/>
      <c r="G1376" s="17"/>
      <c r="H1376" s="18"/>
      <c r="I1376" s="17"/>
      <c r="J1376" s="17"/>
      <c r="K1376" s="17"/>
      <c r="L1376" s="18"/>
      <c r="M1376" s="17"/>
      <c r="N1376" s="18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</row>
    <row r="1377" spans="1:30" ht="15.6" x14ac:dyDescent="0.3">
      <c r="A1377" s="17"/>
      <c r="B1377" s="17"/>
      <c r="C1377" s="17"/>
      <c r="D1377" s="17"/>
      <c r="E1377" s="17"/>
      <c r="F1377" s="17"/>
      <c r="G1377" s="17"/>
      <c r="H1377" s="18"/>
      <c r="I1377" s="17"/>
      <c r="J1377" s="17"/>
      <c r="K1377" s="17"/>
      <c r="L1377" s="18"/>
      <c r="M1377" s="17"/>
      <c r="N1377" s="18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</row>
    <row r="1378" spans="1:30" ht="15.6" x14ac:dyDescent="0.3">
      <c r="A1378" s="17"/>
      <c r="B1378" s="17"/>
      <c r="C1378" s="17"/>
      <c r="D1378" s="17"/>
      <c r="E1378" s="17"/>
      <c r="F1378" s="17"/>
      <c r="G1378" s="17"/>
      <c r="H1378" s="18"/>
      <c r="I1378" s="17"/>
      <c r="J1378" s="17"/>
      <c r="K1378" s="17"/>
      <c r="L1378" s="18"/>
      <c r="M1378" s="17"/>
      <c r="N1378" s="18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</row>
    <row r="1379" spans="1:30" ht="15.6" x14ac:dyDescent="0.3">
      <c r="A1379" s="17"/>
      <c r="B1379" s="17"/>
      <c r="C1379" s="17"/>
      <c r="D1379" s="17"/>
      <c r="E1379" s="17"/>
      <c r="F1379" s="17"/>
      <c r="G1379" s="17"/>
      <c r="H1379" s="18"/>
      <c r="I1379" s="17"/>
      <c r="J1379" s="17"/>
      <c r="K1379" s="17"/>
      <c r="L1379" s="18"/>
      <c r="M1379" s="17"/>
      <c r="N1379" s="18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</row>
    <row r="1380" spans="1:30" ht="15.6" x14ac:dyDescent="0.3">
      <c r="A1380" s="17"/>
      <c r="B1380" s="17"/>
      <c r="C1380" s="17"/>
      <c r="D1380" s="17"/>
      <c r="E1380" s="17"/>
      <c r="F1380" s="17"/>
      <c r="G1380" s="17"/>
      <c r="H1380" s="18"/>
      <c r="I1380" s="17"/>
      <c r="J1380" s="17"/>
      <c r="K1380" s="17"/>
      <c r="L1380" s="18"/>
      <c r="M1380" s="17"/>
      <c r="N1380" s="18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</row>
    <row r="1381" spans="1:30" ht="15.6" x14ac:dyDescent="0.3">
      <c r="A1381" s="17"/>
      <c r="B1381" s="17"/>
      <c r="C1381" s="17"/>
      <c r="D1381" s="17"/>
      <c r="E1381" s="17"/>
      <c r="F1381" s="17"/>
      <c r="G1381" s="17"/>
      <c r="H1381" s="18"/>
      <c r="I1381" s="17"/>
      <c r="J1381" s="17"/>
      <c r="K1381" s="17"/>
      <c r="L1381" s="18"/>
      <c r="M1381" s="17"/>
      <c r="N1381" s="18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</row>
    <row r="1382" spans="1:30" ht="15.6" x14ac:dyDescent="0.3">
      <c r="A1382" s="17"/>
      <c r="B1382" s="17"/>
      <c r="C1382" s="17"/>
      <c r="D1382" s="17"/>
      <c r="E1382" s="17"/>
      <c r="F1382" s="17"/>
      <c r="G1382" s="17"/>
      <c r="H1382" s="18"/>
      <c r="I1382" s="17"/>
      <c r="J1382" s="17"/>
      <c r="K1382" s="17"/>
      <c r="L1382" s="18"/>
      <c r="M1382" s="17"/>
      <c r="N1382" s="18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</row>
    <row r="1383" spans="1:30" ht="15.6" x14ac:dyDescent="0.3">
      <c r="A1383" s="17"/>
      <c r="B1383" s="17"/>
      <c r="C1383" s="17"/>
      <c r="D1383" s="17"/>
      <c r="E1383" s="17"/>
      <c r="F1383" s="17"/>
      <c r="G1383" s="17"/>
      <c r="H1383" s="18"/>
      <c r="I1383" s="17"/>
      <c r="J1383" s="17"/>
      <c r="K1383" s="17"/>
      <c r="L1383" s="18"/>
      <c r="M1383" s="17"/>
      <c r="N1383" s="18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</row>
    <row r="1384" spans="1:30" ht="15.6" x14ac:dyDescent="0.3">
      <c r="A1384" s="17"/>
      <c r="B1384" s="17"/>
      <c r="C1384" s="17"/>
      <c r="D1384" s="17"/>
      <c r="E1384" s="17"/>
      <c r="F1384" s="17"/>
      <c r="G1384" s="17"/>
      <c r="H1384" s="18"/>
      <c r="I1384" s="17"/>
      <c r="J1384" s="17"/>
      <c r="K1384" s="17"/>
      <c r="L1384" s="18"/>
      <c r="M1384" s="17"/>
      <c r="N1384" s="18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</row>
    <row r="1385" spans="1:30" ht="15.6" x14ac:dyDescent="0.3">
      <c r="A1385" s="17"/>
      <c r="B1385" s="17"/>
      <c r="C1385" s="17"/>
      <c r="D1385" s="17"/>
      <c r="E1385" s="17"/>
      <c r="F1385" s="17"/>
      <c r="G1385" s="17"/>
      <c r="H1385" s="18"/>
      <c r="I1385" s="17"/>
      <c r="J1385" s="17"/>
      <c r="K1385" s="17"/>
      <c r="L1385" s="18"/>
      <c r="M1385" s="17"/>
      <c r="N1385" s="18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</row>
    <row r="1386" spans="1:30" ht="15.6" x14ac:dyDescent="0.3">
      <c r="A1386" s="17"/>
      <c r="B1386" s="17"/>
      <c r="C1386" s="17"/>
      <c r="D1386" s="17"/>
      <c r="E1386" s="17"/>
      <c r="F1386" s="17"/>
      <c r="G1386" s="17"/>
      <c r="H1386" s="18"/>
      <c r="I1386" s="17"/>
      <c r="J1386" s="17"/>
      <c r="K1386" s="17"/>
      <c r="L1386" s="18"/>
      <c r="M1386" s="17"/>
      <c r="N1386" s="18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</row>
    <row r="1387" spans="1:30" ht="15.6" x14ac:dyDescent="0.3">
      <c r="A1387" s="17"/>
      <c r="B1387" s="17"/>
      <c r="C1387" s="17"/>
      <c r="D1387" s="17"/>
      <c r="E1387" s="17"/>
      <c r="F1387" s="17"/>
      <c r="G1387" s="17"/>
      <c r="H1387" s="18"/>
      <c r="I1387" s="17"/>
      <c r="J1387" s="17"/>
      <c r="K1387" s="17"/>
      <c r="L1387" s="18"/>
      <c r="M1387" s="17"/>
      <c r="N1387" s="18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</row>
    <row r="1388" spans="1:30" ht="15.6" x14ac:dyDescent="0.3">
      <c r="A1388" s="17"/>
      <c r="B1388" s="17"/>
      <c r="C1388" s="17"/>
      <c r="D1388" s="17"/>
      <c r="E1388" s="17"/>
      <c r="F1388" s="17"/>
      <c r="G1388" s="17"/>
      <c r="H1388" s="18"/>
      <c r="I1388" s="17"/>
      <c r="J1388" s="17"/>
      <c r="K1388" s="17"/>
      <c r="L1388" s="18"/>
      <c r="M1388" s="17"/>
      <c r="N1388" s="18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</row>
    <row r="1389" spans="1:30" ht="15.6" x14ac:dyDescent="0.3">
      <c r="A1389" s="17"/>
      <c r="B1389" s="17"/>
      <c r="C1389" s="17"/>
      <c r="D1389" s="17"/>
      <c r="E1389" s="17"/>
      <c r="F1389" s="17"/>
      <c r="G1389" s="17"/>
      <c r="H1389" s="18"/>
      <c r="I1389" s="17"/>
      <c r="J1389" s="17"/>
      <c r="K1389" s="17"/>
      <c r="L1389" s="18"/>
      <c r="M1389" s="17"/>
      <c r="N1389" s="18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</row>
    <row r="1390" spans="1:30" ht="15.6" x14ac:dyDescent="0.3">
      <c r="A1390" s="17"/>
      <c r="B1390" s="17"/>
      <c r="C1390" s="17"/>
      <c r="D1390" s="17"/>
      <c r="E1390" s="17"/>
      <c r="F1390" s="17"/>
      <c r="G1390" s="17"/>
      <c r="H1390" s="18"/>
      <c r="I1390" s="17"/>
      <c r="J1390" s="17"/>
      <c r="K1390" s="17"/>
      <c r="L1390" s="18"/>
      <c r="M1390" s="17"/>
      <c r="N1390" s="18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</row>
    <row r="1391" spans="1:30" ht="15.6" x14ac:dyDescent="0.3">
      <c r="A1391" s="17"/>
      <c r="B1391" s="17"/>
      <c r="C1391" s="17"/>
      <c r="D1391" s="17"/>
      <c r="E1391" s="17"/>
      <c r="F1391" s="17"/>
      <c r="G1391" s="17"/>
      <c r="H1391" s="18"/>
      <c r="I1391" s="17"/>
      <c r="J1391" s="17"/>
      <c r="K1391" s="17"/>
      <c r="L1391" s="18"/>
      <c r="M1391" s="17"/>
      <c r="N1391" s="18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</row>
    <row r="1392" spans="1:30" ht="15.6" x14ac:dyDescent="0.3">
      <c r="A1392" s="17"/>
      <c r="B1392" s="17"/>
      <c r="C1392" s="17"/>
      <c r="D1392" s="17"/>
      <c r="E1392" s="17"/>
      <c r="F1392" s="17"/>
      <c r="G1392" s="17"/>
      <c r="H1392" s="18"/>
      <c r="I1392" s="17"/>
      <c r="J1392" s="17"/>
      <c r="K1392" s="17"/>
      <c r="L1392" s="18"/>
      <c r="M1392" s="17"/>
      <c r="N1392" s="18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</row>
    <row r="1393" spans="1:30" ht="15.6" x14ac:dyDescent="0.3">
      <c r="A1393" s="17"/>
      <c r="B1393" s="17"/>
      <c r="C1393" s="17"/>
      <c r="D1393" s="17"/>
      <c r="E1393" s="17"/>
      <c r="F1393" s="17"/>
      <c r="G1393" s="17"/>
      <c r="H1393" s="18"/>
      <c r="I1393" s="17"/>
      <c r="J1393" s="17"/>
      <c r="K1393" s="17"/>
      <c r="L1393" s="18"/>
      <c r="M1393" s="17"/>
      <c r="N1393" s="18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</row>
    <row r="1394" spans="1:30" ht="15.6" x14ac:dyDescent="0.3">
      <c r="A1394" s="17"/>
      <c r="B1394" s="17"/>
      <c r="C1394" s="17"/>
      <c r="D1394" s="17"/>
      <c r="E1394" s="17"/>
      <c r="F1394" s="17"/>
      <c r="G1394" s="17"/>
      <c r="H1394" s="18"/>
      <c r="I1394" s="17"/>
      <c r="J1394" s="17"/>
      <c r="K1394" s="17"/>
      <c r="L1394" s="18"/>
      <c r="M1394" s="17"/>
      <c r="N1394" s="18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</row>
    <row r="1395" spans="1:30" ht="15.6" x14ac:dyDescent="0.3">
      <c r="A1395" s="17"/>
      <c r="B1395" s="17"/>
      <c r="C1395" s="17"/>
      <c r="D1395" s="17"/>
      <c r="E1395" s="17"/>
      <c r="F1395" s="17"/>
      <c r="G1395" s="17"/>
      <c r="H1395" s="18"/>
      <c r="I1395" s="17"/>
      <c r="J1395" s="17"/>
      <c r="K1395" s="17"/>
      <c r="L1395" s="18"/>
      <c r="M1395" s="17"/>
      <c r="N1395" s="18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</row>
    <row r="1396" spans="1:30" ht="15.6" x14ac:dyDescent="0.3">
      <c r="A1396" s="17"/>
      <c r="B1396" s="17"/>
      <c r="C1396" s="17"/>
      <c r="D1396" s="17"/>
      <c r="E1396" s="17"/>
      <c r="F1396" s="17"/>
      <c r="G1396" s="17"/>
      <c r="H1396" s="18"/>
      <c r="I1396" s="17"/>
      <c r="J1396" s="17"/>
      <c r="K1396" s="17"/>
      <c r="L1396" s="18"/>
      <c r="M1396" s="17"/>
      <c r="N1396" s="18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</row>
    <row r="1397" spans="1:30" ht="15.6" x14ac:dyDescent="0.3">
      <c r="A1397" s="17"/>
      <c r="B1397" s="17"/>
      <c r="C1397" s="17"/>
      <c r="D1397" s="17"/>
      <c r="E1397" s="17"/>
      <c r="F1397" s="17"/>
      <c r="G1397" s="17"/>
      <c r="H1397" s="18"/>
      <c r="I1397" s="17"/>
      <c r="J1397" s="17"/>
      <c r="K1397" s="17"/>
      <c r="L1397" s="18"/>
      <c r="M1397" s="17"/>
      <c r="N1397" s="18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</row>
    <row r="1398" spans="1:30" ht="15.6" x14ac:dyDescent="0.3">
      <c r="A1398" s="17"/>
      <c r="B1398" s="17"/>
      <c r="C1398" s="17"/>
      <c r="D1398" s="17"/>
      <c r="E1398" s="17"/>
      <c r="F1398" s="17"/>
      <c r="G1398" s="17"/>
      <c r="H1398" s="18"/>
      <c r="I1398" s="17"/>
      <c r="J1398" s="17"/>
      <c r="K1398" s="17"/>
      <c r="L1398" s="18"/>
      <c r="M1398" s="17"/>
      <c r="N1398" s="18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</row>
    <row r="1399" spans="1:30" ht="15.6" x14ac:dyDescent="0.3">
      <c r="A1399" s="17"/>
      <c r="B1399" s="17"/>
      <c r="C1399" s="17"/>
      <c r="D1399" s="17"/>
      <c r="E1399" s="17"/>
      <c r="F1399" s="17"/>
      <c r="G1399" s="17"/>
      <c r="H1399" s="18"/>
      <c r="I1399" s="17"/>
      <c r="J1399" s="17"/>
      <c r="K1399" s="17"/>
      <c r="L1399" s="18"/>
      <c r="M1399" s="17"/>
      <c r="N1399" s="18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</row>
    <row r="1400" spans="1:30" ht="15.6" x14ac:dyDescent="0.3">
      <c r="A1400" s="17"/>
      <c r="B1400" s="17"/>
      <c r="C1400" s="17"/>
      <c r="D1400" s="17"/>
      <c r="E1400" s="17"/>
      <c r="F1400" s="17"/>
      <c r="G1400" s="17"/>
      <c r="H1400" s="18"/>
      <c r="I1400" s="17"/>
      <c r="J1400" s="17"/>
      <c r="K1400" s="17"/>
      <c r="L1400" s="18"/>
      <c r="M1400" s="17"/>
      <c r="N1400" s="18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</row>
    <row r="1401" spans="1:30" ht="15.6" x14ac:dyDescent="0.3">
      <c r="A1401" s="17"/>
      <c r="B1401" s="17"/>
      <c r="C1401" s="17"/>
      <c r="D1401" s="17"/>
      <c r="E1401" s="17"/>
      <c r="F1401" s="17"/>
      <c r="G1401" s="17"/>
      <c r="H1401" s="18"/>
      <c r="I1401" s="17"/>
      <c r="J1401" s="17"/>
      <c r="K1401" s="17"/>
      <c r="L1401" s="18"/>
      <c r="M1401" s="17"/>
      <c r="N1401" s="18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</row>
    <row r="1402" spans="1:30" ht="15.6" x14ac:dyDescent="0.3">
      <c r="A1402" s="17"/>
      <c r="B1402" s="17"/>
      <c r="C1402" s="17"/>
      <c r="D1402" s="17"/>
      <c r="E1402" s="17"/>
      <c r="F1402" s="17"/>
      <c r="G1402" s="17"/>
      <c r="H1402" s="18"/>
      <c r="I1402" s="17"/>
      <c r="J1402" s="17"/>
      <c r="K1402" s="17"/>
      <c r="L1402" s="18"/>
      <c r="M1402" s="17"/>
      <c r="N1402" s="18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</row>
    <row r="1403" spans="1:30" ht="15.6" x14ac:dyDescent="0.3">
      <c r="A1403" s="17"/>
      <c r="B1403" s="17"/>
      <c r="C1403" s="17"/>
      <c r="D1403" s="17"/>
      <c r="E1403" s="17"/>
      <c r="F1403" s="17"/>
      <c r="G1403" s="17"/>
      <c r="H1403" s="18"/>
      <c r="I1403" s="17"/>
      <c r="J1403" s="17"/>
      <c r="K1403" s="17"/>
      <c r="L1403" s="18"/>
      <c r="M1403" s="17"/>
      <c r="N1403" s="18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</row>
    <row r="1404" spans="1:30" ht="15.6" x14ac:dyDescent="0.3">
      <c r="A1404" s="17"/>
      <c r="B1404" s="17"/>
      <c r="C1404" s="17"/>
      <c r="D1404" s="17"/>
      <c r="E1404" s="17"/>
      <c r="F1404" s="17"/>
      <c r="G1404" s="17"/>
      <c r="H1404" s="18"/>
      <c r="I1404" s="17"/>
      <c r="J1404" s="17"/>
      <c r="K1404" s="17"/>
      <c r="L1404" s="18"/>
      <c r="M1404" s="17"/>
      <c r="N1404" s="18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</row>
    <row r="1405" spans="1:30" ht="15.6" x14ac:dyDescent="0.3">
      <c r="A1405" s="17"/>
      <c r="B1405" s="17"/>
      <c r="C1405" s="17"/>
      <c r="D1405" s="17"/>
      <c r="E1405" s="17"/>
      <c r="F1405" s="17"/>
      <c r="G1405" s="17"/>
      <c r="H1405" s="18"/>
      <c r="I1405" s="17"/>
      <c r="J1405" s="17"/>
      <c r="K1405" s="17"/>
      <c r="L1405" s="18"/>
      <c r="M1405" s="17"/>
      <c r="N1405" s="18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</row>
    <row r="1406" spans="1:30" ht="15.6" x14ac:dyDescent="0.3">
      <c r="A1406" s="17"/>
      <c r="B1406" s="17"/>
      <c r="C1406" s="17"/>
      <c r="D1406" s="17"/>
      <c r="E1406" s="17"/>
      <c r="F1406" s="17"/>
      <c r="G1406" s="17"/>
      <c r="H1406" s="18"/>
      <c r="I1406" s="17"/>
      <c r="J1406" s="17"/>
      <c r="K1406" s="17"/>
      <c r="L1406" s="18"/>
      <c r="M1406" s="17"/>
      <c r="N1406" s="18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</row>
    <row r="1407" spans="1:30" ht="15.6" x14ac:dyDescent="0.3">
      <c r="A1407" s="17"/>
      <c r="B1407" s="17"/>
      <c r="C1407" s="17"/>
      <c r="D1407" s="17"/>
      <c r="E1407" s="17"/>
      <c r="F1407" s="17"/>
      <c r="G1407" s="17"/>
      <c r="H1407" s="18"/>
      <c r="I1407" s="17"/>
      <c r="J1407" s="17"/>
      <c r="K1407" s="17"/>
      <c r="L1407" s="18"/>
      <c r="M1407" s="17"/>
      <c r="N1407" s="18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</row>
    <row r="1408" spans="1:30" ht="15.6" x14ac:dyDescent="0.3">
      <c r="A1408" s="17"/>
      <c r="B1408" s="17"/>
      <c r="C1408" s="17"/>
      <c r="D1408" s="17"/>
      <c r="E1408" s="17"/>
      <c r="F1408" s="17"/>
      <c r="G1408" s="17"/>
      <c r="H1408" s="18"/>
      <c r="I1408" s="17"/>
      <c r="J1408" s="17"/>
      <c r="K1408" s="17"/>
      <c r="L1408" s="18"/>
      <c r="M1408" s="17"/>
      <c r="N1408" s="18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</row>
    <row r="1409" spans="1:30" ht="15.6" x14ac:dyDescent="0.3">
      <c r="A1409" s="17"/>
      <c r="B1409" s="17"/>
      <c r="C1409" s="17"/>
      <c r="D1409" s="17"/>
      <c r="E1409" s="17"/>
      <c r="F1409" s="17"/>
      <c r="G1409" s="17"/>
      <c r="H1409" s="18"/>
      <c r="I1409" s="17"/>
      <c r="J1409" s="17"/>
      <c r="K1409" s="17"/>
      <c r="L1409" s="18"/>
      <c r="M1409" s="17"/>
      <c r="N1409" s="18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</row>
    <row r="1410" spans="1:30" ht="15.6" x14ac:dyDescent="0.3">
      <c r="A1410" s="17"/>
      <c r="B1410" s="17"/>
      <c r="C1410" s="17"/>
      <c r="D1410" s="17"/>
      <c r="E1410" s="17"/>
      <c r="F1410" s="17"/>
      <c r="G1410" s="17"/>
      <c r="H1410" s="18"/>
      <c r="I1410" s="17"/>
      <c r="J1410" s="17"/>
      <c r="K1410" s="17"/>
      <c r="L1410" s="18"/>
      <c r="M1410" s="17"/>
      <c r="N1410" s="18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</row>
    <row r="1411" spans="1:30" ht="15.6" x14ac:dyDescent="0.3">
      <c r="A1411" s="17"/>
      <c r="B1411" s="17"/>
      <c r="C1411" s="17"/>
      <c r="D1411" s="17"/>
      <c r="E1411" s="17"/>
      <c r="F1411" s="17"/>
      <c r="G1411" s="17"/>
      <c r="H1411" s="18"/>
      <c r="I1411" s="17"/>
      <c r="J1411" s="17"/>
      <c r="K1411" s="17"/>
      <c r="L1411" s="18"/>
      <c r="M1411" s="17"/>
      <c r="N1411" s="18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</row>
    <row r="1412" spans="1:30" ht="15.6" x14ac:dyDescent="0.3">
      <c r="A1412" s="17"/>
      <c r="B1412" s="17"/>
      <c r="C1412" s="17"/>
      <c r="D1412" s="17"/>
      <c r="E1412" s="17"/>
      <c r="F1412" s="17"/>
      <c r="G1412" s="17"/>
      <c r="H1412" s="18"/>
      <c r="I1412" s="17"/>
      <c r="J1412" s="17"/>
      <c r="K1412" s="17"/>
      <c r="L1412" s="18"/>
      <c r="M1412" s="17"/>
      <c r="N1412" s="18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</row>
    <row r="1413" spans="1:30" ht="15.6" x14ac:dyDescent="0.3">
      <c r="A1413" s="17"/>
      <c r="B1413" s="17"/>
      <c r="C1413" s="17"/>
      <c r="D1413" s="17"/>
      <c r="E1413" s="17"/>
      <c r="F1413" s="17"/>
      <c r="G1413" s="17"/>
      <c r="H1413" s="18"/>
      <c r="I1413" s="17"/>
      <c r="J1413" s="17"/>
      <c r="K1413" s="17"/>
      <c r="L1413" s="18"/>
      <c r="M1413" s="17"/>
      <c r="N1413" s="18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</row>
    <row r="1414" spans="1:30" ht="15.6" x14ac:dyDescent="0.3">
      <c r="A1414" s="17"/>
      <c r="B1414" s="17"/>
      <c r="C1414" s="17"/>
      <c r="D1414" s="17"/>
      <c r="E1414" s="17"/>
      <c r="F1414" s="17"/>
      <c r="G1414" s="17"/>
      <c r="H1414" s="18"/>
      <c r="I1414" s="17"/>
      <c r="J1414" s="17"/>
      <c r="K1414" s="17"/>
      <c r="L1414" s="18"/>
      <c r="M1414" s="17"/>
      <c r="N1414" s="18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</row>
    <row r="1415" spans="1:30" ht="15.6" x14ac:dyDescent="0.3">
      <c r="A1415" s="17"/>
      <c r="B1415" s="17"/>
      <c r="C1415" s="17"/>
      <c r="D1415" s="17"/>
      <c r="E1415" s="17"/>
      <c r="F1415" s="17"/>
      <c r="G1415" s="17"/>
      <c r="H1415" s="18"/>
      <c r="I1415" s="17"/>
      <c r="J1415" s="17"/>
      <c r="K1415" s="17"/>
      <c r="L1415" s="18"/>
      <c r="M1415" s="17"/>
      <c r="N1415" s="18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</row>
    <row r="1416" spans="1:30" ht="15.6" x14ac:dyDescent="0.3">
      <c r="A1416" s="17"/>
      <c r="B1416" s="17"/>
      <c r="C1416" s="17"/>
      <c r="D1416" s="17"/>
      <c r="E1416" s="17"/>
      <c r="F1416" s="17"/>
      <c r="G1416" s="17"/>
      <c r="H1416" s="18"/>
      <c r="I1416" s="17"/>
      <c r="J1416" s="17"/>
      <c r="K1416" s="17"/>
      <c r="L1416" s="18"/>
      <c r="M1416" s="17"/>
      <c r="N1416" s="18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</row>
    <row r="1417" spans="1:30" ht="15.6" x14ac:dyDescent="0.3">
      <c r="A1417" s="17"/>
      <c r="B1417" s="17"/>
      <c r="C1417" s="17"/>
      <c r="D1417" s="17"/>
      <c r="E1417" s="17"/>
      <c r="F1417" s="17"/>
      <c r="G1417" s="17"/>
      <c r="H1417" s="18"/>
      <c r="I1417" s="17"/>
      <c r="J1417" s="17"/>
      <c r="K1417" s="17"/>
      <c r="L1417" s="18"/>
      <c r="M1417" s="17"/>
      <c r="N1417" s="18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</row>
    <row r="1418" spans="1:30" ht="15.6" x14ac:dyDescent="0.3">
      <c r="A1418" s="17"/>
      <c r="B1418" s="17"/>
      <c r="C1418" s="17"/>
      <c r="D1418" s="17"/>
      <c r="E1418" s="17"/>
      <c r="F1418" s="17"/>
      <c r="G1418" s="17"/>
      <c r="H1418" s="18"/>
      <c r="I1418" s="17"/>
      <c r="J1418" s="17"/>
      <c r="K1418" s="17"/>
      <c r="L1418" s="18"/>
      <c r="M1418" s="17"/>
      <c r="N1418" s="18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</row>
    <row r="1419" spans="1:30" ht="15.6" x14ac:dyDescent="0.3">
      <c r="A1419" s="17"/>
      <c r="B1419" s="17"/>
      <c r="C1419" s="17"/>
      <c r="D1419" s="17"/>
      <c r="E1419" s="17"/>
      <c r="F1419" s="17"/>
      <c r="G1419" s="17"/>
      <c r="H1419" s="18"/>
      <c r="I1419" s="17"/>
      <c r="J1419" s="17"/>
      <c r="K1419" s="17"/>
      <c r="L1419" s="18"/>
      <c r="M1419" s="17"/>
      <c r="N1419" s="18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</row>
    <row r="1420" spans="1:30" ht="15.6" x14ac:dyDescent="0.3">
      <c r="A1420" s="17"/>
      <c r="B1420" s="17"/>
      <c r="C1420" s="17"/>
      <c r="D1420" s="17"/>
      <c r="E1420" s="17"/>
      <c r="F1420" s="17"/>
      <c r="G1420" s="17"/>
      <c r="H1420" s="18"/>
      <c r="I1420" s="17"/>
      <c r="J1420" s="17"/>
      <c r="K1420" s="17"/>
      <c r="L1420" s="18"/>
      <c r="M1420" s="17"/>
      <c r="N1420" s="18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</row>
    <row r="1421" spans="1:30" ht="15.6" x14ac:dyDescent="0.3">
      <c r="A1421" s="17"/>
      <c r="B1421" s="17"/>
      <c r="C1421" s="17"/>
      <c r="D1421" s="17"/>
      <c r="E1421" s="17"/>
      <c r="F1421" s="17"/>
      <c r="G1421" s="17"/>
      <c r="H1421" s="18"/>
      <c r="I1421" s="17"/>
      <c r="J1421" s="17"/>
      <c r="K1421" s="17"/>
      <c r="L1421" s="18"/>
      <c r="M1421" s="17"/>
      <c r="N1421" s="18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</row>
    <row r="1422" spans="1:30" ht="15.6" x14ac:dyDescent="0.3">
      <c r="A1422" s="17"/>
      <c r="B1422" s="17"/>
      <c r="C1422" s="17"/>
      <c r="D1422" s="17"/>
      <c r="E1422" s="17"/>
      <c r="F1422" s="17"/>
      <c r="G1422" s="17"/>
      <c r="H1422" s="18"/>
      <c r="I1422" s="17"/>
      <c r="J1422" s="17"/>
      <c r="K1422" s="17"/>
      <c r="L1422" s="18"/>
      <c r="M1422" s="17"/>
      <c r="N1422" s="18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</row>
    <row r="1423" spans="1:30" ht="15.6" x14ac:dyDescent="0.3">
      <c r="A1423" s="17"/>
      <c r="B1423" s="17"/>
      <c r="C1423" s="17"/>
      <c r="D1423" s="17"/>
      <c r="E1423" s="17"/>
      <c r="F1423" s="17"/>
      <c r="G1423" s="17"/>
      <c r="H1423" s="18"/>
      <c r="I1423" s="17"/>
      <c r="J1423" s="17"/>
      <c r="K1423" s="17"/>
      <c r="L1423" s="18"/>
      <c r="M1423" s="17"/>
      <c r="N1423" s="18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</row>
    <row r="1424" spans="1:30" ht="15.6" x14ac:dyDescent="0.3">
      <c r="A1424" s="17"/>
      <c r="B1424" s="17"/>
      <c r="C1424" s="17"/>
      <c r="D1424" s="17"/>
      <c r="E1424" s="17"/>
      <c r="F1424" s="17"/>
      <c r="G1424" s="17"/>
      <c r="H1424" s="18"/>
      <c r="I1424" s="17"/>
      <c r="J1424" s="17"/>
      <c r="K1424" s="17"/>
      <c r="L1424" s="18"/>
      <c r="M1424" s="17"/>
      <c r="N1424" s="18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</row>
    <row r="1425" spans="1:30" ht="15.6" x14ac:dyDescent="0.3">
      <c r="A1425" s="17"/>
      <c r="B1425" s="17"/>
      <c r="C1425" s="17"/>
      <c r="D1425" s="17"/>
      <c r="E1425" s="17"/>
      <c r="F1425" s="17"/>
      <c r="G1425" s="17"/>
      <c r="H1425" s="18"/>
      <c r="I1425" s="17"/>
      <c r="J1425" s="17"/>
      <c r="K1425" s="17"/>
      <c r="L1425" s="18"/>
      <c r="M1425" s="17"/>
      <c r="N1425" s="18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</row>
    <row r="1426" spans="1:30" ht="15.6" x14ac:dyDescent="0.3">
      <c r="A1426" s="17"/>
      <c r="B1426" s="17"/>
      <c r="C1426" s="17"/>
      <c r="D1426" s="17"/>
      <c r="E1426" s="17"/>
      <c r="F1426" s="17"/>
      <c r="G1426" s="17"/>
      <c r="H1426" s="18"/>
      <c r="I1426" s="17"/>
      <c r="J1426" s="17"/>
      <c r="K1426" s="17"/>
      <c r="L1426" s="18"/>
      <c r="M1426" s="17"/>
      <c r="N1426" s="18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</row>
    <row r="1427" spans="1:30" ht="15.6" x14ac:dyDescent="0.3">
      <c r="A1427" s="17"/>
      <c r="B1427" s="17"/>
      <c r="C1427" s="17"/>
      <c r="D1427" s="17"/>
      <c r="E1427" s="17"/>
      <c r="F1427" s="17"/>
      <c r="G1427" s="17"/>
      <c r="H1427" s="18"/>
      <c r="I1427" s="17"/>
      <c r="J1427" s="17"/>
      <c r="K1427" s="17"/>
      <c r="L1427" s="18"/>
      <c r="M1427" s="17"/>
      <c r="N1427" s="18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</row>
    <row r="1428" spans="1:30" ht="15.6" x14ac:dyDescent="0.3">
      <c r="A1428" s="17"/>
      <c r="B1428" s="17"/>
      <c r="C1428" s="17"/>
      <c r="D1428" s="17"/>
      <c r="E1428" s="17"/>
      <c r="F1428" s="17"/>
      <c r="G1428" s="17"/>
      <c r="H1428" s="18"/>
      <c r="I1428" s="17"/>
      <c r="J1428" s="17"/>
      <c r="K1428" s="17"/>
      <c r="L1428" s="18"/>
      <c r="M1428" s="17"/>
      <c r="N1428" s="18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</row>
    <row r="1429" spans="1:30" ht="15.6" x14ac:dyDescent="0.3">
      <c r="A1429" s="17"/>
      <c r="B1429" s="17"/>
      <c r="C1429" s="17"/>
      <c r="D1429" s="17"/>
      <c r="E1429" s="17"/>
      <c r="F1429" s="17"/>
      <c r="G1429" s="17"/>
      <c r="H1429" s="18"/>
      <c r="I1429" s="17"/>
      <c r="J1429" s="17"/>
      <c r="K1429" s="17"/>
      <c r="L1429" s="18"/>
      <c r="M1429" s="17"/>
      <c r="N1429" s="18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</row>
    <row r="1430" spans="1:30" ht="15.6" x14ac:dyDescent="0.3">
      <c r="A1430" s="17"/>
      <c r="B1430" s="17"/>
      <c r="C1430" s="17"/>
      <c r="D1430" s="17"/>
      <c r="E1430" s="17"/>
      <c r="F1430" s="17"/>
      <c r="G1430" s="17"/>
      <c r="H1430" s="18"/>
      <c r="I1430" s="17"/>
      <c r="J1430" s="17"/>
      <c r="K1430" s="17"/>
      <c r="L1430" s="18"/>
      <c r="M1430" s="17"/>
      <c r="N1430" s="18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</row>
    <row r="1431" spans="1:30" ht="15.6" x14ac:dyDescent="0.3">
      <c r="A1431" s="17"/>
      <c r="B1431" s="17"/>
      <c r="C1431" s="17"/>
      <c r="D1431" s="17"/>
      <c r="E1431" s="17"/>
      <c r="F1431" s="17"/>
      <c r="G1431" s="17"/>
      <c r="H1431" s="18"/>
      <c r="I1431" s="17"/>
      <c r="J1431" s="17"/>
      <c r="K1431" s="17"/>
      <c r="L1431" s="18"/>
      <c r="M1431" s="17"/>
      <c r="N1431" s="18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</row>
    <row r="1432" spans="1:30" ht="15.6" x14ac:dyDescent="0.3">
      <c r="A1432" s="17"/>
      <c r="B1432" s="17"/>
      <c r="C1432" s="17"/>
      <c r="D1432" s="17"/>
      <c r="E1432" s="17"/>
      <c r="F1432" s="17"/>
      <c r="G1432" s="17"/>
      <c r="H1432" s="18"/>
      <c r="I1432" s="17"/>
      <c r="J1432" s="17"/>
      <c r="K1432" s="17"/>
      <c r="L1432" s="18"/>
      <c r="M1432" s="17"/>
      <c r="N1432" s="18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</row>
    <row r="1433" spans="1:30" ht="15.6" x14ac:dyDescent="0.3">
      <c r="A1433" s="17"/>
      <c r="B1433" s="17"/>
      <c r="C1433" s="17"/>
      <c r="D1433" s="17"/>
      <c r="E1433" s="17"/>
      <c r="F1433" s="17"/>
      <c r="G1433" s="17"/>
      <c r="H1433" s="18"/>
      <c r="I1433" s="17"/>
      <c r="J1433" s="17"/>
      <c r="K1433" s="17"/>
      <c r="L1433" s="18"/>
      <c r="M1433" s="17"/>
      <c r="N1433" s="18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</row>
    <row r="1434" spans="1:30" ht="15.6" x14ac:dyDescent="0.3">
      <c r="A1434" s="17"/>
      <c r="B1434" s="17"/>
      <c r="C1434" s="17"/>
      <c r="D1434" s="17"/>
      <c r="E1434" s="17"/>
      <c r="F1434" s="17"/>
      <c r="G1434" s="17"/>
      <c r="H1434" s="18"/>
      <c r="I1434" s="17"/>
      <c r="J1434" s="17"/>
      <c r="K1434" s="17"/>
      <c r="L1434" s="18"/>
      <c r="M1434" s="17"/>
      <c r="N1434" s="18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</row>
    <row r="1435" spans="1:30" ht="15.6" x14ac:dyDescent="0.3">
      <c r="A1435" s="17"/>
      <c r="B1435" s="17"/>
      <c r="C1435" s="17"/>
      <c r="D1435" s="17"/>
      <c r="E1435" s="17"/>
      <c r="F1435" s="17"/>
      <c r="G1435" s="17"/>
      <c r="H1435" s="18"/>
      <c r="I1435" s="17"/>
      <c r="J1435" s="17"/>
      <c r="K1435" s="17"/>
      <c r="L1435" s="18"/>
      <c r="M1435" s="17"/>
      <c r="N1435" s="18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</row>
    <row r="1436" spans="1:30" ht="15.6" x14ac:dyDescent="0.3">
      <c r="A1436" s="17"/>
      <c r="B1436" s="17"/>
      <c r="C1436" s="17"/>
      <c r="D1436" s="17"/>
      <c r="E1436" s="17"/>
      <c r="F1436" s="17"/>
      <c r="G1436" s="17"/>
      <c r="H1436" s="18"/>
      <c r="I1436" s="17"/>
      <c r="J1436" s="17"/>
      <c r="K1436" s="17"/>
      <c r="L1436" s="18"/>
      <c r="M1436" s="17"/>
      <c r="N1436" s="18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</row>
    <row r="1437" spans="1:30" ht="15.6" x14ac:dyDescent="0.3">
      <c r="A1437" s="17"/>
      <c r="B1437" s="17"/>
      <c r="C1437" s="17"/>
      <c r="D1437" s="17"/>
      <c r="E1437" s="17"/>
      <c r="F1437" s="17"/>
      <c r="G1437" s="17"/>
      <c r="H1437" s="18"/>
      <c r="I1437" s="17"/>
      <c r="J1437" s="17"/>
      <c r="K1437" s="17"/>
      <c r="L1437" s="18"/>
      <c r="M1437" s="17"/>
      <c r="N1437" s="18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</row>
    <row r="1438" spans="1:30" ht="15.6" x14ac:dyDescent="0.3">
      <c r="A1438" s="17"/>
      <c r="B1438" s="17"/>
      <c r="C1438" s="17"/>
      <c r="D1438" s="17"/>
      <c r="E1438" s="17"/>
      <c r="F1438" s="17"/>
      <c r="G1438" s="17"/>
      <c r="H1438" s="18"/>
      <c r="I1438" s="17"/>
      <c r="J1438" s="17"/>
      <c r="K1438" s="17"/>
      <c r="L1438" s="18"/>
      <c r="M1438" s="17"/>
      <c r="N1438" s="18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</row>
    <row r="1439" spans="1:30" ht="15.6" x14ac:dyDescent="0.3">
      <c r="A1439" s="17"/>
      <c r="B1439" s="17"/>
      <c r="C1439" s="17"/>
      <c r="D1439" s="17"/>
      <c r="E1439" s="17"/>
      <c r="F1439" s="17"/>
      <c r="G1439" s="17"/>
      <c r="H1439" s="18"/>
      <c r="I1439" s="17"/>
      <c r="J1439" s="17"/>
      <c r="K1439" s="17"/>
      <c r="L1439" s="18"/>
      <c r="M1439" s="17"/>
      <c r="N1439" s="18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</row>
    <row r="1440" spans="1:30" ht="15.6" x14ac:dyDescent="0.3">
      <c r="A1440" s="17"/>
      <c r="B1440" s="17"/>
      <c r="C1440" s="17"/>
      <c r="D1440" s="17"/>
      <c r="E1440" s="17"/>
      <c r="F1440" s="17"/>
      <c r="G1440" s="17"/>
      <c r="H1440" s="18"/>
      <c r="I1440" s="17"/>
      <c r="J1440" s="17"/>
      <c r="K1440" s="17"/>
      <c r="L1440" s="18"/>
      <c r="M1440" s="17"/>
      <c r="N1440" s="18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</row>
    <row r="1441" spans="1:30" ht="15.6" x14ac:dyDescent="0.3">
      <c r="A1441" s="17"/>
      <c r="B1441" s="17"/>
      <c r="C1441" s="17"/>
      <c r="D1441" s="17"/>
      <c r="E1441" s="17"/>
      <c r="F1441" s="17"/>
      <c r="G1441" s="17"/>
      <c r="H1441" s="18"/>
      <c r="I1441" s="17"/>
      <c r="J1441" s="17"/>
      <c r="K1441" s="17"/>
      <c r="L1441" s="18"/>
      <c r="M1441" s="17"/>
      <c r="N1441" s="18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</row>
    <row r="1442" spans="1:30" ht="15.6" x14ac:dyDescent="0.3">
      <c r="A1442" s="17"/>
      <c r="B1442" s="17"/>
      <c r="C1442" s="17"/>
      <c r="D1442" s="17"/>
      <c r="E1442" s="17"/>
      <c r="F1442" s="17"/>
      <c r="G1442" s="17"/>
      <c r="H1442" s="18"/>
      <c r="I1442" s="17"/>
      <c r="J1442" s="17"/>
      <c r="K1442" s="17"/>
      <c r="L1442" s="18"/>
      <c r="M1442" s="17"/>
      <c r="N1442" s="18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</row>
    <row r="1443" spans="1:30" ht="15.6" x14ac:dyDescent="0.3">
      <c r="A1443" s="17"/>
      <c r="B1443" s="17"/>
      <c r="C1443" s="17"/>
      <c r="D1443" s="17"/>
      <c r="E1443" s="17"/>
      <c r="F1443" s="17"/>
      <c r="G1443" s="17"/>
      <c r="H1443" s="18"/>
      <c r="I1443" s="17"/>
      <c r="J1443" s="17"/>
      <c r="K1443" s="17"/>
      <c r="L1443" s="18"/>
      <c r="M1443" s="17"/>
      <c r="N1443" s="18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</row>
    <row r="1444" spans="1:30" ht="15.6" x14ac:dyDescent="0.3">
      <c r="A1444" s="17"/>
      <c r="B1444" s="17"/>
      <c r="C1444" s="17"/>
      <c r="D1444" s="17"/>
      <c r="E1444" s="17"/>
      <c r="F1444" s="17"/>
      <c r="G1444" s="17"/>
      <c r="H1444" s="18"/>
      <c r="I1444" s="17"/>
      <c r="J1444" s="17"/>
      <c r="K1444" s="17"/>
      <c r="L1444" s="18"/>
      <c r="M1444" s="17"/>
      <c r="N1444" s="18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</row>
    <row r="1445" spans="1:30" ht="15.6" x14ac:dyDescent="0.3">
      <c r="A1445" s="17"/>
      <c r="B1445" s="17"/>
      <c r="C1445" s="17"/>
      <c r="D1445" s="17"/>
      <c r="E1445" s="17"/>
      <c r="F1445" s="17"/>
      <c r="G1445" s="17"/>
      <c r="H1445" s="18"/>
      <c r="I1445" s="17"/>
      <c r="J1445" s="17"/>
      <c r="K1445" s="17"/>
      <c r="L1445" s="18"/>
      <c r="M1445" s="17"/>
      <c r="N1445" s="18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</row>
    <row r="1446" spans="1:30" ht="15.6" x14ac:dyDescent="0.3">
      <c r="A1446" s="17"/>
      <c r="B1446" s="17"/>
      <c r="C1446" s="17"/>
      <c r="D1446" s="17"/>
      <c r="E1446" s="17"/>
      <c r="F1446" s="17"/>
      <c r="G1446" s="17"/>
      <c r="H1446" s="18"/>
      <c r="I1446" s="17"/>
      <c r="J1446" s="17"/>
      <c r="K1446" s="17"/>
      <c r="L1446" s="18"/>
      <c r="M1446" s="17"/>
      <c r="N1446" s="18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</row>
    <row r="1447" spans="1:30" ht="15.6" x14ac:dyDescent="0.3">
      <c r="A1447" s="17"/>
      <c r="B1447" s="17"/>
      <c r="C1447" s="17"/>
      <c r="D1447" s="17"/>
      <c r="E1447" s="17"/>
      <c r="F1447" s="17"/>
      <c r="G1447" s="17"/>
      <c r="H1447" s="18"/>
      <c r="I1447" s="17"/>
      <c r="J1447" s="17"/>
      <c r="K1447" s="17"/>
      <c r="L1447" s="18"/>
      <c r="M1447" s="17"/>
      <c r="N1447" s="18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</row>
    <row r="1448" spans="1:30" ht="15.6" x14ac:dyDescent="0.3">
      <c r="A1448" s="17"/>
      <c r="B1448" s="17"/>
      <c r="C1448" s="17"/>
      <c r="D1448" s="17"/>
      <c r="E1448" s="17"/>
      <c r="F1448" s="17"/>
      <c r="G1448" s="17"/>
      <c r="H1448" s="18"/>
      <c r="I1448" s="17"/>
      <c r="J1448" s="17"/>
      <c r="K1448" s="17"/>
      <c r="L1448" s="18"/>
      <c r="M1448" s="17"/>
      <c r="N1448" s="18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</row>
    <row r="1449" spans="1:30" ht="15.6" x14ac:dyDescent="0.3">
      <c r="A1449" s="17"/>
      <c r="B1449" s="17"/>
      <c r="C1449" s="17"/>
      <c r="D1449" s="17"/>
      <c r="E1449" s="17"/>
      <c r="F1449" s="17"/>
      <c r="G1449" s="17"/>
      <c r="H1449" s="18"/>
      <c r="I1449" s="17"/>
      <c r="J1449" s="17"/>
      <c r="K1449" s="17"/>
      <c r="L1449" s="18"/>
      <c r="M1449" s="17"/>
      <c r="N1449" s="18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</row>
    <row r="1450" spans="1:30" ht="15.6" x14ac:dyDescent="0.3">
      <c r="A1450" s="17"/>
      <c r="B1450" s="17"/>
      <c r="C1450" s="17"/>
      <c r="D1450" s="17"/>
      <c r="E1450" s="17"/>
      <c r="F1450" s="17"/>
      <c r="G1450" s="17"/>
      <c r="H1450" s="18"/>
      <c r="I1450" s="17"/>
      <c r="J1450" s="17"/>
      <c r="K1450" s="17"/>
      <c r="L1450" s="18"/>
      <c r="M1450" s="17"/>
      <c r="N1450" s="18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</row>
    <row r="1451" spans="1:30" ht="15.6" x14ac:dyDescent="0.3">
      <c r="A1451" s="17"/>
      <c r="B1451" s="17"/>
      <c r="C1451" s="17"/>
      <c r="D1451" s="17"/>
      <c r="E1451" s="17"/>
      <c r="F1451" s="17"/>
      <c r="G1451" s="17"/>
      <c r="H1451" s="18"/>
      <c r="I1451" s="17"/>
      <c r="J1451" s="17"/>
      <c r="K1451" s="17"/>
      <c r="L1451" s="18"/>
      <c r="M1451" s="17"/>
      <c r="N1451" s="18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</row>
    <row r="1452" spans="1:30" ht="15.6" x14ac:dyDescent="0.3">
      <c r="A1452" s="17"/>
      <c r="B1452" s="17"/>
      <c r="C1452" s="17"/>
      <c r="D1452" s="17"/>
      <c r="E1452" s="17"/>
      <c r="F1452" s="17"/>
      <c r="G1452" s="17"/>
      <c r="H1452" s="18"/>
      <c r="I1452" s="17"/>
      <c r="J1452" s="17"/>
      <c r="K1452" s="17"/>
      <c r="L1452" s="18"/>
      <c r="M1452" s="17"/>
      <c r="N1452" s="18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</row>
    <row r="1453" spans="1:30" ht="15.6" x14ac:dyDescent="0.3">
      <c r="A1453" s="17"/>
      <c r="B1453" s="17"/>
      <c r="C1453" s="17"/>
      <c r="D1453" s="17"/>
      <c r="E1453" s="17"/>
      <c r="F1453" s="17"/>
      <c r="G1453" s="17"/>
      <c r="H1453" s="18"/>
      <c r="I1453" s="17"/>
      <c r="J1453" s="17"/>
      <c r="K1453" s="17"/>
      <c r="L1453" s="18"/>
      <c r="M1453" s="17"/>
      <c r="N1453" s="18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</row>
    <row r="1454" spans="1:30" ht="15.6" x14ac:dyDescent="0.3">
      <c r="A1454" s="17"/>
      <c r="B1454" s="17"/>
      <c r="C1454" s="17"/>
      <c r="D1454" s="17"/>
      <c r="E1454" s="17"/>
      <c r="F1454" s="17"/>
      <c r="G1454" s="17"/>
      <c r="H1454" s="18"/>
      <c r="I1454" s="17"/>
      <c r="J1454" s="17"/>
      <c r="K1454" s="17"/>
      <c r="L1454" s="18"/>
      <c r="M1454" s="17"/>
      <c r="N1454" s="18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</row>
    <row r="1455" spans="1:30" ht="15.6" x14ac:dyDescent="0.3">
      <c r="A1455" s="17"/>
      <c r="B1455" s="17"/>
      <c r="C1455" s="17"/>
      <c r="D1455" s="17"/>
      <c r="E1455" s="17"/>
      <c r="F1455" s="17"/>
      <c r="G1455" s="17"/>
      <c r="H1455" s="18"/>
      <c r="I1455" s="17"/>
      <c r="J1455" s="17"/>
      <c r="K1455" s="17"/>
      <c r="L1455" s="18"/>
      <c r="M1455" s="17"/>
      <c r="N1455" s="18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</row>
    <row r="1456" spans="1:30" ht="15.6" x14ac:dyDescent="0.3">
      <c r="A1456" s="17"/>
      <c r="B1456" s="17"/>
      <c r="C1456" s="17"/>
      <c r="D1456" s="17"/>
      <c r="E1456" s="17"/>
      <c r="F1456" s="17"/>
      <c r="G1456" s="17"/>
      <c r="H1456" s="18"/>
      <c r="I1456" s="17"/>
      <c r="J1456" s="17"/>
      <c r="K1456" s="17"/>
      <c r="L1456" s="18"/>
      <c r="M1456" s="17"/>
      <c r="N1456" s="18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</row>
    <row r="1457" spans="1:30" ht="15.6" x14ac:dyDescent="0.3">
      <c r="A1457" s="17"/>
      <c r="B1457" s="17"/>
      <c r="C1457" s="17"/>
      <c r="D1457" s="17"/>
      <c r="E1457" s="17"/>
      <c r="F1457" s="17"/>
      <c r="G1457" s="17"/>
      <c r="H1457" s="18"/>
      <c r="I1457" s="17"/>
      <c r="J1457" s="17"/>
      <c r="K1457" s="17"/>
      <c r="L1457" s="18"/>
      <c r="M1457" s="17"/>
      <c r="N1457" s="18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</row>
    <row r="1458" spans="1:30" ht="15.6" x14ac:dyDescent="0.3">
      <c r="A1458" s="17"/>
      <c r="B1458" s="17"/>
      <c r="C1458" s="17"/>
      <c r="D1458" s="17"/>
      <c r="E1458" s="17"/>
      <c r="F1458" s="17"/>
      <c r="G1458" s="17"/>
      <c r="H1458" s="18"/>
      <c r="I1458" s="17"/>
      <c r="J1458" s="17"/>
      <c r="K1458" s="17"/>
      <c r="L1458" s="18"/>
      <c r="M1458" s="17"/>
      <c r="N1458" s="18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</row>
    <row r="1459" spans="1:30" ht="15.6" x14ac:dyDescent="0.3">
      <c r="A1459" s="17"/>
      <c r="B1459" s="17"/>
      <c r="C1459" s="17"/>
      <c r="D1459" s="17"/>
      <c r="E1459" s="17"/>
      <c r="F1459" s="17"/>
      <c r="G1459" s="17"/>
      <c r="H1459" s="18"/>
      <c r="I1459" s="17"/>
      <c r="J1459" s="17"/>
      <c r="K1459" s="17"/>
      <c r="L1459" s="18"/>
      <c r="M1459" s="17"/>
      <c r="N1459" s="18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</row>
    <row r="1460" spans="1:30" ht="15.6" x14ac:dyDescent="0.3">
      <c r="A1460" s="17"/>
      <c r="B1460" s="17"/>
      <c r="C1460" s="17"/>
      <c r="D1460" s="17"/>
      <c r="E1460" s="17"/>
      <c r="F1460" s="17"/>
      <c r="G1460" s="17"/>
      <c r="H1460" s="18"/>
      <c r="I1460" s="17"/>
      <c r="J1460" s="17"/>
      <c r="K1460" s="17"/>
      <c r="L1460" s="18"/>
      <c r="M1460" s="17"/>
      <c r="N1460" s="18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</row>
    <row r="1461" spans="1:30" ht="15.6" x14ac:dyDescent="0.3">
      <c r="A1461" s="17"/>
      <c r="B1461" s="17"/>
      <c r="C1461" s="17"/>
      <c r="D1461" s="17"/>
      <c r="E1461" s="17"/>
      <c r="F1461" s="17"/>
      <c r="G1461" s="17"/>
      <c r="H1461" s="18"/>
      <c r="I1461" s="17"/>
      <c r="J1461" s="17"/>
      <c r="K1461" s="17"/>
      <c r="L1461" s="18"/>
      <c r="M1461" s="17"/>
      <c r="N1461" s="18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</row>
    <row r="1462" spans="1:30" ht="15.6" x14ac:dyDescent="0.3">
      <c r="A1462" s="17"/>
      <c r="B1462" s="17"/>
      <c r="C1462" s="17"/>
      <c r="D1462" s="17"/>
      <c r="E1462" s="17"/>
      <c r="F1462" s="17"/>
      <c r="G1462" s="17"/>
      <c r="H1462" s="18"/>
      <c r="I1462" s="17"/>
      <c r="J1462" s="17"/>
      <c r="K1462" s="17"/>
      <c r="L1462" s="18"/>
      <c r="M1462" s="17"/>
      <c r="N1462" s="18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</row>
    <row r="1463" spans="1:30" ht="15.6" x14ac:dyDescent="0.3">
      <c r="A1463" s="17"/>
      <c r="B1463" s="17"/>
      <c r="C1463" s="17"/>
      <c r="D1463" s="17"/>
      <c r="E1463" s="17"/>
      <c r="F1463" s="17"/>
      <c r="G1463" s="17"/>
      <c r="H1463" s="18"/>
      <c r="I1463" s="17"/>
      <c r="J1463" s="17"/>
      <c r="K1463" s="17"/>
      <c r="L1463" s="18"/>
      <c r="M1463" s="17"/>
      <c r="N1463" s="18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</row>
    <row r="1464" spans="1:30" ht="15.6" x14ac:dyDescent="0.3">
      <c r="A1464" s="17"/>
      <c r="B1464" s="17"/>
      <c r="C1464" s="17"/>
      <c r="D1464" s="17"/>
      <c r="E1464" s="17"/>
      <c r="F1464" s="17"/>
      <c r="G1464" s="17"/>
      <c r="H1464" s="18"/>
      <c r="I1464" s="17"/>
      <c r="J1464" s="17"/>
      <c r="K1464" s="17"/>
      <c r="L1464" s="18"/>
      <c r="M1464" s="17"/>
      <c r="N1464" s="18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</row>
    <row r="1465" spans="1:30" ht="15.6" x14ac:dyDescent="0.3">
      <c r="A1465" s="17"/>
      <c r="B1465" s="17"/>
      <c r="C1465" s="17"/>
      <c r="D1465" s="17"/>
      <c r="E1465" s="17"/>
      <c r="F1465" s="17"/>
      <c r="G1465" s="17"/>
      <c r="H1465" s="18"/>
      <c r="I1465" s="17"/>
      <c r="J1465" s="17"/>
      <c r="K1465" s="17"/>
      <c r="L1465" s="18"/>
      <c r="M1465" s="17"/>
      <c r="N1465" s="18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</row>
    <row r="1466" spans="1:30" ht="15.6" x14ac:dyDescent="0.3">
      <c r="A1466" s="17"/>
      <c r="B1466" s="17"/>
      <c r="C1466" s="17"/>
      <c r="D1466" s="17"/>
      <c r="E1466" s="17"/>
      <c r="F1466" s="17"/>
      <c r="G1466" s="17"/>
      <c r="H1466" s="18"/>
      <c r="I1466" s="17"/>
      <c r="J1466" s="17"/>
      <c r="K1466" s="17"/>
      <c r="L1466" s="18"/>
      <c r="M1466" s="17"/>
      <c r="N1466" s="18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</row>
    <row r="1467" spans="1:30" ht="15.6" x14ac:dyDescent="0.3">
      <c r="A1467" s="17"/>
      <c r="B1467" s="17"/>
      <c r="C1467" s="17"/>
      <c r="D1467" s="17"/>
      <c r="E1467" s="17"/>
      <c r="F1467" s="17"/>
      <c r="G1467" s="17"/>
      <c r="H1467" s="18"/>
      <c r="I1467" s="17"/>
      <c r="J1467" s="17"/>
      <c r="K1467" s="17"/>
      <c r="L1467" s="18"/>
      <c r="M1467" s="17"/>
      <c r="N1467" s="18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</row>
    <row r="1468" spans="1:30" ht="15.6" x14ac:dyDescent="0.3">
      <c r="A1468" s="17"/>
      <c r="B1468" s="17"/>
      <c r="C1468" s="17"/>
      <c r="D1468" s="17"/>
      <c r="E1468" s="17"/>
      <c r="F1468" s="17"/>
      <c r="G1468" s="17"/>
      <c r="H1468" s="18"/>
      <c r="I1468" s="17"/>
      <c r="J1468" s="17"/>
      <c r="K1468" s="17"/>
      <c r="L1468" s="18"/>
      <c r="M1468" s="17"/>
      <c r="N1468" s="18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</row>
    <row r="1469" spans="1:30" ht="15.6" x14ac:dyDescent="0.3">
      <c r="A1469" s="17"/>
      <c r="B1469" s="17"/>
      <c r="C1469" s="17"/>
      <c r="D1469" s="17"/>
      <c r="E1469" s="17"/>
      <c r="F1469" s="17"/>
      <c r="G1469" s="17"/>
      <c r="H1469" s="18"/>
      <c r="I1469" s="17"/>
      <c r="J1469" s="17"/>
      <c r="K1469" s="17"/>
      <c r="L1469" s="18"/>
      <c r="M1469" s="17"/>
      <c r="N1469" s="18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</row>
    <row r="1470" spans="1:30" ht="15.6" x14ac:dyDescent="0.3">
      <c r="A1470" s="17"/>
      <c r="B1470" s="17"/>
      <c r="C1470" s="17"/>
      <c r="D1470" s="17"/>
      <c r="E1470" s="17"/>
      <c r="F1470" s="17"/>
      <c r="G1470" s="17"/>
      <c r="H1470" s="18"/>
      <c r="I1470" s="17"/>
      <c r="J1470" s="17"/>
      <c r="K1470" s="17"/>
      <c r="L1470" s="18"/>
      <c r="M1470" s="17"/>
      <c r="N1470" s="18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</row>
    <row r="1471" spans="1:30" ht="15.6" x14ac:dyDescent="0.3">
      <c r="A1471" s="17"/>
      <c r="B1471" s="17"/>
      <c r="C1471" s="17"/>
      <c r="D1471" s="17"/>
      <c r="E1471" s="17"/>
      <c r="F1471" s="17"/>
      <c r="G1471" s="17"/>
      <c r="H1471" s="18"/>
      <c r="I1471" s="17"/>
      <c r="J1471" s="17"/>
      <c r="K1471" s="17"/>
      <c r="L1471" s="18"/>
      <c r="M1471" s="17"/>
      <c r="N1471" s="18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</row>
    <row r="1472" spans="1:30" ht="15.6" x14ac:dyDescent="0.3">
      <c r="A1472" s="17"/>
      <c r="B1472" s="17"/>
      <c r="C1472" s="17"/>
      <c r="D1472" s="17"/>
      <c r="E1472" s="17"/>
      <c r="F1472" s="17"/>
      <c r="G1472" s="17"/>
      <c r="H1472" s="18"/>
      <c r="I1472" s="17"/>
      <c r="J1472" s="17"/>
      <c r="K1472" s="17"/>
      <c r="L1472" s="18"/>
      <c r="M1472" s="17"/>
      <c r="N1472" s="18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</row>
    <row r="1473" spans="1:30" ht="15.6" x14ac:dyDescent="0.3">
      <c r="A1473" s="17"/>
      <c r="B1473" s="17"/>
      <c r="C1473" s="17"/>
      <c r="D1473" s="17"/>
      <c r="E1473" s="17"/>
      <c r="F1473" s="17"/>
      <c r="G1473" s="17"/>
      <c r="H1473" s="18"/>
      <c r="I1473" s="17"/>
      <c r="J1473" s="17"/>
      <c r="K1473" s="17"/>
      <c r="L1473" s="18"/>
      <c r="M1473" s="17"/>
      <c r="N1473" s="18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</row>
    <row r="1474" spans="1:30" ht="15.6" x14ac:dyDescent="0.3">
      <c r="A1474" s="17"/>
      <c r="B1474" s="17"/>
      <c r="C1474" s="17"/>
      <c r="D1474" s="17"/>
      <c r="E1474" s="17"/>
      <c r="F1474" s="17"/>
      <c r="G1474" s="17"/>
      <c r="H1474" s="18"/>
      <c r="I1474" s="17"/>
      <c r="J1474" s="17"/>
      <c r="K1474" s="17"/>
      <c r="L1474" s="18"/>
      <c r="M1474" s="17"/>
      <c r="N1474" s="18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</row>
    <row r="1475" spans="1:30" ht="15.6" x14ac:dyDescent="0.3">
      <c r="A1475" s="17"/>
      <c r="B1475" s="17"/>
      <c r="C1475" s="17"/>
      <c r="D1475" s="17"/>
      <c r="E1475" s="17"/>
      <c r="F1475" s="17"/>
      <c r="G1475" s="17"/>
      <c r="H1475" s="18"/>
      <c r="I1475" s="17"/>
      <c r="J1475" s="17"/>
      <c r="K1475" s="17"/>
      <c r="L1475" s="18"/>
      <c r="M1475" s="17"/>
      <c r="N1475" s="18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</row>
    <row r="1476" spans="1:30" ht="15.6" x14ac:dyDescent="0.3">
      <c r="A1476" s="17"/>
      <c r="B1476" s="17"/>
      <c r="C1476" s="17"/>
      <c r="D1476" s="17"/>
      <c r="E1476" s="17"/>
      <c r="F1476" s="17"/>
      <c r="G1476" s="17"/>
      <c r="H1476" s="18"/>
      <c r="I1476" s="17"/>
      <c r="J1476" s="17"/>
      <c r="K1476" s="17"/>
      <c r="L1476" s="18"/>
      <c r="M1476" s="17"/>
      <c r="N1476" s="18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</row>
    <row r="1477" spans="1:30" ht="15.6" x14ac:dyDescent="0.3">
      <c r="A1477" s="17"/>
      <c r="B1477" s="17"/>
      <c r="C1477" s="17"/>
      <c r="D1477" s="17"/>
      <c r="E1477" s="17"/>
      <c r="F1477" s="17"/>
      <c r="G1477" s="17"/>
      <c r="H1477" s="18"/>
      <c r="I1477" s="17"/>
      <c r="J1477" s="17"/>
      <c r="K1477" s="17"/>
      <c r="L1477" s="18"/>
      <c r="M1477" s="17"/>
      <c r="N1477" s="18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</row>
    <row r="1478" spans="1:30" ht="15.6" x14ac:dyDescent="0.3">
      <c r="A1478" s="17"/>
      <c r="B1478" s="17"/>
      <c r="C1478" s="17"/>
      <c r="D1478" s="17"/>
      <c r="E1478" s="17"/>
      <c r="F1478" s="17"/>
      <c r="G1478" s="17"/>
      <c r="H1478" s="18"/>
      <c r="I1478" s="17"/>
      <c r="J1478" s="17"/>
      <c r="K1478" s="17"/>
      <c r="L1478" s="18"/>
      <c r="M1478" s="17"/>
      <c r="N1478" s="18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</row>
    <row r="1479" spans="1:30" ht="15.6" x14ac:dyDescent="0.3">
      <c r="A1479" s="17"/>
      <c r="B1479" s="17"/>
      <c r="C1479" s="17"/>
      <c r="D1479" s="17"/>
      <c r="E1479" s="17"/>
      <c r="F1479" s="17"/>
      <c r="G1479" s="17"/>
      <c r="H1479" s="18"/>
      <c r="I1479" s="17"/>
      <c r="J1479" s="17"/>
      <c r="K1479" s="17"/>
      <c r="L1479" s="18"/>
      <c r="M1479" s="17"/>
      <c r="N1479" s="18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</row>
    <row r="1480" spans="1:30" ht="15.6" x14ac:dyDescent="0.3">
      <c r="A1480" s="17"/>
      <c r="B1480" s="17"/>
      <c r="C1480" s="17"/>
      <c r="D1480" s="17"/>
      <c r="E1480" s="17"/>
      <c r="F1480" s="17"/>
      <c r="G1480" s="17"/>
      <c r="H1480" s="18"/>
      <c r="I1480" s="17"/>
      <c r="J1480" s="17"/>
      <c r="K1480" s="17"/>
      <c r="L1480" s="18"/>
      <c r="M1480" s="17"/>
      <c r="N1480" s="18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</row>
    <row r="1481" spans="1:30" ht="15.6" x14ac:dyDescent="0.3">
      <c r="A1481" s="17"/>
      <c r="B1481" s="17"/>
      <c r="C1481" s="17"/>
      <c r="D1481" s="17"/>
      <c r="E1481" s="17"/>
      <c r="F1481" s="17"/>
      <c r="G1481" s="17"/>
      <c r="H1481" s="18"/>
      <c r="I1481" s="17"/>
      <c r="J1481" s="17"/>
      <c r="K1481" s="17"/>
      <c r="L1481" s="18"/>
      <c r="M1481" s="17"/>
      <c r="N1481" s="18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</row>
    <row r="1482" spans="1:30" ht="15.6" x14ac:dyDescent="0.3">
      <c r="A1482" s="17"/>
      <c r="B1482" s="17"/>
      <c r="C1482" s="17"/>
      <c r="D1482" s="17"/>
      <c r="E1482" s="17"/>
      <c r="F1482" s="17"/>
      <c r="G1482" s="17"/>
      <c r="H1482" s="18"/>
      <c r="I1482" s="17"/>
      <c r="J1482" s="17"/>
      <c r="K1482" s="17"/>
      <c r="L1482" s="18"/>
      <c r="M1482" s="17"/>
      <c r="N1482" s="18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</row>
    <row r="1483" spans="1:30" ht="15.6" x14ac:dyDescent="0.3">
      <c r="A1483" s="17"/>
      <c r="B1483" s="17"/>
      <c r="C1483" s="17"/>
      <c r="D1483" s="17"/>
      <c r="E1483" s="17"/>
      <c r="F1483" s="17"/>
      <c r="G1483" s="17"/>
      <c r="H1483" s="18"/>
      <c r="I1483" s="17"/>
      <c r="J1483" s="17"/>
      <c r="K1483" s="17"/>
      <c r="L1483" s="18"/>
      <c r="M1483" s="17"/>
      <c r="N1483" s="18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</row>
    <row r="1484" spans="1:30" ht="15.6" x14ac:dyDescent="0.3">
      <c r="A1484" s="17"/>
      <c r="B1484" s="17"/>
      <c r="C1484" s="17"/>
      <c r="D1484" s="17"/>
      <c r="E1484" s="17"/>
      <c r="F1484" s="17"/>
      <c r="G1484" s="17"/>
      <c r="H1484" s="18"/>
      <c r="I1484" s="17"/>
      <c r="J1484" s="17"/>
      <c r="K1484" s="17"/>
      <c r="L1484" s="18"/>
      <c r="M1484" s="17"/>
      <c r="N1484" s="18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</row>
    <row r="1485" spans="1:30" ht="15.6" x14ac:dyDescent="0.3">
      <c r="A1485" s="17"/>
      <c r="B1485" s="17"/>
      <c r="C1485" s="17"/>
      <c r="D1485" s="17"/>
      <c r="E1485" s="17"/>
      <c r="F1485" s="17"/>
      <c r="G1485" s="17"/>
      <c r="H1485" s="18"/>
      <c r="I1485" s="17"/>
      <c r="J1485" s="17"/>
      <c r="K1485" s="17"/>
      <c r="L1485" s="18"/>
      <c r="M1485" s="17"/>
      <c r="N1485" s="18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</row>
    <row r="1486" spans="1:30" ht="15.6" x14ac:dyDescent="0.3">
      <c r="A1486" s="17"/>
      <c r="B1486" s="17"/>
      <c r="C1486" s="17"/>
      <c r="D1486" s="17"/>
      <c r="E1486" s="17"/>
      <c r="F1486" s="17"/>
      <c r="G1486" s="17"/>
      <c r="H1486" s="18"/>
      <c r="I1486" s="17"/>
      <c r="J1486" s="17"/>
      <c r="K1486" s="17"/>
      <c r="L1486" s="18"/>
      <c r="M1486" s="17"/>
      <c r="N1486" s="18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</row>
    <row r="1487" spans="1:30" ht="15.6" x14ac:dyDescent="0.3">
      <c r="A1487" s="17"/>
      <c r="B1487" s="17"/>
      <c r="C1487" s="17"/>
      <c r="D1487" s="17"/>
      <c r="E1487" s="17"/>
      <c r="F1487" s="17"/>
      <c r="G1487" s="17"/>
      <c r="H1487" s="18"/>
      <c r="I1487" s="17"/>
      <c r="J1487" s="17"/>
      <c r="K1487" s="17"/>
      <c r="L1487" s="18"/>
      <c r="M1487" s="17"/>
      <c r="N1487" s="18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</row>
    <row r="1488" spans="1:30" ht="15.6" x14ac:dyDescent="0.3">
      <c r="A1488" s="17"/>
      <c r="B1488" s="17"/>
      <c r="C1488" s="17"/>
      <c r="D1488" s="17"/>
      <c r="E1488" s="17"/>
      <c r="F1488" s="17"/>
      <c r="G1488" s="17"/>
      <c r="H1488" s="18"/>
      <c r="I1488" s="17"/>
      <c r="J1488" s="17"/>
      <c r="K1488" s="17"/>
      <c r="L1488" s="18"/>
      <c r="M1488" s="17"/>
      <c r="N1488" s="18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</row>
    <row r="1489" spans="1:30" ht="15.6" x14ac:dyDescent="0.3">
      <c r="A1489" s="17"/>
      <c r="B1489" s="17"/>
      <c r="C1489" s="17"/>
      <c r="D1489" s="17"/>
      <c r="E1489" s="17"/>
      <c r="F1489" s="17"/>
      <c r="G1489" s="17"/>
      <c r="H1489" s="18"/>
      <c r="I1489" s="17"/>
      <c r="J1489" s="17"/>
      <c r="K1489" s="17"/>
      <c r="L1489" s="18"/>
      <c r="M1489" s="17"/>
      <c r="N1489" s="18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</row>
    <row r="1490" spans="1:30" ht="15.6" x14ac:dyDescent="0.3">
      <c r="A1490" s="17"/>
      <c r="B1490" s="17"/>
      <c r="C1490" s="17"/>
      <c r="D1490" s="17"/>
      <c r="E1490" s="17"/>
      <c r="F1490" s="17"/>
      <c r="G1490" s="17"/>
      <c r="H1490" s="18"/>
      <c r="I1490" s="17"/>
      <c r="J1490" s="17"/>
      <c r="K1490" s="17"/>
      <c r="L1490" s="18"/>
      <c r="M1490" s="17"/>
      <c r="N1490" s="18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</row>
    <row r="1491" spans="1:30" ht="15.6" x14ac:dyDescent="0.3">
      <c r="A1491" s="17"/>
      <c r="B1491" s="17"/>
      <c r="C1491" s="17"/>
      <c r="D1491" s="17"/>
      <c r="E1491" s="17"/>
      <c r="F1491" s="17"/>
      <c r="G1491" s="17"/>
      <c r="H1491" s="18"/>
      <c r="I1491" s="17"/>
      <c r="J1491" s="17"/>
      <c r="K1491" s="17"/>
      <c r="L1491" s="18"/>
      <c r="M1491" s="17"/>
      <c r="N1491" s="18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</row>
    <row r="1492" spans="1:30" ht="15.6" x14ac:dyDescent="0.3">
      <c r="A1492" s="17"/>
      <c r="B1492" s="17"/>
      <c r="C1492" s="17"/>
      <c r="D1492" s="17"/>
      <c r="E1492" s="17"/>
      <c r="F1492" s="17"/>
      <c r="G1492" s="17"/>
      <c r="H1492" s="18"/>
      <c r="I1492" s="17"/>
      <c r="J1492" s="17"/>
      <c r="K1492" s="17"/>
      <c r="L1492" s="18"/>
      <c r="M1492" s="17"/>
      <c r="N1492" s="18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</row>
    <row r="1493" spans="1:30" ht="15.6" x14ac:dyDescent="0.3">
      <c r="A1493" s="17"/>
      <c r="B1493" s="17"/>
      <c r="C1493" s="17"/>
      <c r="D1493" s="17"/>
      <c r="E1493" s="17"/>
      <c r="F1493" s="17"/>
      <c r="G1493" s="17"/>
      <c r="H1493" s="18"/>
      <c r="I1493" s="17"/>
      <c r="J1493" s="17"/>
      <c r="K1493" s="17"/>
      <c r="L1493" s="18"/>
      <c r="M1493" s="17"/>
      <c r="N1493" s="18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</row>
    <row r="1494" spans="1:30" ht="15.6" x14ac:dyDescent="0.3">
      <c r="A1494" s="17"/>
      <c r="B1494" s="17"/>
      <c r="C1494" s="17"/>
      <c r="D1494" s="17"/>
      <c r="E1494" s="17"/>
      <c r="F1494" s="17"/>
      <c r="G1494" s="17"/>
      <c r="H1494" s="18"/>
      <c r="I1494" s="17"/>
      <c r="J1494" s="17"/>
      <c r="K1494" s="17"/>
      <c r="L1494" s="18"/>
      <c r="M1494" s="17"/>
      <c r="N1494" s="18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</row>
    <row r="1495" spans="1:30" ht="15.6" x14ac:dyDescent="0.3">
      <c r="A1495" s="17"/>
      <c r="B1495" s="17"/>
      <c r="C1495" s="17"/>
      <c r="D1495" s="17"/>
      <c r="E1495" s="17"/>
      <c r="F1495" s="17"/>
      <c r="G1495" s="17"/>
      <c r="H1495" s="18"/>
      <c r="I1495" s="17"/>
      <c r="J1495" s="17"/>
      <c r="K1495" s="17"/>
      <c r="L1495" s="18"/>
      <c r="M1495" s="17"/>
      <c r="N1495" s="18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</row>
    <row r="1496" spans="1:30" ht="15.6" x14ac:dyDescent="0.3">
      <c r="A1496" s="17"/>
      <c r="B1496" s="17"/>
      <c r="C1496" s="17"/>
      <c r="D1496" s="17"/>
      <c r="E1496" s="17"/>
      <c r="F1496" s="17"/>
      <c r="G1496" s="17"/>
      <c r="H1496" s="18"/>
      <c r="I1496" s="17"/>
      <c r="J1496" s="17"/>
      <c r="K1496" s="17"/>
      <c r="L1496" s="18"/>
      <c r="M1496" s="17"/>
      <c r="N1496" s="18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</row>
    <row r="1497" spans="1:30" ht="15.6" x14ac:dyDescent="0.3">
      <c r="A1497" s="17"/>
      <c r="B1497" s="17"/>
      <c r="C1497" s="17"/>
      <c r="D1497" s="17"/>
      <c r="E1497" s="17"/>
      <c r="F1497" s="17"/>
      <c r="G1497" s="17"/>
      <c r="H1497" s="18"/>
      <c r="I1497" s="17"/>
      <c r="J1497" s="17"/>
      <c r="K1497" s="17"/>
      <c r="L1497" s="18"/>
      <c r="M1497" s="17"/>
      <c r="N1497" s="18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</row>
    <row r="1498" spans="1:30" ht="15.6" x14ac:dyDescent="0.3">
      <c r="A1498" s="17"/>
      <c r="B1498" s="17"/>
      <c r="C1498" s="17"/>
      <c r="D1498" s="17"/>
      <c r="E1498" s="17"/>
      <c r="F1498" s="17"/>
      <c r="G1498" s="17"/>
      <c r="H1498" s="18"/>
      <c r="I1498" s="17"/>
      <c r="J1498" s="17"/>
      <c r="K1498" s="17"/>
      <c r="L1498" s="18"/>
      <c r="M1498" s="17"/>
      <c r="N1498" s="18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</row>
    <row r="1499" spans="1:30" ht="15.6" x14ac:dyDescent="0.3">
      <c r="A1499" s="17"/>
      <c r="B1499" s="17"/>
      <c r="C1499" s="17"/>
      <c r="D1499" s="17"/>
      <c r="E1499" s="17"/>
      <c r="F1499" s="17"/>
      <c r="G1499" s="17"/>
      <c r="H1499" s="18"/>
      <c r="I1499" s="17"/>
      <c r="J1499" s="17"/>
      <c r="K1499" s="17"/>
      <c r="L1499" s="18"/>
      <c r="M1499" s="17"/>
      <c r="N1499" s="18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</row>
    <row r="1500" spans="1:30" ht="15.6" x14ac:dyDescent="0.3">
      <c r="A1500" s="17"/>
      <c r="B1500" s="17"/>
      <c r="C1500" s="17"/>
      <c r="D1500" s="17"/>
      <c r="E1500" s="17"/>
      <c r="F1500" s="17"/>
      <c r="G1500" s="17"/>
      <c r="H1500" s="18"/>
      <c r="I1500" s="17"/>
      <c r="J1500" s="17"/>
      <c r="K1500" s="17"/>
      <c r="L1500" s="18"/>
      <c r="M1500" s="17"/>
      <c r="N1500" s="18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</row>
    <row r="1501" spans="1:30" ht="15.6" x14ac:dyDescent="0.3">
      <c r="A1501" s="17"/>
      <c r="B1501" s="17"/>
      <c r="C1501" s="17"/>
      <c r="D1501" s="17"/>
      <c r="E1501" s="17"/>
      <c r="F1501" s="17"/>
      <c r="G1501" s="17"/>
      <c r="H1501" s="18"/>
      <c r="I1501" s="17"/>
      <c r="J1501" s="17"/>
      <c r="K1501" s="17"/>
      <c r="L1501" s="18"/>
      <c r="M1501" s="17"/>
      <c r="N1501" s="18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</row>
    <row r="1502" spans="1:30" ht="15.6" x14ac:dyDescent="0.3">
      <c r="A1502" s="17"/>
      <c r="B1502" s="17"/>
      <c r="C1502" s="17"/>
      <c r="D1502" s="17"/>
      <c r="E1502" s="17"/>
      <c r="F1502" s="17"/>
      <c r="G1502" s="17"/>
      <c r="H1502" s="18"/>
      <c r="I1502" s="17"/>
      <c r="J1502" s="17"/>
      <c r="K1502" s="17"/>
      <c r="L1502" s="18"/>
      <c r="M1502" s="17"/>
      <c r="N1502" s="18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</row>
    <row r="1503" spans="1:30" ht="15.6" x14ac:dyDescent="0.3">
      <c r="A1503" s="17"/>
      <c r="B1503" s="17"/>
      <c r="C1503" s="17"/>
      <c r="D1503" s="17"/>
      <c r="E1503" s="17"/>
      <c r="F1503" s="17"/>
      <c r="G1503" s="17"/>
      <c r="H1503" s="18"/>
      <c r="I1503" s="17"/>
      <c r="J1503" s="17"/>
      <c r="K1503" s="17"/>
      <c r="L1503" s="18"/>
      <c r="M1503" s="17"/>
      <c r="N1503" s="18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</row>
    <row r="1504" spans="1:30" ht="15.6" x14ac:dyDescent="0.3">
      <c r="A1504" s="17"/>
      <c r="B1504" s="17"/>
      <c r="C1504" s="17"/>
      <c r="D1504" s="17"/>
      <c r="E1504" s="17"/>
      <c r="F1504" s="17"/>
      <c r="G1504" s="17"/>
      <c r="H1504" s="18"/>
      <c r="I1504" s="17"/>
      <c r="J1504" s="17"/>
      <c r="K1504" s="17"/>
      <c r="L1504" s="18"/>
      <c r="M1504" s="17"/>
      <c r="N1504" s="18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</row>
    <row r="1505" spans="1:30" ht="15.6" x14ac:dyDescent="0.3">
      <c r="A1505" s="17"/>
      <c r="B1505" s="17"/>
      <c r="C1505" s="17"/>
      <c r="D1505" s="17"/>
      <c r="E1505" s="17"/>
      <c r="F1505" s="17"/>
      <c r="G1505" s="17"/>
      <c r="H1505" s="18"/>
      <c r="I1505" s="17"/>
      <c r="J1505" s="17"/>
      <c r="K1505" s="17"/>
      <c r="L1505" s="18"/>
      <c r="M1505" s="17"/>
      <c r="N1505" s="18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</row>
    <row r="1506" spans="1:30" ht="15.6" x14ac:dyDescent="0.3">
      <c r="A1506" s="17"/>
      <c r="B1506" s="17"/>
      <c r="C1506" s="17"/>
      <c r="D1506" s="17"/>
      <c r="E1506" s="17"/>
      <c r="F1506" s="17"/>
      <c r="G1506" s="17"/>
      <c r="H1506" s="18"/>
      <c r="I1506" s="17"/>
      <c r="J1506" s="17"/>
      <c r="K1506" s="17"/>
      <c r="L1506" s="18"/>
      <c r="M1506" s="17"/>
      <c r="N1506" s="18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</row>
    <row r="1507" spans="1:30" ht="15.6" x14ac:dyDescent="0.3">
      <c r="A1507" s="17"/>
      <c r="B1507" s="17"/>
      <c r="C1507" s="17"/>
      <c r="D1507" s="17"/>
      <c r="E1507" s="17"/>
      <c r="F1507" s="17"/>
      <c r="G1507" s="17"/>
      <c r="H1507" s="18"/>
      <c r="I1507" s="17"/>
      <c r="J1507" s="17"/>
      <c r="K1507" s="17"/>
      <c r="L1507" s="18"/>
      <c r="M1507" s="17"/>
      <c r="N1507" s="18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</row>
    <row r="1508" spans="1:30" ht="15.6" x14ac:dyDescent="0.3">
      <c r="A1508" s="17"/>
      <c r="B1508" s="17"/>
      <c r="C1508" s="17"/>
      <c r="D1508" s="17"/>
      <c r="E1508" s="17"/>
      <c r="F1508" s="17"/>
      <c r="G1508" s="17"/>
      <c r="H1508" s="18"/>
      <c r="I1508" s="17"/>
      <c r="J1508" s="17"/>
      <c r="K1508" s="17"/>
      <c r="L1508" s="18"/>
      <c r="M1508" s="17"/>
      <c r="N1508" s="18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</row>
    <row r="1509" spans="1:30" ht="15.6" x14ac:dyDescent="0.3">
      <c r="A1509" s="17"/>
      <c r="B1509" s="17"/>
      <c r="C1509" s="17"/>
      <c r="D1509" s="17"/>
      <c r="E1509" s="17"/>
      <c r="F1509" s="17"/>
      <c r="G1509" s="17"/>
      <c r="H1509" s="18"/>
      <c r="I1509" s="17"/>
      <c r="J1509" s="17"/>
      <c r="K1509" s="17"/>
      <c r="L1509" s="18"/>
      <c r="M1509" s="17"/>
      <c r="N1509" s="18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</row>
    <row r="1510" spans="1:30" ht="15.6" x14ac:dyDescent="0.3">
      <c r="A1510" s="17"/>
      <c r="B1510" s="17"/>
      <c r="C1510" s="17"/>
      <c r="D1510" s="17"/>
      <c r="E1510" s="17"/>
      <c r="F1510" s="17"/>
      <c r="G1510" s="17"/>
      <c r="H1510" s="18"/>
      <c r="I1510" s="17"/>
      <c r="J1510" s="17"/>
      <c r="K1510" s="17"/>
      <c r="L1510" s="18"/>
      <c r="M1510" s="17"/>
      <c r="N1510" s="18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</row>
    <row r="1511" spans="1:30" ht="15.6" x14ac:dyDescent="0.3">
      <c r="A1511" s="17"/>
      <c r="B1511" s="17"/>
      <c r="C1511" s="17"/>
      <c r="D1511" s="17"/>
      <c r="E1511" s="17"/>
      <c r="F1511" s="17"/>
      <c r="G1511" s="17"/>
      <c r="H1511" s="18"/>
      <c r="I1511" s="17"/>
      <c r="J1511" s="17"/>
      <c r="K1511" s="17"/>
      <c r="L1511" s="18"/>
      <c r="M1511" s="17"/>
      <c r="N1511" s="18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</row>
    <row r="1512" spans="1:30" ht="15.6" x14ac:dyDescent="0.3">
      <c r="A1512" s="17"/>
      <c r="B1512" s="17"/>
      <c r="C1512" s="17"/>
      <c r="D1512" s="17"/>
      <c r="E1512" s="17"/>
      <c r="F1512" s="17"/>
      <c r="G1512" s="17"/>
      <c r="H1512" s="18"/>
      <c r="I1512" s="17"/>
      <c r="J1512" s="17"/>
      <c r="K1512" s="17"/>
      <c r="L1512" s="18"/>
      <c r="M1512" s="17"/>
      <c r="N1512" s="18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</row>
    <row r="1513" spans="1:30" ht="15.6" x14ac:dyDescent="0.3">
      <c r="A1513" s="17"/>
      <c r="B1513" s="17"/>
      <c r="C1513" s="17"/>
      <c r="D1513" s="17"/>
      <c r="E1513" s="17"/>
      <c r="F1513" s="17"/>
      <c r="G1513" s="17"/>
      <c r="H1513" s="18"/>
      <c r="I1513" s="17"/>
      <c r="J1513" s="17"/>
      <c r="K1513" s="17"/>
      <c r="L1513" s="18"/>
      <c r="M1513" s="17"/>
      <c r="N1513" s="18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</row>
    <row r="1514" spans="1:30" ht="15.6" x14ac:dyDescent="0.3">
      <c r="A1514" s="17"/>
      <c r="B1514" s="17"/>
      <c r="C1514" s="17"/>
      <c r="D1514" s="17"/>
      <c r="E1514" s="17"/>
      <c r="F1514" s="17"/>
      <c r="G1514" s="17"/>
      <c r="H1514" s="18"/>
      <c r="I1514" s="17"/>
      <c r="J1514" s="17"/>
      <c r="K1514" s="17"/>
      <c r="L1514" s="18"/>
      <c r="M1514" s="17"/>
      <c r="N1514" s="18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</row>
    <row r="1515" spans="1:30" ht="15.6" x14ac:dyDescent="0.3">
      <c r="A1515" s="17"/>
      <c r="B1515" s="17"/>
      <c r="C1515" s="17"/>
      <c r="D1515" s="17"/>
      <c r="E1515" s="17"/>
      <c r="F1515" s="17"/>
      <c r="G1515" s="17"/>
      <c r="H1515" s="18"/>
      <c r="I1515" s="17"/>
      <c r="J1515" s="17"/>
      <c r="K1515" s="17"/>
      <c r="L1515" s="18"/>
      <c r="M1515" s="17"/>
      <c r="N1515" s="18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</row>
    <row r="1516" spans="1:30" ht="15.6" x14ac:dyDescent="0.3">
      <c r="A1516" s="17"/>
      <c r="B1516" s="17"/>
      <c r="C1516" s="17"/>
      <c r="D1516" s="17"/>
      <c r="E1516" s="17"/>
      <c r="F1516" s="17"/>
      <c r="G1516" s="17"/>
      <c r="H1516" s="18"/>
      <c r="I1516" s="17"/>
      <c r="J1516" s="17"/>
      <c r="K1516" s="17"/>
      <c r="L1516" s="18"/>
      <c r="M1516" s="17"/>
      <c r="N1516" s="18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</row>
    <row r="1517" spans="1:30" ht="15.6" x14ac:dyDescent="0.3">
      <c r="A1517" s="17"/>
      <c r="B1517" s="17"/>
      <c r="C1517" s="17"/>
      <c r="D1517" s="17"/>
      <c r="E1517" s="17"/>
      <c r="F1517" s="17"/>
      <c r="G1517" s="17"/>
      <c r="H1517" s="18"/>
      <c r="I1517" s="17"/>
      <c r="J1517" s="17"/>
      <c r="K1517" s="17"/>
      <c r="L1517" s="18"/>
      <c r="M1517" s="17"/>
      <c r="N1517" s="18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</row>
    <row r="1518" spans="1:30" ht="15.6" x14ac:dyDescent="0.3">
      <c r="A1518" s="17"/>
      <c r="B1518" s="17"/>
      <c r="C1518" s="17"/>
      <c r="D1518" s="17"/>
      <c r="E1518" s="17"/>
      <c r="F1518" s="17"/>
      <c r="G1518" s="17"/>
      <c r="H1518" s="18"/>
      <c r="I1518" s="17"/>
      <c r="J1518" s="17"/>
      <c r="K1518" s="17"/>
      <c r="L1518" s="18"/>
      <c r="M1518" s="17"/>
      <c r="N1518" s="18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</row>
    <row r="1519" spans="1:30" ht="15.6" x14ac:dyDescent="0.3">
      <c r="A1519" s="17"/>
      <c r="B1519" s="17"/>
      <c r="C1519" s="17"/>
      <c r="D1519" s="17"/>
      <c r="E1519" s="17"/>
      <c r="F1519" s="17"/>
      <c r="G1519" s="17"/>
      <c r="H1519" s="18"/>
      <c r="I1519" s="17"/>
      <c r="J1519" s="17"/>
      <c r="K1519" s="17"/>
      <c r="L1519" s="18"/>
      <c r="M1519" s="17"/>
      <c r="N1519" s="18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</row>
    <row r="1520" spans="1:30" ht="15.6" x14ac:dyDescent="0.3">
      <c r="A1520" s="17"/>
      <c r="B1520" s="17"/>
      <c r="C1520" s="17"/>
      <c r="D1520" s="17"/>
      <c r="E1520" s="17"/>
      <c r="F1520" s="17"/>
      <c r="G1520" s="17"/>
      <c r="H1520" s="18"/>
      <c r="I1520" s="17"/>
      <c r="J1520" s="17"/>
      <c r="K1520" s="17"/>
      <c r="L1520" s="18"/>
      <c r="M1520" s="17"/>
      <c r="N1520" s="18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</row>
    <row r="1521" spans="1:30" ht="15.6" x14ac:dyDescent="0.3">
      <c r="A1521" s="17"/>
      <c r="B1521" s="17"/>
      <c r="C1521" s="17"/>
      <c r="D1521" s="17"/>
      <c r="E1521" s="17"/>
      <c r="F1521" s="17"/>
      <c r="G1521" s="17"/>
      <c r="H1521" s="18"/>
      <c r="I1521" s="17"/>
      <c r="J1521" s="17"/>
      <c r="K1521" s="17"/>
      <c r="L1521" s="18"/>
      <c r="M1521" s="17"/>
      <c r="N1521" s="18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</row>
    <row r="1522" spans="1:30" ht="15.6" x14ac:dyDescent="0.3">
      <c r="A1522" s="17"/>
      <c r="B1522" s="17"/>
      <c r="C1522" s="17"/>
      <c r="D1522" s="17"/>
      <c r="E1522" s="17"/>
      <c r="F1522" s="17"/>
      <c r="G1522" s="17"/>
      <c r="H1522" s="18"/>
      <c r="I1522" s="17"/>
      <c r="J1522" s="17"/>
      <c r="K1522" s="17"/>
      <c r="L1522" s="18"/>
      <c r="M1522" s="17"/>
      <c r="N1522" s="18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</row>
    <row r="1523" spans="1:30" ht="15.6" x14ac:dyDescent="0.3">
      <c r="A1523" s="17"/>
      <c r="B1523" s="17"/>
      <c r="C1523" s="17"/>
      <c r="D1523" s="17"/>
      <c r="E1523" s="17"/>
      <c r="F1523" s="17"/>
      <c r="G1523" s="17"/>
      <c r="H1523" s="18"/>
      <c r="I1523" s="17"/>
      <c r="J1523" s="17"/>
      <c r="K1523" s="17"/>
      <c r="L1523" s="18"/>
      <c r="M1523" s="17"/>
      <c r="N1523" s="18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</row>
    <row r="1524" spans="1:30" ht="15.6" x14ac:dyDescent="0.3">
      <c r="A1524" s="17"/>
      <c r="B1524" s="17"/>
      <c r="C1524" s="17"/>
      <c r="D1524" s="17"/>
      <c r="E1524" s="17"/>
      <c r="F1524" s="17"/>
      <c r="G1524" s="17"/>
      <c r="H1524" s="18"/>
      <c r="I1524" s="17"/>
      <c r="J1524" s="17"/>
      <c r="K1524" s="17"/>
      <c r="L1524" s="18"/>
      <c r="M1524" s="17"/>
      <c r="N1524" s="18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</row>
    <row r="1525" spans="1:30" ht="15.6" x14ac:dyDescent="0.3">
      <c r="A1525" s="17"/>
      <c r="B1525" s="17"/>
      <c r="C1525" s="17"/>
      <c r="D1525" s="17"/>
      <c r="E1525" s="17"/>
      <c r="F1525" s="17"/>
      <c r="G1525" s="17"/>
      <c r="H1525" s="18"/>
      <c r="I1525" s="17"/>
      <c r="J1525" s="17"/>
      <c r="K1525" s="17"/>
      <c r="L1525" s="18"/>
      <c r="M1525" s="17"/>
      <c r="N1525" s="18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</row>
    <row r="1526" spans="1:30" ht="15.6" x14ac:dyDescent="0.3">
      <c r="A1526" s="17"/>
      <c r="B1526" s="17"/>
      <c r="C1526" s="17"/>
      <c r="D1526" s="17"/>
      <c r="E1526" s="17"/>
      <c r="F1526" s="17"/>
      <c r="G1526" s="17"/>
      <c r="H1526" s="18"/>
      <c r="I1526" s="17"/>
      <c r="J1526" s="17"/>
      <c r="K1526" s="17"/>
      <c r="L1526" s="18"/>
      <c r="M1526" s="17"/>
      <c r="N1526" s="18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</row>
    <row r="1527" spans="1:30" ht="15.6" x14ac:dyDescent="0.3">
      <c r="A1527" s="17"/>
      <c r="B1527" s="17"/>
      <c r="C1527" s="17"/>
      <c r="D1527" s="17"/>
      <c r="E1527" s="17"/>
      <c r="F1527" s="17"/>
      <c r="G1527" s="17"/>
      <c r="H1527" s="18"/>
      <c r="I1527" s="17"/>
      <c r="J1527" s="17"/>
      <c r="K1527" s="17"/>
      <c r="L1527" s="18"/>
      <c r="M1527" s="17"/>
      <c r="N1527" s="18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</row>
    <row r="1528" spans="1:30" ht="15.6" x14ac:dyDescent="0.3">
      <c r="A1528" s="17"/>
      <c r="B1528" s="17"/>
      <c r="C1528" s="17"/>
      <c r="D1528" s="17"/>
      <c r="E1528" s="17"/>
      <c r="F1528" s="17"/>
      <c r="G1528" s="17"/>
      <c r="H1528" s="18"/>
      <c r="I1528" s="17"/>
      <c r="J1528" s="17"/>
      <c r="K1528" s="17"/>
      <c r="L1528" s="18"/>
      <c r="M1528" s="17"/>
      <c r="N1528" s="18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</row>
    <row r="1529" spans="1:30" ht="15.6" x14ac:dyDescent="0.3">
      <c r="A1529" s="17"/>
      <c r="B1529" s="17"/>
      <c r="C1529" s="17"/>
      <c r="D1529" s="17"/>
      <c r="E1529" s="17"/>
      <c r="F1529" s="17"/>
      <c r="G1529" s="17"/>
      <c r="H1529" s="18"/>
      <c r="I1529" s="17"/>
      <c r="J1529" s="17"/>
      <c r="K1529" s="17"/>
      <c r="L1529" s="18"/>
      <c r="M1529" s="17"/>
      <c r="N1529" s="18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</row>
    <row r="1530" spans="1:30" ht="15.6" x14ac:dyDescent="0.3">
      <c r="A1530" s="17"/>
      <c r="B1530" s="17"/>
      <c r="C1530" s="17"/>
      <c r="D1530" s="17"/>
      <c r="E1530" s="17"/>
      <c r="F1530" s="17"/>
      <c r="G1530" s="17"/>
      <c r="H1530" s="18"/>
      <c r="I1530" s="17"/>
      <c r="J1530" s="17"/>
      <c r="K1530" s="17"/>
      <c r="L1530" s="18"/>
      <c r="M1530" s="17"/>
      <c r="N1530" s="18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</row>
    <row r="1531" spans="1:30" ht="15.6" x14ac:dyDescent="0.3">
      <c r="A1531" s="17"/>
      <c r="B1531" s="17"/>
      <c r="C1531" s="17"/>
      <c r="D1531" s="17"/>
      <c r="E1531" s="17"/>
      <c r="F1531" s="17"/>
      <c r="G1531" s="17"/>
      <c r="H1531" s="18"/>
      <c r="I1531" s="17"/>
      <c r="J1531" s="17"/>
      <c r="K1531" s="17"/>
      <c r="L1531" s="18"/>
      <c r="M1531" s="17"/>
      <c r="N1531" s="18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</row>
    <row r="1532" spans="1:30" ht="15.6" x14ac:dyDescent="0.3">
      <c r="A1532" s="17"/>
      <c r="B1532" s="17"/>
      <c r="C1532" s="17"/>
      <c r="D1532" s="17"/>
      <c r="E1532" s="17"/>
      <c r="F1532" s="17"/>
      <c r="G1532" s="17"/>
      <c r="H1532" s="18"/>
      <c r="I1532" s="17"/>
      <c r="J1532" s="17"/>
      <c r="K1532" s="17"/>
      <c r="L1532" s="18"/>
      <c r="M1532" s="17"/>
      <c r="N1532" s="18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</row>
    <row r="1533" spans="1:30" ht="15.6" x14ac:dyDescent="0.3">
      <c r="A1533" s="17"/>
      <c r="B1533" s="17"/>
      <c r="C1533" s="17"/>
      <c r="D1533" s="17"/>
      <c r="E1533" s="17"/>
      <c r="F1533" s="17"/>
      <c r="G1533" s="17"/>
      <c r="H1533" s="18"/>
      <c r="I1533" s="17"/>
      <c r="J1533" s="17"/>
      <c r="K1533" s="17"/>
      <c r="L1533" s="18"/>
      <c r="M1533" s="17"/>
      <c r="N1533" s="18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</row>
    <row r="1534" spans="1:30" ht="15.6" x14ac:dyDescent="0.3">
      <c r="A1534" s="17"/>
      <c r="B1534" s="17"/>
      <c r="C1534" s="17"/>
      <c r="D1534" s="17"/>
      <c r="E1534" s="17"/>
      <c r="F1534" s="17"/>
      <c r="G1534" s="17"/>
      <c r="H1534" s="18"/>
      <c r="I1534" s="17"/>
      <c r="J1534" s="17"/>
      <c r="K1534" s="17"/>
      <c r="L1534" s="18"/>
      <c r="M1534" s="17"/>
      <c r="N1534" s="18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</row>
    <row r="1535" spans="1:30" ht="15.6" x14ac:dyDescent="0.3">
      <c r="A1535" s="17"/>
      <c r="B1535" s="17"/>
      <c r="C1535" s="17"/>
      <c r="D1535" s="17"/>
      <c r="E1535" s="17"/>
      <c r="F1535" s="17"/>
      <c r="G1535" s="17"/>
      <c r="H1535" s="18"/>
      <c r="I1535" s="17"/>
      <c r="J1535" s="17"/>
      <c r="K1535" s="17"/>
      <c r="L1535" s="18"/>
      <c r="M1535" s="17"/>
      <c r="N1535" s="18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</row>
    <row r="1536" spans="1:30" ht="15.6" x14ac:dyDescent="0.3">
      <c r="A1536" s="17"/>
      <c r="B1536" s="17"/>
      <c r="C1536" s="17"/>
      <c r="D1536" s="17"/>
      <c r="E1536" s="17"/>
      <c r="F1536" s="17"/>
      <c r="G1536" s="17"/>
      <c r="H1536" s="18"/>
      <c r="I1536" s="17"/>
      <c r="J1536" s="17"/>
      <c r="K1536" s="17"/>
      <c r="L1536" s="18"/>
      <c r="M1536" s="17"/>
      <c r="N1536" s="18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</row>
    <row r="1537" spans="1:30" ht="15.6" x14ac:dyDescent="0.3">
      <c r="A1537" s="17"/>
      <c r="B1537" s="17"/>
      <c r="C1537" s="17"/>
      <c r="D1537" s="17"/>
      <c r="E1537" s="17"/>
      <c r="F1537" s="17"/>
      <c r="G1537" s="17"/>
      <c r="H1537" s="18"/>
      <c r="I1537" s="17"/>
      <c r="J1537" s="17"/>
      <c r="K1537" s="17"/>
      <c r="L1537" s="18"/>
      <c r="M1537" s="17"/>
      <c r="N1537" s="18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</row>
    <row r="1538" spans="1:30" ht="15.6" x14ac:dyDescent="0.3">
      <c r="A1538" s="17"/>
      <c r="B1538" s="17"/>
      <c r="C1538" s="17"/>
      <c r="D1538" s="17"/>
      <c r="E1538" s="17"/>
      <c r="F1538" s="17"/>
      <c r="G1538" s="17"/>
      <c r="H1538" s="18"/>
      <c r="I1538" s="17"/>
      <c r="J1538" s="17"/>
      <c r="K1538" s="17"/>
      <c r="L1538" s="18"/>
      <c r="M1538" s="17"/>
      <c r="N1538" s="18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</row>
    <row r="1539" spans="1:30" ht="15.6" x14ac:dyDescent="0.3">
      <c r="A1539" s="17"/>
      <c r="B1539" s="17"/>
      <c r="C1539" s="17"/>
      <c r="D1539" s="17"/>
      <c r="E1539" s="17"/>
      <c r="F1539" s="17"/>
      <c r="G1539" s="17"/>
      <c r="H1539" s="18"/>
      <c r="I1539" s="17"/>
      <c r="J1539" s="17"/>
      <c r="K1539" s="17"/>
      <c r="L1539" s="18"/>
      <c r="M1539" s="17"/>
      <c r="N1539" s="18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</row>
    <row r="1540" spans="1:30" ht="15.6" x14ac:dyDescent="0.3">
      <c r="A1540" s="17"/>
      <c r="B1540" s="17"/>
      <c r="C1540" s="17"/>
      <c r="D1540" s="17"/>
      <c r="E1540" s="17"/>
      <c r="F1540" s="17"/>
      <c r="G1540" s="17"/>
      <c r="H1540" s="18"/>
      <c r="I1540" s="17"/>
      <c r="J1540" s="17"/>
      <c r="K1540" s="17"/>
      <c r="L1540" s="18"/>
      <c r="M1540" s="17"/>
      <c r="N1540" s="18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 spans="1:30" ht="15.6" x14ac:dyDescent="0.3">
      <c r="A1541" s="17"/>
      <c r="B1541" s="17"/>
      <c r="C1541" s="17"/>
      <c r="D1541" s="17"/>
      <c r="E1541" s="17"/>
      <c r="F1541" s="17"/>
      <c r="G1541" s="17"/>
      <c r="H1541" s="18"/>
      <c r="I1541" s="17"/>
      <c r="J1541" s="17"/>
      <c r="K1541" s="17"/>
      <c r="L1541" s="18"/>
      <c r="M1541" s="17"/>
      <c r="N1541" s="18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</row>
    <row r="1542" spans="1:30" ht="15.6" x14ac:dyDescent="0.3">
      <c r="A1542" s="17"/>
      <c r="B1542" s="17"/>
      <c r="C1542" s="17"/>
      <c r="D1542" s="17"/>
      <c r="E1542" s="17"/>
      <c r="F1542" s="17"/>
      <c r="G1542" s="17"/>
      <c r="H1542" s="18"/>
      <c r="I1542" s="17"/>
      <c r="J1542" s="17"/>
      <c r="K1542" s="17"/>
      <c r="L1542" s="18"/>
      <c r="M1542" s="17"/>
      <c r="N1542" s="18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</row>
    <row r="1543" spans="1:30" ht="15.6" x14ac:dyDescent="0.3">
      <c r="A1543" s="17"/>
      <c r="B1543" s="17"/>
      <c r="C1543" s="17"/>
      <c r="D1543" s="17"/>
      <c r="E1543" s="17"/>
      <c r="F1543" s="17"/>
      <c r="G1543" s="17"/>
      <c r="H1543" s="18"/>
      <c r="I1543" s="17"/>
      <c r="J1543" s="17"/>
      <c r="K1543" s="17"/>
      <c r="L1543" s="18"/>
      <c r="M1543" s="17"/>
      <c r="N1543" s="18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</row>
    <row r="1544" spans="1:30" ht="15.6" x14ac:dyDescent="0.3">
      <c r="A1544" s="17"/>
      <c r="B1544" s="17"/>
      <c r="C1544" s="17"/>
      <c r="D1544" s="17"/>
      <c r="E1544" s="17"/>
      <c r="F1544" s="17"/>
      <c r="G1544" s="17"/>
      <c r="H1544" s="18"/>
      <c r="I1544" s="17"/>
      <c r="J1544" s="17"/>
      <c r="K1544" s="17"/>
      <c r="L1544" s="18"/>
      <c r="M1544" s="17"/>
      <c r="N1544" s="18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</row>
    <row r="1545" spans="1:30" ht="15.6" x14ac:dyDescent="0.3">
      <c r="A1545" s="17"/>
      <c r="B1545" s="17"/>
      <c r="C1545" s="17"/>
      <c r="D1545" s="17"/>
      <c r="E1545" s="17"/>
      <c r="F1545" s="17"/>
      <c r="G1545" s="17"/>
      <c r="H1545" s="18"/>
      <c r="I1545" s="17"/>
      <c r="J1545" s="17"/>
      <c r="K1545" s="17"/>
      <c r="L1545" s="18"/>
      <c r="M1545" s="17"/>
      <c r="N1545" s="18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</row>
    <row r="1546" spans="1:30" ht="15.6" x14ac:dyDescent="0.3">
      <c r="A1546" s="17"/>
      <c r="B1546" s="17"/>
      <c r="C1546" s="17"/>
      <c r="D1546" s="17"/>
      <c r="E1546" s="17"/>
      <c r="F1546" s="17"/>
      <c r="G1546" s="17"/>
      <c r="H1546" s="18"/>
      <c r="I1546" s="17"/>
      <c r="J1546" s="17"/>
      <c r="K1546" s="17"/>
      <c r="L1546" s="18"/>
      <c r="M1546" s="17"/>
      <c r="N1546" s="18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</row>
    <row r="1547" spans="1:30" ht="15.6" x14ac:dyDescent="0.3">
      <c r="A1547" s="17"/>
      <c r="B1547" s="17"/>
      <c r="C1547" s="17"/>
      <c r="D1547" s="17"/>
      <c r="E1547" s="17"/>
      <c r="F1547" s="17"/>
      <c r="G1547" s="17"/>
      <c r="H1547" s="18"/>
      <c r="I1547" s="17"/>
      <c r="J1547" s="17"/>
      <c r="K1547" s="17"/>
      <c r="L1547" s="18"/>
      <c r="M1547" s="17"/>
      <c r="N1547" s="18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</row>
    <row r="1548" spans="1:30" ht="15.6" x14ac:dyDescent="0.3">
      <c r="A1548" s="17"/>
      <c r="B1548" s="17"/>
      <c r="C1548" s="17"/>
      <c r="D1548" s="17"/>
      <c r="E1548" s="17"/>
      <c r="F1548" s="17"/>
      <c r="G1548" s="17"/>
      <c r="H1548" s="18"/>
      <c r="I1548" s="17"/>
      <c r="J1548" s="17"/>
      <c r="K1548" s="17"/>
      <c r="L1548" s="18"/>
      <c r="M1548" s="17"/>
      <c r="N1548" s="18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</row>
    <row r="1549" spans="1:30" ht="15.6" x14ac:dyDescent="0.3">
      <c r="A1549" s="17"/>
      <c r="B1549" s="17"/>
      <c r="C1549" s="17"/>
      <c r="D1549" s="17"/>
      <c r="E1549" s="17"/>
      <c r="F1549" s="17"/>
      <c r="G1549" s="17"/>
      <c r="H1549" s="18"/>
      <c r="I1549" s="17"/>
      <c r="J1549" s="17"/>
      <c r="K1549" s="17"/>
      <c r="L1549" s="18"/>
      <c r="M1549" s="17"/>
      <c r="N1549" s="18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</row>
    <row r="1550" spans="1:30" ht="15.6" x14ac:dyDescent="0.3">
      <c r="A1550" s="17"/>
      <c r="B1550" s="17"/>
      <c r="C1550" s="17"/>
      <c r="D1550" s="17"/>
      <c r="E1550" s="17"/>
      <c r="F1550" s="17"/>
      <c r="G1550" s="17"/>
      <c r="H1550" s="18"/>
      <c r="I1550" s="17"/>
      <c r="J1550" s="17"/>
      <c r="K1550" s="17"/>
      <c r="L1550" s="18"/>
      <c r="M1550" s="17"/>
      <c r="N1550" s="18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</row>
    <row r="1551" spans="1:30" ht="15.6" x14ac:dyDescent="0.3">
      <c r="A1551" s="17"/>
      <c r="B1551" s="17"/>
      <c r="C1551" s="17"/>
      <c r="D1551" s="17"/>
      <c r="E1551" s="17"/>
      <c r="F1551" s="17"/>
      <c r="G1551" s="17"/>
      <c r="H1551" s="18"/>
      <c r="I1551" s="17"/>
      <c r="J1551" s="17"/>
      <c r="K1551" s="17"/>
      <c r="L1551" s="18"/>
      <c r="M1551" s="17"/>
      <c r="N1551" s="18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</row>
    <row r="1552" spans="1:30" ht="15.6" x14ac:dyDescent="0.3">
      <c r="A1552" s="17"/>
      <c r="B1552" s="17"/>
      <c r="C1552" s="17"/>
      <c r="D1552" s="17"/>
      <c r="E1552" s="17"/>
      <c r="F1552" s="17"/>
      <c r="G1552" s="17"/>
      <c r="H1552" s="18"/>
      <c r="I1552" s="17"/>
      <c r="J1552" s="17"/>
      <c r="K1552" s="17"/>
      <c r="L1552" s="18"/>
      <c r="M1552" s="17"/>
      <c r="N1552" s="18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</row>
    <row r="1553" spans="1:30" ht="15.6" x14ac:dyDescent="0.3">
      <c r="A1553" s="17"/>
      <c r="B1553" s="17"/>
      <c r="C1553" s="17"/>
      <c r="D1553" s="17"/>
      <c r="E1553" s="17"/>
      <c r="F1553" s="17"/>
      <c r="G1553" s="17"/>
      <c r="H1553" s="18"/>
      <c r="I1553" s="17"/>
      <c r="J1553" s="17"/>
      <c r="K1553" s="17"/>
      <c r="L1553" s="18"/>
      <c r="M1553" s="17"/>
      <c r="N1553" s="18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</row>
    <row r="1554" spans="1:30" ht="15.6" x14ac:dyDescent="0.3">
      <c r="A1554" s="17"/>
      <c r="B1554" s="17"/>
      <c r="C1554" s="17"/>
      <c r="D1554" s="17"/>
      <c r="E1554" s="17"/>
      <c r="F1554" s="17"/>
      <c r="G1554" s="17"/>
      <c r="H1554" s="18"/>
      <c r="I1554" s="17"/>
      <c r="J1554" s="17"/>
      <c r="K1554" s="17"/>
      <c r="L1554" s="18"/>
      <c r="M1554" s="17"/>
      <c r="N1554" s="18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</row>
    <row r="1555" spans="1:30" ht="15.6" x14ac:dyDescent="0.3">
      <c r="A1555" s="17"/>
      <c r="B1555" s="17"/>
      <c r="C1555" s="17"/>
      <c r="D1555" s="17"/>
      <c r="E1555" s="17"/>
      <c r="F1555" s="17"/>
      <c r="G1555" s="17"/>
      <c r="H1555" s="18"/>
      <c r="I1555" s="17"/>
      <c r="J1555" s="17"/>
      <c r="K1555" s="17"/>
      <c r="L1555" s="18"/>
      <c r="M1555" s="17"/>
      <c r="N1555" s="18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</row>
    <row r="1556" spans="1:30" ht="15.6" x14ac:dyDescent="0.3">
      <c r="A1556" s="17"/>
      <c r="B1556" s="17"/>
      <c r="C1556" s="17"/>
      <c r="D1556" s="17"/>
      <c r="E1556" s="17"/>
      <c r="F1556" s="17"/>
      <c r="G1556" s="17"/>
      <c r="H1556" s="18"/>
      <c r="I1556" s="17"/>
      <c r="J1556" s="17"/>
      <c r="K1556" s="17"/>
      <c r="L1556" s="18"/>
      <c r="M1556" s="17"/>
      <c r="N1556" s="18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</row>
    <row r="1557" spans="1:30" ht="15.6" x14ac:dyDescent="0.3">
      <c r="A1557" s="17"/>
      <c r="B1557" s="17"/>
      <c r="C1557" s="17"/>
      <c r="D1557" s="17"/>
      <c r="E1557" s="17"/>
      <c r="F1557" s="17"/>
      <c r="G1557" s="17"/>
      <c r="H1557" s="18"/>
      <c r="I1557" s="17"/>
      <c r="J1557" s="17"/>
      <c r="K1557" s="17"/>
      <c r="L1557" s="18"/>
      <c r="M1557" s="17"/>
      <c r="N1557" s="18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</row>
    <row r="1558" spans="1:30" ht="15.6" x14ac:dyDescent="0.3">
      <c r="A1558" s="17"/>
      <c r="B1558" s="17"/>
      <c r="C1558" s="17"/>
      <c r="D1558" s="17"/>
      <c r="E1558" s="17"/>
      <c r="F1558" s="17"/>
      <c r="G1558" s="17"/>
      <c r="H1558" s="18"/>
      <c r="I1558" s="17"/>
      <c r="J1558" s="17"/>
      <c r="K1558" s="17"/>
      <c r="L1558" s="18"/>
      <c r="M1558" s="17"/>
      <c r="N1558" s="18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</row>
    <row r="1559" spans="1:30" ht="15.6" x14ac:dyDescent="0.3">
      <c r="A1559" s="17"/>
      <c r="B1559" s="17"/>
      <c r="C1559" s="17"/>
      <c r="D1559" s="17"/>
      <c r="E1559" s="17"/>
      <c r="F1559" s="17"/>
      <c r="G1559" s="17"/>
      <c r="H1559" s="18"/>
      <c r="I1559" s="17"/>
      <c r="J1559" s="17"/>
      <c r="K1559" s="17"/>
      <c r="L1559" s="18"/>
      <c r="M1559" s="17"/>
      <c r="N1559" s="18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</row>
    <row r="1560" spans="1:30" ht="15.6" x14ac:dyDescent="0.3">
      <c r="A1560" s="17"/>
      <c r="B1560" s="17"/>
      <c r="C1560" s="17"/>
      <c r="D1560" s="17"/>
      <c r="E1560" s="17"/>
      <c r="F1560" s="17"/>
      <c r="G1560" s="17"/>
      <c r="H1560" s="18"/>
      <c r="I1560" s="17"/>
      <c r="J1560" s="17"/>
      <c r="K1560" s="17"/>
      <c r="L1560" s="18"/>
      <c r="M1560" s="17"/>
      <c r="N1560" s="18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</row>
    <row r="1561" spans="1:30" ht="15.6" x14ac:dyDescent="0.3">
      <c r="A1561" s="17"/>
      <c r="B1561" s="17"/>
      <c r="C1561" s="17"/>
      <c r="D1561" s="17"/>
      <c r="E1561" s="17"/>
      <c r="F1561" s="17"/>
      <c r="G1561" s="17"/>
      <c r="H1561" s="18"/>
      <c r="I1561" s="17"/>
      <c r="J1561" s="17"/>
      <c r="K1561" s="17"/>
      <c r="L1561" s="18"/>
      <c r="M1561" s="17"/>
      <c r="N1561" s="18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</row>
    <row r="1562" spans="1:30" ht="15.6" x14ac:dyDescent="0.3">
      <c r="A1562" s="17"/>
      <c r="B1562" s="17"/>
      <c r="C1562" s="17"/>
      <c r="D1562" s="17"/>
      <c r="E1562" s="17"/>
      <c r="F1562" s="17"/>
      <c r="G1562" s="17"/>
      <c r="H1562" s="18"/>
      <c r="I1562" s="17"/>
      <c r="J1562" s="17"/>
      <c r="K1562" s="17"/>
      <c r="L1562" s="18"/>
      <c r="M1562" s="17"/>
      <c r="N1562" s="18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</row>
    <row r="1563" spans="1:30" ht="15.6" x14ac:dyDescent="0.3">
      <c r="A1563" s="17"/>
      <c r="B1563" s="17"/>
      <c r="C1563" s="17"/>
      <c r="D1563" s="17"/>
      <c r="E1563" s="17"/>
      <c r="F1563" s="17"/>
      <c r="G1563" s="17"/>
      <c r="H1563" s="18"/>
      <c r="I1563" s="17"/>
      <c r="J1563" s="17"/>
      <c r="K1563" s="17"/>
      <c r="L1563" s="18"/>
      <c r="M1563" s="17"/>
      <c r="N1563" s="18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</row>
    <row r="1564" spans="1:30" ht="15.6" x14ac:dyDescent="0.3">
      <c r="A1564" s="17"/>
      <c r="B1564" s="17"/>
      <c r="C1564" s="17"/>
      <c r="D1564" s="17"/>
      <c r="E1564" s="17"/>
      <c r="F1564" s="17"/>
      <c r="G1564" s="17"/>
      <c r="H1564" s="18"/>
      <c r="I1564" s="17"/>
      <c r="J1564" s="17"/>
      <c r="K1564" s="17"/>
      <c r="L1564" s="18"/>
      <c r="M1564" s="17"/>
      <c r="N1564" s="18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</row>
    <row r="1565" spans="1:30" ht="15.6" x14ac:dyDescent="0.3">
      <c r="A1565" s="17"/>
      <c r="B1565" s="17"/>
      <c r="C1565" s="17"/>
      <c r="D1565" s="17"/>
      <c r="E1565" s="17"/>
      <c r="F1565" s="17"/>
      <c r="G1565" s="17"/>
      <c r="H1565" s="18"/>
      <c r="I1565" s="17"/>
      <c r="J1565" s="17"/>
      <c r="K1565" s="17"/>
      <c r="L1565" s="18"/>
      <c r="M1565" s="17"/>
      <c r="N1565" s="18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</row>
    <row r="1566" spans="1:30" ht="15.6" x14ac:dyDescent="0.3">
      <c r="A1566" s="17"/>
      <c r="B1566" s="17"/>
      <c r="C1566" s="17"/>
      <c r="D1566" s="17"/>
      <c r="E1566" s="17"/>
      <c r="F1566" s="17"/>
      <c r="G1566" s="17"/>
      <c r="H1566" s="18"/>
      <c r="I1566" s="17"/>
      <c r="J1566" s="17"/>
      <c r="K1566" s="17"/>
      <c r="L1566" s="18"/>
      <c r="M1566" s="17"/>
      <c r="N1566" s="18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</row>
    <row r="1567" spans="1:30" ht="15.6" x14ac:dyDescent="0.3">
      <c r="A1567" s="17"/>
      <c r="B1567" s="17"/>
      <c r="C1567" s="17"/>
      <c r="D1567" s="17"/>
      <c r="E1567" s="17"/>
      <c r="F1567" s="17"/>
      <c r="G1567" s="17"/>
      <c r="H1567" s="18"/>
      <c r="I1567" s="17"/>
      <c r="J1567" s="17"/>
      <c r="K1567" s="17"/>
      <c r="L1567" s="18"/>
      <c r="M1567" s="17"/>
      <c r="N1567" s="18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</row>
    <row r="1568" spans="1:30" ht="15.6" x14ac:dyDescent="0.3">
      <c r="A1568" s="17"/>
      <c r="B1568" s="17"/>
      <c r="C1568" s="17"/>
      <c r="D1568" s="17"/>
      <c r="E1568" s="17"/>
      <c r="F1568" s="17"/>
      <c r="G1568" s="17"/>
      <c r="H1568" s="18"/>
      <c r="I1568" s="17"/>
      <c r="J1568" s="17"/>
      <c r="K1568" s="17"/>
      <c r="L1568" s="18"/>
      <c r="M1568" s="17"/>
      <c r="N1568" s="18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</row>
    <row r="1569" spans="1:30" ht="15.6" x14ac:dyDescent="0.3">
      <c r="A1569" s="17"/>
      <c r="B1569" s="17"/>
      <c r="C1569" s="17"/>
      <c r="D1569" s="17"/>
      <c r="E1569" s="17"/>
      <c r="F1569" s="17"/>
      <c r="G1569" s="17"/>
      <c r="H1569" s="18"/>
      <c r="I1569" s="17"/>
      <c r="J1569" s="17"/>
      <c r="K1569" s="17"/>
      <c r="L1569" s="18"/>
      <c r="M1569" s="17"/>
      <c r="N1569" s="18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</row>
    <row r="1570" spans="1:30" ht="15.6" x14ac:dyDescent="0.3">
      <c r="A1570" s="17"/>
      <c r="B1570" s="17"/>
      <c r="C1570" s="17"/>
      <c r="D1570" s="17"/>
      <c r="E1570" s="17"/>
      <c r="F1570" s="17"/>
      <c r="G1570" s="17"/>
      <c r="H1570" s="18"/>
      <c r="I1570" s="17"/>
      <c r="J1570" s="17"/>
      <c r="K1570" s="17"/>
      <c r="L1570" s="18"/>
      <c r="M1570" s="17"/>
      <c r="N1570" s="18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</row>
    <row r="1571" spans="1:30" ht="15.6" x14ac:dyDescent="0.3">
      <c r="A1571" s="17"/>
      <c r="B1571" s="17"/>
      <c r="C1571" s="17"/>
      <c r="D1571" s="17"/>
      <c r="E1571" s="17"/>
      <c r="F1571" s="17"/>
      <c r="G1571" s="17"/>
      <c r="H1571" s="18"/>
      <c r="I1571" s="17"/>
      <c r="J1571" s="17"/>
      <c r="K1571" s="17"/>
      <c r="L1571" s="18"/>
      <c r="M1571" s="17"/>
      <c r="N1571" s="18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</row>
    <row r="1572" spans="1:30" ht="15.6" x14ac:dyDescent="0.3">
      <c r="A1572" s="17"/>
      <c r="B1572" s="17"/>
      <c r="C1572" s="17"/>
      <c r="D1572" s="17"/>
      <c r="E1572" s="17"/>
      <c r="F1572" s="17"/>
      <c r="G1572" s="17"/>
      <c r="H1572" s="18"/>
      <c r="I1572" s="17"/>
      <c r="J1572" s="17"/>
      <c r="K1572" s="17"/>
      <c r="L1572" s="18"/>
      <c r="M1572" s="17"/>
      <c r="N1572" s="18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</row>
    <row r="1573" spans="1:30" ht="15.6" x14ac:dyDescent="0.3">
      <c r="A1573" s="17"/>
      <c r="B1573" s="17"/>
      <c r="C1573" s="17"/>
      <c r="D1573" s="17"/>
      <c r="E1573" s="17"/>
      <c r="F1573" s="17"/>
      <c r="G1573" s="17"/>
      <c r="H1573" s="18"/>
      <c r="I1573" s="17"/>
      <c r="J1573" s="17"/>
      <c r="K1573" s="17"/>
      <c r="L1573" s="18"/>
      <c r="M1573" s="17"/>
      <c r="N1573" s="18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</row>
    <row r="1574" spans="1:30" ht="15.6" x14ac:dyDescent="0.3">
      <c r="A1574" s="17"/>
      <c r="B1574" s="17"/>
      <c r="C1574" s="17"/>
      <c r="D1574" s="17"/>
      <c r="E1574" s="17"/>
      <c r="F1574" s="17"/>
      <c r="G1574" s="17"/>
      <c r="H1574" s="18"/>
      <c r="I1574" s="17"/>
      <c r="J1574" s="17"/>
      <c r="K1574" s="17"/>
      <c r="L1574" s="18"/>
      <c r="M1574" s="17"/>
      <c r="N1574" s="18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</row>
    <row r="1575" spans="1:30" ht="15.6" x14ac:dyDescent="0.3">
      <c r="A1575" s="17"/>
      <c r="B1575" s="17"/>
      <c r="C1575" s="17"/>
      <c r="D1575" s="17"/>
      <c r="E1575" s="17"/>
      <c r="F1575" s="17"/>
      <c r="G1575" s="17"/>
      <c r="H1575" s="18"/>
      <c r="I1575" s="17"/>
      <c r="J1575" s="17"/>
      <c r="K1575" s="17"/>
      <c r="L1575" s="18"/>
      <c r="M1575" s="17"/>
      <c r="N1575" s="18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</row>
    <row r="1576" spans="1:30" ht="15.6" x14ac:dyDescent="0.3">
      <c r="A1576" s="17"/>
      <c r="B1576" s="17"/>
      <c r="C1576" s="17"/>
      <c r="D1576" s="17"/>
      <c r="E1576" s="17"/>
      <c r="F1576" s="17"/>
      <c r="G1576" s="17"/>
      <c r="H1576" s="18"/>
      <c r="I1576" s="17"/>
      <c r="J1576" s="17"/>
      <c r="K1576" s="17"/>
      <c r="L1576" s="18"/>
      <c r="M1576" s="17"/>
      <c r="N1576" s="18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</row>
    <row r="1577" spans="1:30" ht="15.6" x14ac:dyDescent="0.3">
      <c r="A1577" s="17"/>
      <c r="B1577" s="17"/>
      <c r="C1577" s="17"/>
      <c r="D1577" s="17"/>
      <c r="E1577" s="17"/>
      <c r="F1577" s="17"/>
      <c r="G1577" s="17"/>
      <c r="H1577" s="18"/>
      <c r="I1577" s="17"/>
      <c r="J1577" s="17"/>
      <c r="K1577" s="17"/>
      <c r="L1577" s="18"/>
      <c r="M1577" s="17"/>
      <c r="N1577" s="18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</row>
    <row r="1578" spans="1:30" ht="15.6" x14ac:dyDescent="0.3">
      <c r="A1578" s="17"/>
      <c r="B1578" s="17"/>
      <c r="C1578" s="17"/>
      <c r="D1578" s="17"/>
      <c r="E1578" s="17"/>
      <c r="F1578" s="17"/>
      <c r="G1578" s="17"/>
      <c r="H1578" s="18"/>
      <c r="I1578" s="17"/>
      <c r="J1578" s="17"/>
      <c r="K1578" s="17"/>
      <c r="L1578" s="18"/>
      <c r="M1578" s="17"/>
      <c r="N1578" s="18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</row>
    <row r="1579" spans="1:30" ht="15.6" x14ac:dyDescent="0.3">
      <c r="A1579" s="17"/>
      <c r="B1579" s="17"/>
      <c r="C1579" s="17"/>
      <c r="D1579" s="17"/>
      <c r="E1579" s="17"/>
      <c r="F1579" s="17"/>
      <c r="G1579" s="17"/>
      <c r="H1579" s="18"/>
      <c r="I1579" s="17"/>
      <c r="J1579" s="17"/>
      <c r="K1579" s="17"/>
      <c r="L1579" s="18"/>
      <c r="M1579" s="17"/>
      <c r="N1579" s="18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</row>
    <row r="1580" spans="1:30" ht="15.6" x14ac:dyDescent="0.3">
      <c r="A1580" s="17"/>
      <c r="B1580" s="17"/>
      <c r="C1580" s="17"/>
      <c r="D1580" s="17"/>
      <c r="E1580" s="17"/>
      <c r="F1580" s="17"/>
      <c r="G1580" s="17"/>
      <c r="H1580" s="18"/>
      <c r="I1580" s="17"/>
      <c r="J1580" s="17"/>
      <c r="K1580" s="17"/>
      <c r="L1580" s="18"/>
      <c r="M1580" s="17"/>
      <c r="N1580" s="18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</row>
    <row r="1581" spans="1:30" ht="15.6" x14ac:dyDescent="0.3">
      <c r="A1581" s="17"/>
      <c r="B1581" s="17"/>
      <c r="C1581" s="17"/>
      <c r="D1581" s="17"/>
      <c r="E1581" s="17"/>
      <c r="F1581" s="17"/>
      <c r="G1581" s="17"/>
      <c r="H1581" s="18"/>
      <c r="I1581" s="17"/>
      <c r="J1581" s="17"/>
      <c r="K1581" s="17"/>
      <c r="L1581" s="18"/>
      <c r="M1581" s="17"/>
      <c r="N1581" s="18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</row>
    <row r="1582" spans="1:30" ht="15.6" x14ac:dyDescent="0.3">
      <c r="A1582" s="17"/>
      <c r="B1582" s="17"/>
      <c r="C1582" s="17"/>
      <c r="D1582" s="17"/>
      <c r="E1582" s="17"/>
      <c r="F1582" s="17"/>
      <c r="G1582" s="17"/>
      <c r="H1582" s="18"/>
      <c r="I1582" s="17"/>
      <c r="J1582" s="17"/>
      <c r="K1582" s="17"/>
      <c r="L1582" s="18"/>
      <c r="M1582" s="17"/>
      <c r="N1582" s="18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</row>
    <row r="1583" spans="1:30" ht="15.6" x14ac:dyDescent="0.3">
      <c r="A1583" s="17"/>
      <c r="B1583" s="17"/>
      <c r="C1583" s="17"/>
      <c r="D1583" s="17"/>
      <c r="E1583" s="17"/>
      <c r="F1583" s="17"/>
      <c r="G1583" s="17"/>
      <c r="H1583" s="18"/>
      <c r="I1583" s="17"/>
      <c r="J1583" s="17"/>
      <c r="K1583" s="17"/>
      <c r="L1583" s="18"/>
      <c r="M1583" s="17"/>
      <c r="N1583" s="18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</row>
    <row r="1584" spans="1:30" ht="15.6" x14ac:dyDescent="0.3">
      <c r="A1584" s="17"/>
      <c r="B1584" s="17"/>
      <c r="C1584" s="17"/>
      <c r="D1584" s="17"/>
      <c r="E1584" s="17"/>
      <c r="F1584" s="17"/>
      <c r="G1584" s="17"/>
      <c r="H1584" s="18"/>
      <c r="I1584" s="17"/>
      <c r="J1584" s="17"/>
      <c r="K1584" s="17"/>
      <c r="L1584" s="18"/>
      <c r="M1584" s="17"/>
      <c r="N1584" s="18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</row>
    <row r="1585" spans="1:30" ht="15.6" x14ac:dyDescent="0.3">
      <c r="A1585" s="17"/>
      <c r="B1585" s="17"/>
      <c r="C1585" s="17"/>
      <c r="D1585" s="17"/>
      <c r="E1585" s="17"/>
      <c r="F1585" s="17"/>
      <c r="G1585" s="17"/>
      <c r="H1585" s="18"/>
      <c r="I1585" s="17"/>
      <c r="J1585" s="17"/>
      <c r="K1585" s="17"/>
      <c r="L1585" s="18"/>
      <c r="M1585" s="17"/>
      <c r="N1585" s="18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</row>
    <row r="1586" spans="1:30" ht="15.6" x14ac:dyDescent="0.3">
      <c r="A1586" s="17"/>
      <c r="B1586" s="17"/>
      <c r="C1586" s="17"/>
      <c r="D1586" s="17"/>
      <c r="E1586" s="17"/>
      <c r="F1586" s="17"/>
      <c r="G1586" s="17"/>
      <c r="H1586" s="18"/>
      <c r="I1586" s="17"/>
      <c r="J1586" s="17"/>
      <c r="K1586" s="17"/>
      <c r="L1586" s="18"/>
      <c r="M1586" s="17"/>
      <c r="N1586" s="18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</row>
    <row r="1587" spans="1:30" ht="15.6" x14ac:dyDescent="0.3">
      <c r="A1587" s="17"/>
      <c r="B1587" s="17"/>
      <c r="C1587" s="17"/>
      <c r="D1587" s="17"/>
      <c r="E1587" s="17"/>
      <c r="F1587" s="17"/>
      <c r="G1587" s="17"/>
      <c r="H1587" s="18"/>
      <c r="I1587" s="17"/>
      <c r="J1587" s="17"/>
      <c r="K1587" s="17"/>
      <c r="L1587" s="18"/>
      <c r="M1587" s="17"/>
      <c r="N1587" s="18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</row>
    <row r="1588" spans="1:30" ht="15.6" x14ac:dyDescent="0.3">
      <c r="A1588" s="17"/>
      <c r="B1588" s="17"/>
      <c r="C1588" s="17"/>
      <c r="D1588" s="17"/>
      <c r="E1588" s="17"/>
      <c r="F1588" s="17"/>
      <c r="G1588" s="17"/>
      <c r="H1588" s="18"/>
      <c r="I1588" s="17"/>
      <c r="J1588" s="17"/>
      <c r="K1588" s="17"/>
      <c r="L1588" s="18"/>
      <c r="M1588" s="17"/>
      <c r="N1588" s="18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</row>
    <row r="1589" spans="1:30" ht="15.6" x14ac:dyDescent="0.3">
      <c r="A1589" s="17"/>
      <c r="B1589" s="17"/>
      <c r="C1589" s="17"/>
      <c r="D1589" s="17"/>
      <c r="E1589" s="17"/>
      <c r="F1589" s="17"/>
      <c r="G1589" s="17"/>
      <c r="H1589" s="18"/>
      <c r="I1589" s="17"/>
      <c r="J1589" s="17"/>
      <c r="K1589" s="17"/>
      <c r="L1589" s="18"/>
      <c r="M1589" s="17"/>
      <c r="N1589" s="18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</row>
    <row r="1590" spans="1:30" ht="15.6" x14ac:dyDescent="0.3">
      <c r="A1590" s="17"/>
      <c r="B1590" s="17"/>
      <c r="C1590" s="17"/>
      <c r="D1590" s="17"/>
      <c r="E1590" s="17"/>
      <c r="F1590" s="17"/>
      <c r="G1590" s="17"/>
      <c r="H1590" s="18"/>
      <c r="I1590" s="17"/>
      <c r="J1590" s="17"/>
      <c r="K1590" s="17"/>
      <c r="L1590" s="18"/>
      <c r="M1590" s="17"/>
      <c r="N1590" s="18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</row>
    <row r="1591" spans="1:30" ht="15.6" x14ac:dyDescent="0.3">
      <c r="A1591" s="17"/>
      <c r="B1591" s="17"/>
      <c r="C1591" s="17"/>
      <c r="D1591" s="17"/>
      <c r="E1591" s="17"/>
      <c r="F1591" s="17"/>
      <c r="G1591" s="17"/>
      <c r="H1591" s="18"/>
      <c r="I1591" s="17"/>
      <c r="J1591" s="17"/>
      <c r="K1591" s="17"/>
      <c r="L1591" s="18"/>
      <c r="M1591" s="17"/>
      <c r="N1591" s="18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</row>
    <row r="1592" spans="1:30" ht="15.6" x14ac:dyDescent="0.3">
      <c r="A1592" s="17"/>
      <c r="B1592" s="17"/>
      <c r="C1592" s="17"/>
      <c r="D1592" s="17"/>
      <c r="E1592" s="17"/>
      <c r="F1592" s="17"/>
      <c r="G1592" s="17"/>
      <c r="H1592" s="18"/>
      <c r="I1592" s="17"/>
      <c r="J1592" s="17"/>
      <c r="K1592" s="17"/>
      <c r="L1592" s="18"/>
      <c r="M1592" s="17"/>
      <c r="N1592" s="18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</row>
    <row r="1593" spans="1:30" ht="15.6" x14ac:dyDescent="0.3">
      <c r="A1593" s="17"/>
      <c r="B1593" s="17"/>
      <c r="C1593" s="17"/>
      <c r="D1593" s="17"/>
      <c r="E1593" s="17"/>
      <c r="F1593" s="17"/>
      <c r="G1593" s="17"/>
      <c r="H1593" s="18"/>
      <c r="I1593" s="17"/>
      <c r="J1593" s="17"/>
      <c r="K1593" s="17"/>
      <c r="L1593" s="18"/>
      <c r="M1593" s="17"/>
      <c r="N1593" s="18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</row>
    <row r="1594" spans="1:30" ht="15.6" x14ac:dyDescent="0.3">
      <c r="A1594" s="17"/>
      <c r="B1594" s="17"/>
      <c r="C1594" s="17"/>
      <c r="D1594" s="17"/>
      <c r="E1594" s="17"/>
      <c r="F1594" s="17"/>
      <c r="G1594" s="17"/>
      <c r="H1594" s="18"/>
      <c r="I1594" s="17"/>
      <c r="J1594" s="17"/>
      <c r="K1594" s="17"/>
      <c r="L1594" s="18"/>
      <c r="M1594" s="17"/>
      <c r="N1594" s="18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</row>
    <row r="1595" spans="1:30" ht="15.6" x14ac:dyDescent="0.3">
      <c r="A1595" s="17"/>
      <c r="B1595" s="17"/>
      <c r="C1595" s="17"/>
      <c r="D1595" s="17"/>
      <c r="E1595" s="17"/>
      <c r="F1595" s="17"/>
      <c r="G1595" s="17"/>
      <c r="H1595" s="18"/>
      <c r="I1595" s="17"/>
      <c r="J1595" s="17"/>
      <c r="K1595" s="17"/>
      <c r="L1595" s="18"/>
      <c r="M1595" s="17"/>
      <c r="N1595" s="18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</row>
    <row r="1596" spans="1:30" ht="15.6" x14ac:dyDescent="0.3">
      <c r="A1596" s="17"/>
      <c r="B1596" s="17"/>
      <c r="C1596" s="17"/>
      <c r="D1596" s="17"/>
      <c r="E1596" s="17"/>
      <c r="F1596" s="17"/>
      <c r="G1596" s="17"/>
      <c r="H1596" s="18"/>
      <c r="I1596" s="17"/>
      <c r="J1596" s="17"/>
      <c r="K1596" s="17"/>
      <c r="L1596" s="18"/>
      <c r="M1596" s="17"/>
      <c r="N1596" s="18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</row>
    <row r="1597" spans="1:30" ht="15.6" x14ac:dyDescent="0.3">
      <c r="A1597" s="17"/>
      <c r="B1597" s="17"/>
      <c r="C1597" s="17"/>
      <c r="D1597" s="17"/>
      <c r="E1597" s="17"/>
      <c r="F1597" s="17"/>
      <c r="G1597" s="17"/>
      <c r="H1597" s="18"/>
      <c r="I1597" s="17"/>
      <c r="J1597" s="17"/>
      <c r="K1597" s="17"/>
      <c r="L1597" s="18"/>
      <c r="M1597" s="17"/>
      <c r="N1597" s="18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</row>
    <row r="1598" spans="1:30" ht="15.6" x14ac:dyDescent="0.3">
      <c r="A1598" s="17"/>
      <c r="B1598" s="17"/>
      <c r="C1598" s="17"/>
      <c r="D1598" s="17"/>
      <c r="E1598" s="17"/>
      <c r="F1598" s="17"/>
      <c r="G1598" s="17"/>
      <c r="H1598" s="18"/>
      <c r="I1598" s="17"/>
      <c r="J1598" s="17"/>
      <c r="K1598" s="17"/>
      <c r="L1598" s="18"/>
      <c r="M1598" s="17"/>
      <c r="N1598" s="18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</row>
    <row r="1599" spans="1:30" ht="15.6" x14ac:dyDescent="0.3">
      <c r="A1599" s="17"/>
      <c r="B1599" s="17"/>
      <c r="C1599" s="17"/>
      <c r="D1599" s="17"/>
      <c r="E1599" s="17"/>
      <c r="F1599" s="17"/>
      <c r="G1599" s="17"/>
      <c r="H1599" s="18"/>
      <c r="I1599" s="17"/>
      <c r="J1599" s="17"/>
      <c r="K1599" s="17"/>
      <c r="L1599" s="18"/>
      <c r="M1599" s="17"/>
      <c r="N1599" s="18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</row>
    <row r="1600" spans="1:30" ht="15.6" x14ac:dyDescent="0.3">
      <c r="A1600" s="17"/>
      <c r="B1600" s="17"/>
      <c r="C1600" s="17"/>
      <c r="D1600" s="17"/>
      <c r="E1600" s="17"/>
      <c r="F1600" s="17"/>
      <c r="G1600" s="17"/>
      <c r="H1600" s="18"/>
      <c r="I1600" s="17"/>
      <c r="J1600" s="17"/>
      <c r="K1600" s="17"/>
      <c r="L1600" s="18"/>
      <c r="M1600" s="17"/>
      <c r="N1600" s="18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 spans="1:30" ht="15.6" x14ac:dyDescent="0.3">
      <c r="A1601" s="17"/>
      <c r="B1601" s="17"/>
      <c r="C1601" s="17"/>
      <c r="D1601" s="17"/>
      <c r="E1601" s="17"/>
      <c r="F1601" s="17"/>
      <c r="G1601" s="17"/>
      <c r="H1601" s="18"/>
      <c r="I1601" s="17"/>
      <c r="J1601" s="17"/>
      <c r="K1601" s="17"/>
      <c r="L1601" s="18"/>
      <c r="M1601" s="17"/>
      <c r="N1601" s="18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</row>
    <row r="1602" spans="1:30" ht="15.6" x14ac:dyDescent="0.3">
      <c r="A1602" s="17"/>
      <c r="B1602" s="17"/>
      <c r="C1602" s="17"/>
      <c r="D1602" s="17"/>
      <c r="E1602" s="17"/>
      <c r="F1602" s="17"/>
      <c r="G1602" s="17"/>
      <c r="H1602" s="18"/>
      <c r="I1602" s="17"/>
      <c r="J1602" s="17"/>
      <c r="K1602" s="17"/>
      <c r="L1602" s="18"/>
      <c r="M1602" s="17"/>
      <c r="N1602" s="18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</row>
    <row r="1603" spans="1:30" ht="15.6" x14ac:dyDescent="0.3">
      <c r="A1603" s="17"/>
      <c r="B1603" s="17"/>
      <c r="C1603" s="17"/>
      <c r="D1603" s="17"/>
      <c r="E1603" s="17"/>
      <c r="F1603" s="17"/>
      <c r="G1603" s="17"/>
      <c r="H1603" s="18"/>
      <c r="I1603" s="17"/>
      <c r="J1603" s="17"/>
      <c r="K1603" s="17"/>
      <c r="L1603" s="18"/>
      <c r="M1603" s="17"/>
      <c r="N1603" s="18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</row>
    <row r="1604" spans="1:30" ht="15.6" x14ac:dyDescent="0.3">
      <c r="A1604" s="17"/>
      <c r="B1604" s="17"/>
      <c r="C1604" s="17"/>
      <c r="D1604" s="17"/>
      <c r="E1604" s="17"/>
      <c r="F1604" s="17"/>
      <c r="G1604" s="17"/>
      <c r="H1604" s="18"/>
      <c r="I1604" s="17"/>
      <c r="J1604" s="17"/>
      <c r="K1604" s="17"/>
      <c r="L1604" s="18"/>
      <c r="M1604" s="17"/>
      <c r="N1604" s="18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</row>
    <row r="1605" spans="1:30" ht="15.6" x14ac:dyDescent="0.3">
      <c r="A1605" s="17"/>
      <c r="B1605" s="17"/>
      <c r="C1605" s="17"/>
      <c r="D1605" s="17"/>
      <c r="E1605" s="17"/>
      <c r="F1605" s="17"/>
      <c r="G1605" s="17"/>
      <c r="H1605" s="18"/>
      <c r="I1605" s="17"/>
      <c r="J1605" s="17"/>
      <c r="K1605" s="17"/>
      <c r="L1605" s="18"/>
      <c r="M1605" s="17"/>
      <c r="N1605" s="18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</row>
    <row r="1606" spans="1:30" ht="15.6" x14ac:dyDescent="0.3">
      <c r="A1606" s="17"/>
      <c r="B1606" s="17"/>
      <c r="C1606" s="17"/>
      <c r="D1606" s="17"/>
      <c r="E1606" s="17"/>
      <c r="F1606" s="17"/>
      <c r="G1606" s="17"/>
      <c r="H1606" s="18"/>
      <c r="I1606" s="17"/>
      <c r="J1606" s="17"/>
      <c r="K1606" s="17"/>
      <c r="L1606" s="18"/>
      <c r="M1606" s="17"/>
      <c r="N1606" s="18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</row>
    <row r="1607" spans="1:30" ht="15.6" x14ac:dyDescent="0.3">
      <c r="A1607" s="17"/>
      <c r="B1607" s="17"/>
      <c r="C1607" s="17"/>
      <c r="D1607" s="17"/>
      <c r="E1607" s="17"/>
      <c r="F1607" s="17"/>
      <c r="G1607" s="17"/>
      <c r="H1607" s="18"/>
      <c r="I1607" s="17"/>
      <c r="J1607" s="17"/>
      <c r="K1607" s="17"/>
      <c r="L1607" s="18"/>
      <c r="M1607" s="17"/>
      <c r="N1607" s="18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</row>
    <row r="1608" spans="1:30" ht="15.6" x14ac:dyDescent="0.3">
      <c r="A1608" s="17"/>
      <c r="B1608" s="17"/>
      <c r="C1608" s="17"/>
      <c r="D1608" s="17"/>
      <c r="E1608" s="17"/>
      <c r="F1608" s="17"/>
      <c r="G1608" s="17"/>
      <c r="H1608" s="18"/>
      <c r="I1608" s="17"/>
      <c r="J1608" s="17"/>
      <c r="K1608" s="17"/>
      <c r="L1608" s="18"/>
      <c r="M1608" s="17"/>
      <c r="N1608" s="18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</row>
    <row r="1609" spans="1:30" ht="15.6" x14ac:dyDescent="0.3">
      <c r="A1609" s="17"/>
      <c r="B1609" s="17"/>
      <c r="C1609" s="17"/>
      <c r="D1609" s="17"/>
      <c r="E1609" s="17"/>
      <c r="F1609" s="17"/>
      <c r="G1609" s="17"/>
      <c r="H1609" s="18"/>
      <c r="I1609" s="17"/>
      <c r="J1609" s="17"/>
      <c r="K1609" s="17"/>
      <c r="L1609" s="18"/>
      <c r="M1609" s="17"/>
      <c r="N1609" s="18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</row>
    <row r="1610" spans="1:30" ht="15.6" x14ac:dyDescent="0.3">
      <c r="A1610" s="17"/>
      <c r="B1610" s="17"/>
      <c r="C1610" s="17"/>
      <c r="D1610" s="17"/>
      <c r="E1610" s="17"/>
      <c r="F1610" s="17"/>
      <c r="G1610" s="17"/>
      <c r="H1610" s="18"/>
      <c r="I1610" s="17"/>
      <c r="J1610" s="17"/>
      <c r="K1610" s="17"/>
      <c r="L1610" s="18"/>
      <c r="M1610" s="17"/>
      <c r="N1610" s="18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</row>
    <row r="1611" spans="1:30" ht="15.6" x14ac:dyDescent="0.3">
      <c r="A1611" s="17"/>
      <c r="B1611" s="17"/>
      <c r="C1611" s="17"/>
      <c r="D1611" s="17"/>
      <c r="E1611" s="17"/>
      <c r="F1611" s="17"/>
      <c r="G1611" s="17"/>
      <c r="H1611" s="18"/>
      <c r="I1611" s="17"/>
      <c r="J1611" s="17"/>
      <c r="K1611" s="17"/>
      <c r="L1611" s="18"/>
      <c r="M1611" s="17"/>
      <c r="N1611" s="18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</row>
    <row r="1612" spans="1:30" ht="15.6" x14ac:dyDescent="0.3">
      <c r="A1612" s="17"/>
      <c r="B1612" s="17"/>
      <c r="C1612" s="17"/>
      <c r="D1612" s="17"/>
      <c r="E1612" s="17"/>
      <c r="F1612" s="17"/>
      <c r="G1612" s="17"/>
      <c r="H1612" s="18"/>
      <c r="I1612" s="17"/>
      <c r="J1612" s="17"/>
      <c r="K1612" s="17"/>
      <c r="L1612" s="18"/>
      <c r="M1612" s="17"/>
      <c r="N1612" s="18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</row>
    <row r="1613" spans="1:30" ht="15.6" x14ac:dyDescent="0.3">
      <c r="A1613" s="17"/>
      <c r="B1613" s="17"/>
      <c r="C1613" s="17"/>
      <c r="D1613" s="17"/>
      <c r="E1613" s="17"/>
      <c r="F1613" s="17"/>
      <c r="G1613" s="17"/>
      <c r="H1613" s="18"/>
      <c r="I1613" s="17"/>
      <c r="J1613" s="17"/>
      <c r="K1613" s="17"/>
      <c r="L1613" s="18"/>
      <c r="M1613" s="17"/>
      <c r="N1613" s="18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</row>
    <row r="1614" spans="1:30" ht="15.6" x14ac:dyDescent="0.3">
      <c r="A1614" s="17"/>
      <c r="B1614" s="17"/>
      <c r="C1614" s="17"/>
      <c r="D1614" s="17"/>
      <c r="E1614" s="17"/>
      <c r="F1614" s="17"/>
      <c r="G1614" s="17"/>
      <c r="H1614" s="18"/>
      <c r="I1614" s="17"/>
      <c r="J1614" s="17"/>
      <c r="K1614" s="17"/>
      <c r="L1614" s="18"/>
      <c r="M1614" s="17"/>
      <c r="N1614" s="18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</row>
    <row r="1615" spans="1:30" ht="15.6" x14ac:dyDescent="0.3">
      <c r="A1615" s="17"/>
      <c r="B1615" s="17"/>
      <c r="C1615" s="17"/>
      <c r="D1615" s="17"/>
      <c r="E1615" s="17"/>
      <c r="F1615" s="17"/>
      <c r="G1615" s="17"/>
      <c r="H1615" s="18"/>
      <c r="I1615" s="17"/>
      <c r="J1615" s="17"/>
      <c r="K1615" s="17"/>
      <c r="L1615" s="18"/>
      <c r="M1615" s="17"/>
      <c r="N1615" s="18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</row>
    <row r="1616" spans="1:30" ht="15.6" x14ac:dyDescent="0.3">
      <c r="A1616" s="17"/>
      <c r="B1616" s="17"/>
      <c r="C1616" s="17"/>
      <c r="D1616" s="17"/>
      <c r="E1616" s="17"/>
      <c r="F1616" s="17"/>
      <c r="G1616" s="17"/>
      <c r="H1616" s="18"/>
      <c r="I1616" s="17"/>
      <c r="J1616" s="17"/>
      <c r="K1616" s="17"/>
      <c r="L1616" s="18"/>
      <c r="M1616" s="17"/>
      <c r="N1616" s="18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</row>
    <row r="1617" spans="1:30" ht="15.6" x14ac:dyDescent="0.3">
      <c r="A1617" s="17"/>
      <c r="B1617" s="17"/>
      <c r="C1617" s="17"/>
      <c r="D1617" s="17"/>
      <c r="E1617" s="17"/>
      <c r="F1617" s="17"/>
      <c r="G1617" s="17"/>
      <c r="H1617" s="18"/>
      <c r="I1617" s="17"/>
      <c r="J1617" s="17"/>
      <c r="K1617" s="17"/>
      <c r="L1617" s="18"/>
      <c r="M1617" s="17"/>
      <c r="N1617" s="18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</row>
    <row r="1618" spans="1:30" ht="15.6" x14ac:dyDescent="0.3">
      <c r="A1618" s="17"/>
      <c r="B1618" s="17"/>
      <c r="C1618" s="17"/>
      <c r="D1618" s="17"/>
      <c r="E1618" s="17"/>
      <c r="F1618" s="17"/>
      <c r="G1618" s="17"/>
      <c r="H1618" s="18"/>
      <c r="I1618" s="17"/>
      <c r="J1618" s="17"/>
      <c r="K1618" s="17"/>
      <c r="L1618" s="18"/>
      <c r="M1618" s="17"/>
      <c r="N1618" s="18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</row>
    <row r="1619" spans="1:30" ht="15.6" x14ac:dyDescent="0.3">
      <c r="A1619" s="17"/>
      <c r="B1619" s="17"/>
      <c r="C1619" s="17"/>
      <c r="D1619" s="17"/>
      <c r="E1619" s="17"/>
      <c r="F1619" s="17"/>
      <c r="G1619" s="17"/>
      <c r="H1619" s="18"/>
      <c r="I1619" s="17"/>
      <c r="J1619" s="17"/>
      <c r="K1619" s="17"/>
      <c r="L1619" s="18"/>
      <c r="M1619" s="17"/>
      <c r="N1619" s="18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</row>
    <row r="1620" spans="1:30" ht="15.6" x14ac:dyDescent="0.3">
      <c r="A1620" s="17"/>
      <c r="B1620" s="17"/>
      <c r="C1620" s="17"/>
      <c r="D1620" s="17"/>
      <c r="E1620" s="17"/>
      <c r="F1620" s="17"/>
      <c r="G1620" s="17"/>
      <c r="H1620" s="18"/>
      <c r="I1620" s="17"/>
      <c r="J1620" s="17"/>
      <c r="K1620" s="17"/>
      <c r="L1620" s="18"/>
      <c r="M1620" s="17"/>
      <c r="N1620" s="18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</row>
    <row r="1621" spans="1:30" ht="15.6" x14ac:dyDescent="0.3">
      <c r="A1621" s="17"/>
      <c r="B1621" s="17"/>
      <c r="C1621" s="17"/>
      <c r="D1621" s="17"/>
      <c r="E1621" s="17"/>
      <c r="F1621" s="17"/>
      <c r="G1621" s="17"/>
      <c r="H1621" s="18"/>
      <c r="I1621" s="17"/>
      <c r="J1621" s="17"/>
      <c r="K1621" s="17"/>
      <c r="L1621" s="18"/>
      <c r="M1621" s="17"/>
      <c r="N1621" s="18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</row>
    <row r="1622" spans="1:30" ht="15.6" x14ac:dyDescent="0.3">
      <c r="A1622" s="17"/>
      <c r="B1622" s="17"/>
      <c r="C1622" s="17"/>
      <c r="D1622" s="17"/>
      <c r="E1622" s="17"/>
      <c r="F1622" s="17"/>
      <c r="G1622" s="17"/>
      <c r="H1622" s="18"/>
      <c r="I1622" s="17"/>
      <c r="J1622" s="17"/>
      <c r="K1622" s="17"/>
      <c r="L1622" s="18"/>
      <c r="M1622" s="17"/>
      <c r="N1622" s="18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</row>
    <row r="1623" spans="1:30" ht="15.6" x14ac:dyDescent="0.3">
      <c r="A1623" s="17"/>
      <c r="B1623" s="17"/>
      <c r="C1623" s="17"/>
      <c r="D1623" s="17"/>
      <c r="E1623" s="17"/>
      <c r="F1623" s="17"/>
      <c r="G1623" s="17"/>
      <c r="H1623" s="18"/>
      <c r="I1623" s="17"/>
      <c r="J1623" s="17"/>
      <c r="K1623" s="17"/>
      <c r="L1623" s="18"/>
      <c r="M1623" s="17"/>
      <c r="N1623" s="18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</row>
    <row r="1624" spans="1:30" ht="15.6" x14ac:dyDescent="0.3">
      <c r="A1624" s="17"/>
      <c r="B1624" s="17"/>
      <c r="C1624" s="17"/>
      <c r="D1624" s="17"/>
      <c r="E1624" s="17"/>
      <c r="F1624" s="17"/>
      <c r="G1624" s="17"/>
      <c r="H1624" s="18"/>
      <c r="I1624" s="17"/>
      <c r="J1624" s="17"/>
      <c r="K1624" s="17"/>
      <c r="L1624" s="18"/>
      <c r="M1624" s="17"/>
      <c r="N1624" s="18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</row>
    <row r="1625" spans="1:30" ht="15.6" x14ac:dyDescent="0.3">
      <c r="A1625" s="17"/>
      <c r="B1625" s="17"/>
      <c r="C1625" s="17"/>
      <c r="D1625" s="17"/>
      <c r="E1625" s="17"/>
      <c r="F1625" s="17"/>
      <c r="G1625" s="17"/>
      <c r="H1625" s="18"/>
      <c r="I1625" s="17"/>
      <c r="J1625" s="17"/>
      <c r="K1625" s="17"/>
      <c r="L1625" s="18"/>
      <c r="M1625" s="17"/>
      <c r="N1625" s="18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</row>
    <row r="1626" spans="1:30" ht="15.6" x14ac:dyDescent="0.3">
      <c r="A1626" s="17"/>
      <c r="B1626" s="17"/>
      <c r="C1626" s="17"/>
      <c r="D1626" s="17"/>
      <c r="E1626" s="17"/>
      <c r="F1626" s="17"/>
      <c r="G1626" s="17"/>
      <c r="H1626" s="18"/>
      <c r="I1626" s="17"/>
      <c r="J1626" s="17"/>
      <c r="K1626" s="17"/>
      <c r="L1626" s="18"/>
      <c r="M1626" s="17"/>
      <c r="N1626" s="18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</row>
    <row r="1627" spans="1:30" ht="15.6" x14ac:dyDescent="0.3">
      <c r="A1627" s="17"/>
      <c r="B1627" s="17"/>
      <c r="C1627" s="17"/>
      <c r="D1627" s="17"/>
      <c r="E1627" s="17"/>
      <c r="F1627" s="17"/>
      <c r="G1627" s="17"/>
      <c r="H1627" s="18"/>
      <c r="I1627" s="17"/>
      <c r="J1627" s="17"/>
      <c r="K1627" s="17"/>
      <c r="L1627" s="18"/>
      <c r="M1627" s="17"/>
      <c r="N1627" s="18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</row>
    <row r="1628" spans="1:30" ht="15.6" x14ac:dyDescent="0.3">
      <c r="A1628" s="17"/>
      <c r="B1628" s="17"/>
      <c r="C1628" s="17"/>
      <c r="D1628" s="17"/>
      <c r="E1628" s="17"/>
      <c r="F1628" s="17"/>
      <c r="G1628" s="17"/>
      <c r="H1628" s="18"/>
      <c r="I1628" s="17"/>
      <c r="J1628" s="17"/>
      <c r="K1628" s="17"/>
      <c r="L1628" s="18"/>
      <c r="M1628" s="17"/>
      <c r="N1628" s="18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</row>
    <row r="1629" spans="1:30" ht="15.6" x14ac:dyDescent="0.3">
      <c r="A1629" s="17"/>
      <c r="B1629" s="17"/>
      <c r="C1629" s="17"/>
      <c r="D1629" s="17"/>
      <c r="E1629" s="17"/>
      <c r="F1629" s="17"/>
      <c r="G1629" s="17"/>
      <c r="H1629" s="18"/>
      <c r="I1629" s="17"/>
      <c r="J1629" s="17"/>
      <c r="K1629" s="17"/>
      <c r="L1629" s="18"/>
      <c r="M1629" s="17"/>
      <c r="N1629" s="18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</row>
    <row r="1630" spans="1:30" ht="15.6" x14ac:dyDescent="0.3">
      <c r="A1630" s="17"/>
      <c r="B1630" s="17"/>
      <c r="C1630" s="17"/>
      <c r="D1630" s="17"/>
      <c r="E1630" s="17"/>
      <c r="F1630" s="17"/>
      <c r="G1630" s="17"/>
      <c r="H1630" s="18"/>
      <c r="I1630" s="17"/>
      <c r="J1630" s="17"/>
      <c r="K1630" s="17"/>
      <c r="L1630" s="18"/>
      <c r="M1630" s="17"/>
      <c r="N1630" s="18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</row>
    <row r="1631" spans="1:30" ht="15.6" x14ac:dyDescent="0.3">
      <c r="A1631" s="17"/>
      <c r="B1631" s="17"/>
      <c r="C1631" s="17"/>
      <c r="D1631" s="17"/>
      <c r="E1631" s="17"/>
      <c r="F1631" s="17"/>
      <c r="G1631" s="17"/>
      <c r="H1631" s="18"/>
      <c r="I1631" s="17"/>
      <c r="J1631" s="17"/>
      <c r="K1631" s="17"/>
      <c r="L1631" s="18"/>
      <c r="M1631" s="17"/>
      <c r="N1631" s="18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</row>
    <row r="1632" spans="1:30" ht="15.6" x14ac:dyDescent="0.3">
      <c r="A1632" s="17"/>
      <c r="B1632" s="17"/>
      <c r="C1632" s="17"/>
      <c r="D1632" s="17"/>
      <c r="E1632" s="17"/>
      <c r="F1632" s="17"/>
      <c r="G1632" s="17"/>
      <c r="H1632" s="18"/>
      <c r="I1632" s="17"/>
      <c r="J1632" s="17"/>
      <c r="K1632" s="17"/>
      <c r="L1632" s="18"/>
      <c r="M1632" s="17"/>
      <c r="N1632" s="18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</row>
    <row r="1633" spans="1:30" ht="15.6" x14ac:dyDescent="0.3">
      <c r="A1633" s="17"/>
      <c r="B1633" s="17"/>
      <c r="C1633" s="17"/>
      <c r="D1633" s="17"/>
      <c r="E1633" s="17"/>
      <c r="F1633" s="17"/>
      <c r="G1633" s="17"/>
      <c r="H1633" s="18"/>
      <c r="I1633" s="17"/>
      <c r="J1633" s="17"/>
      <c r="K1633" s="17"/>
      <c r="L1633" s="18"/>
      <c r="M1633" s="17"/>
      <c r="N1633" s="18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</row>
    <row r="1634" spans="1:30" ht="15.6" x14ac:dyDescent="0.3">
      <c r="A1634" s="17"/>
      <c r="B1634" s="17"/>
      <c r="C1634" s="17"/>
      <c r="D1634" s="17"/>
      <c r="E1634" s="17"/>
      <c r="F1634" s="17"/>
      <c r="G1634" s="17"/>
      <c r="H1634" s="18"/>
      <c r="I1634" s="17"/>
      <c r="J1634" s="17"/>
      <c r="K1634" s="17"/>
      <c r="L1634" s="18"/>
      <c r="M1634" s="17"/>
      <c r="N1634" s="18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</row>
    <row r="1635" spans="1:30" ht="15.6" x14ac:dyDescent="0.3">
      <c r="A1635" s="17"/>
      <c r="B1635" s="17"/>
      <c r="C1635" s="17"/>
      <c r="D1635" s="17"/>
      <c r="E1635" s="17"/>
      <c r="F1635" s="17"/>
      <c r="G1635" s="17"/>
      <c r="H1635" s="18"/>
      <c r="I1635" s="17"/>
      <c r="J1635" s="17"/>
      <c r="K1635" s="17"/>
      <c r="L1635" s="18"/>
      <c r="M1635" s="17"/>
      <c r="N1635" s="18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</row>
    <row r="1636" spans="1:30" ht="15.6" x14ac:dyDescent="0.3">
      <c r="A1636" s="17"/>
      <c r="B1636" s="17"/>
      <c r="C1636" s="17"/>
      <c r="D1636" s="17"/>
      <c r="E1636" s="17"/>
      <c r="F1636" s="17"/>
      <c r="G1636" s="17"/>
      <c r="H1636" s="18"/>
      <c r="I1636" s="17"/>
      <c r="J1636" s="17"/>
      <c r="K1636" s="17"/>
      <c r="L1636" s="18"/>
      <c r="M1636" s="17"/>
      <c r="N1636" s="18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</row>
    <row r="1637" spans="1:30" ht="15.6" x14ac:dyDescent="0.3">
      <c r="A1637" s="17"/>
      <c r="B1637" s="17"/>
      <c r="C1637" s="17"/>
      <c r="D1637" s="17"/>
      <c r="E1637" s="17"/>
      <c r="F1637" s="17"/>
      <c r="G1637" s="17"/>
      <c r="H1637" s="18"/>
      <c r="I1637" s="17"/>
      <c r="J1637" s="17"/>
      <c r="K1637" s="17"/>
      <c r="L1637" s="18"/>
      <c r="M1637" s="17"/>
      <c r="N1637" s="18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</row>
    <row r="1638" spans="1:30" ht="15.6" x14ac:dyDescent="0.3">
      <c r="A1638" s="17"/>
      <c r="B1638" s="17"/>
      <c r="C1638" s="17"/>
      <c r="D1638" s="17"/>
      <c r="E1638" s="17"/>
      <c r="F1638" s="17"/>
      <c r="G1638" s="17"/>
      <c r="H1638" s="18"/>
      <c r="I1638" s="17"/>
      <c r="J1638" s="17"/>
      <c r="K1638" s="17"/>
      <c r="L1638" s="18"/>
      <c r="M1638" s="17"/>
      <c r="N1638" s="18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</row>
    <row r="1639" spans="1:30" ht="15.6" x14ac:dyDescent="0.3">
      <c r="A1639" s="17"/>
      <c r="B1639" s="17"/>
      <c r="C1639" s="17"/>
      <c r="D1639" s="17"/>
      <c r="E1639" s="17"/>
      <c r="F1639" s="17"/>
      <c r="G1639" s="17"/>
      <c r="H1639" s="18"/>
      <c r="I1639" s="17"/>
      <c r="J1639" s="17"/>
      <c r="K1639" s="17"/>
      <c r="L1639" s="18"/>
      <c r="M1639" s="17"/>
      <c r="N1639" s="18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</row>
    <row r="1640" spans="1:30" ht="15.6" x14ac:dyDescent="0.3">
      <c r="A1640" s="17"/>
      <c r="B1640" s="17"/>
      <c r="C1640" s="17"/>
      <c r="D1640" s="17"/>
      <c r="E1640" s="17"/>
      <c r="F1640" s="17"/>
      <c r="G1640" s="17"/>
      <c r="H1640" s="18"/>
      <c r="I1640" s="17"/>
      <c r="J1640" s="17"/>
      <c r="K1640" s="17"/>
      <c r="L1640" s="18"/>
      <c r="M1640" s="17"/>
      <c r="N1640" s="18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</row>
    <row r="1641" spans="1:30" ht="15.6" x14ac:dyDescent="0.3">
      <c r="A1641" s="17"/>
      <c r="B1641" s="17"/>
      <c r="C1641" s="17"/>
      <c r="D1641" s="17"/>
      <c r="E1641" s="17"/>
      <c r="F1641" s="17"/>
      <c r="G1641" s="17"/>
      <c r="H1641" s="18"/>
      <c r="I1641" s="17"/>
      <c r="J1641" s="17"/>
      <c r="K1641" s="17"/>
      <c r="L1641" s="18"/>
      <c r="M1641" s="17"/>
      <c r="N1641" s="18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</row>
    <row r="1642" spans="1:30" ht="15.6" x14ac:dyDescent="0.3">
      <c r="A1642" s="17"/>
      <c r="B1642" s="17"/>
      <c r="C1642" s="17"/>
      <c r="D1642" s="17"/>
      <c r="E1642" s="17"/>
      <c r="F1642" s="17"/>
      <c r="G1642" s="17"/>
      <c r="H1642" s="18"/>
      <c r="I1642" s="17"/>
      <c r="J1642" s="17"/>
      <c r="K1642" s="17"/>
      <c r="L1642" s="18"/>
      <c r="M1642" s="17"/>
      <c r="N1642" s="18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</row>
    <row r="1643" spans="1:30" ht="15.6" x14ac:dyDescent="0.3">
      <c r="A1643" s="17"/>
      <c r="B1643" s="17"/>
      <c r="C1643" s="17"/>
      <c r="D1643" s="17"/>
      <c r="E1643" s="17"/>
      <c r="F1643" s="17"/>
      <c r="G1643" s="17"/>
      <c r="H1643" s="18"/>
      <c r="I1643" s="17"/>
      <c r="J1643" s="17"/>
      <c r="K1643" s="17"/>
      <c r="L1643" s="18"/>
      <c r="M1643" s="17"/>
      <c r="N1643" s="18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</row>
    <row r="1644" spans="1:30" ht="15.6" x14ac:dyDescent="0.3">
      <c r="A1644" s="17"/>
      <c r="B1644" s="17"/>
      <c r="C1644" s="17"/>
      <c r="D1644" s="17"/>
      <c r="E1644" s="17"/>
      <c r="F1644" s="17"/>
      <c r="G1644" s="17"/>
      <c r="H1644" s="18"/>
      <c r="I1644" s="17"/>
      <c r="J1644" s="17"/>
      <c r="K1644" s="17"/>
      <c r="L1644" s="18"/>
      <c r="M1644" s="17"/>
      <c r="N1644" s="18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</row>
    <row r="1645" spans="1:30" ht="15.6" x14ac:dyDescent="0.3">
      <c r="A1645" s="17"/>
      <c r="B1645" s="17"/>
      <c r="C1645" s="17"/>
      <c r="D1645" s="17"/>
      <c r="E1645" s="17"/>
      <c r="F1645" s="17"/>
      <c r="G1645" s="17"/>
      <c r="H1645" s="18"/>
      <c r="I1645" s="17"/>
      <c r="J1645" s="17"/>
      <c r="K1645" s="17"/>
      <c r="L1645" s="18"/>
      <c r="M1645" s="17"/>
      <c r="N1645" s="18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</row>
    <row r="1646" spans="1:30" ht="15.6" x14ac:dyDescent="0.3">
      <c r="A1646" s="17"/>
      <c r="B1646" s="17"/>
      <c r="C1646" s="17"/>
      <c r="D1646" s="17"/>
      <c r="E1646" s="17"/>
      <c r="F1646" s="17"/>
      <c r="G1646" s="17"/>
      <c r="H1646" s="18"/>
      <c r="I1646" s="17"/>
      <c r="J1646" s="17"/>
      <c r="K1646" s="17"/>
      <c r="L1646" s="18"/>
      <c r="M1646" s="17"/>
      <c r="N1646" s="18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</row>
    <row r="1647" spans="1:30" ht="15.6" x14ac:dyDescent="0.3">
      <c r="A1647" s="17"/>
      <c r="B1647" s="17"/>
      <c r="C1647" s="17"/>
      <c r="D1647" s="17"/>
      <c r="E1647" s="17"/>
      <c r="F1647" s="17"/>
      <c r="G1647" s="17"/>
      <c r="H1647" s="18"/>
      <c r="I1647" s="17"/>
      <c r="J1647" s="17"/>
      <c r="K1647" s="17"/>
      <c r="L1647" s="18"/>
      <c r="M1647" s="17"/>
      <c r="N1647" s="18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</row>
    <row r="1648" spans="1:30" ht="15.6" x14ac:dyDescent="0.3">
      <c r="A1648" s="17"/>
      <c r="B1648" s="17"/>
      <c r="C1648" s="17"/>
      <c r="D1648" s="17"/>
      <c r="E1648" s="17"/>
      <c r="F1648" s="17"/>
      <c r="G1648" s="17"/>
      <c r="H1648" s="18"/>
      <c r="I1648" s="17"/>
      <c r="J1648" s="17"/>
      <c r="K1648" s="17"/>
      <c r="L1648" s="18"/>
      <c r="M1648" s="17"/>
      <c r="N1648" s="18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</row>
    <row r="1649" spans="1:30" ht="15.6" x14ac:dyDescent="0.3">
      <c r="A1649" s="17"/>
      <c r="B1649" s="17"/>
      <c r="C1649" s="17"/>
      <c r="D1649" s="17"/>
      <c r="E1649" s="17"/>
      <c r="F1649" s="17"/>
      <c r="G1649" s="17"/>
      <c r="H1649" s="18"/>
      <c r="I1649" s="17"/>
      <c r="J1649" s="17"/>
      <c r="K1649" s="17"/>
      <c r="L1649" s="18"/>
      <c r="M1649" s="17"/>
      <c r="N1649" s="18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</row>
    <row r="1650" spans="1:30" ht="15.6" x14ac:dyDescent="0.3">
      <c r="A1650" s="17"/>
      <c r="B1650" s="17"/>
      <c r="C1650" s="17"/>
      <c r="D1650" s="17"/>
      <c r="E1650" s="17"/>
      <c r="F1650" s="17"/>
      <c r="G1650" s="17"/>
      <c r="H1650" s="18"/>
      <c r="I1650" s="17"/>
      <c r="J1650" s="17"/>
      <c r="K1650" s="17"/>
      <c r="L1650" s="18"/>
      <c r="M1650" s="17"/>
      <c r="N1650" s="18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</row>
    <row r="1651" spans="1:30" ht="15.6" x14ac:dyDescent="0.3">
      <c r="A1651" s="17"/>
      <c r="B1651" s="17"/>
      <c r="C1651" s="17"/>
      <c r="D1651" s="17"/>
      <c r="E1651" s="17"/>
      <c r="F1651" s="17"/>
      <c r="G1651" s="17"/>
      <c r="H1651" s="18"/>
      <c r="I1651" s="17"/>
      <c r="J1651" s="17"/>
      <c r="K1651" s="17"/>
      <c r="L1651" s="18"/>
      <c r="M1651" s="17"/>
      <c r="N1651" s="18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</row>
    <row r="1652" spans="1:30" ht="15.6" x14ac:dyDescent="0.3">
      <c r="A1652" s="17"/>
      <c r="B1652" s="17"/>
      <c r="C1652" s="17"/>
      <c r="D1652" s="17"/>
      <c r="E1652" s="17"/>
      <c r="F1652" s="17"/>
      <c r="G1652" s="17"/>
      <c r="H1652" s="18"/>
      <c r="I1652" s="17"/>
      <c r="J1652" s="17"/>
      <c r="K1652" s="17"/>
      <c r="L1652" s="18"/>
      <c r="M1652" s="17"/>
      <c r="N1652" s="18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</row>
    <row r="1653" spans="1:30" ht="15.6" x14ac:dyDescent="0.3">
      <c r="A1653" s="17"/>
      <c r="B1653" s="17"/>
      <c r="C1653" s="17"/>
      <c r="D1653" s="17"/>
      <c r="E1653" s="17"/>
      <c r="F1653" s="17"/>
      <c r="G1653" s="17"/>
      <c r="H1653" s="18"/>
      <c r="I1653" s="17"/>
      <c r="J1653" s="17"/>
      <c r="K1653" s="17"/>
      <c r="L1653" s="18"/>
      <c r="M1653" s="17"/>
      <c r="N1653" s="18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</row>
    <row r="1654" spans="1:30" ht="15.6" x14ac:dyDescent="0.3">
      <c r="A1654" s="17"/>
      <c r="B1654" s="17"/>
      <c r="C1654" s="17"/>
      <c r="D1654" s="17"/>
      <c r="E1654" s="17"/>
      <c r="F1654" s="17"/>
      <c r="G1654" s="17"/>
      <c r="H1654" s="18"/>
      <c r="I1654" s="17"/>
      <c r="J1654" s="17"/>
      <c r="K1654" s="17"/>
      <c r="L1654" s="18"/>
      <c r="M1654" s="17"/>
      <c r="N1654" s="18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</row>
    <row r="1655" spans="1:30" ht="15.6" x14ac:dyDescent="0.3">
      <c r="A1655" s="17"/>
      <c r="B1655" s="17"/>
      <c r="C1655" s="17"/>
      <c r="D1655" s="17"/>
      <c r="E1655" s="17"/>
      <c r="F1655" s="17"/>
      <c r="G1655" s="17"/>
      <c r="H1655" s="18"/>
      <c r="I1655" s="17"/>
      <c r="J1655" s="17"/>
      <c r="K1655" s="17"/>
      <c r="L1655" s="18"/>
      <c r="M1655" s="17"/>
      <c r="N1655" s="18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</row>
    <row r="1656" spans="1:30" ht="15.6" x14ac:dyDescent="0.3">
      <c r="A1656" s="17"/>
      <c r="B1656" s="17"/>
      <c r="C1656" s="17"/>
      <c r="D1656" s="17"/>
      <c r="E1656" s="17"/>
      <c r="F1656" s="17"/>
      <c r="G1656" s="17"/>
      <c r="H1656" s="18"/>
      <c r="I1656" s="17"/>
      <c r="J1656" s="17"/>
      <c r="K1656" s="17"/>
      <c r="L1656" s="18"/>
      <c r="M1656" s="17"/>
      <c r="N1656" s="18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</row>
    <row r="1657" spans="1:30" ht="15.6" x14ac:dyDescent="0.3">
      <c r="A1657" s="17"/>
      <c r="B1657" s="17"/>
      <c r="C1657" s="17"/>
      <c r="D1657" s="17"/>
      <c r="E1657" s="17"/>
      <c r="F1657" s="17"/>
      <c r="G1657" s="17"/>
      <c r="H1657" s="18"/>
      <c r="I1657" s="17"/>
      <c r="J1657" s="17"/>
      <c r="K1657" s="17"/>
      <c r="L1657" s="18"/>
      <c r="M1657" s="17"/>
      <c r="N1657" s="18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</row>
    <row r="1658" spans="1:30" ht="15.6" x14ac:dyDescent="0.3">
      <c r="A1658" s="17"/>
      <c r="B1658" s="17"/>
      <c r="C1658" s="17"/>
      <c r="D1658" s="17"/>
      <c r="E1658" s="17"/>
      <c r="F1658" s="17"/>
      <c r="G1658" s="17"/>
      <c r="H1658" s="18"/>
      <c r="I1658" s="17"/>
      <c r="J1658" s="17"/>
      <c r="K1658" s="17"/>
      <c r="L1658" s="18"/>
      <c r="M1658" s="17"/>
      <c r="N1658" s="18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</row>
    <row r="1659" spans="1:30" ht="15.6" x14ac:dyDescent="0.3">
      <c r="A1659" s="17"/>
      <c r="B1659" s="17"/>
      <c r="C1659" s="17"/>
      <c r="D1659" s="17"/>
      <c r="E1659" s="17"/>
      <c r="F1659" s="17"/>
      <c r="G1659" s="17"/>
      <c r="H1659" s="18"/>
      <c r="I1659" s="17"/>
      <c r="J1659" s="17"/>
      <c r="K1659" s="17"/>
      <c r="L1659" s="18"/>
      <c r="M1659" s="17"/>
      <c r="N1659" s="18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</row>
    <row r="1660" spans="1:30" ht="15.6" x14ac:dyDescent="0.3">
      <c r="A1660" s="17"/>
      <c r="B1660" s="17"/>
      <c r="C1660" s="17"/>
      <c r="D1660" s="17"/>
      <c r="E1660" s="17"/>
      <c r="F1660" s="17"/>
      <c r="G1660" s="17"/>
      <c r="H1660" s="18"/>
      <c r="I1660" s="17"/>
      <c r="J1660" s="17"/>
      <c r="K1660" s="17"/>
      <c r="L1660" s="18"/>
      <c r="M1660" s="17"/>
      <c r="N1660" s="18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</row>
    <row r="1661" spans="1:30" ht="15.6" x14ac:dyDescent="0.3">
      <c r="A1661" s="17"/>
      <c r="B1661" s="17"/>
      <c r="C1661" s="17"/>
      <c r="D1661" s="17"/>
      <c r="E1661" s="17"/>
      <c r="F1661" s="17"/>
      <c r="G1661" s="17"/>
      <c r="H1661" s="18"/>
      <c r="I1661" s="17"/>
      <c r="J1661" s="17"/>
      <c r="K1661" s="17"/>
      <c r="L1661" s="18"/>
      <c r="M1661" s="17"/>
      <c r="N1661" s="18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</row>
    <row r="1662" spans="1:30" ht="15.6" x14ac:dyDescent="0.3">
      <c r="A1662" s="17"/>
      <c r="B1662" s="17"/>
      <c r="C1662" s="17"/>
      <c r="D1662" s="17"/>
      <c r="E1662" s="17"/>
      <c r="F1662" s="17"/>
      <c r="G1662" s="17"/>
      <c r="H1662" s="18"/>
      <c r="I1662" s="17"/>
      <c r="J1662" s="17"/>
      <c r="K1662" s="17"/>
      <c r="L1662" s="18"/>
      <c r="M1662" s="17"/>
      <c r="N1662" s="18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</row>
    <row r="1663" spans="1:30" ht="15.6" x14ac:dyDescent="0.3">
      <c r="A1663" s="17"/>
      <c r="B1663" s="17"/>
      <c r="C1663" s="17"/>
      <c r="D1663" s="17"/>
      <c r="E1663" s="17"/>
      <c r="F1663" s="17"/>
      <c r="G1663" s="17"/>
      <c r="H1663" s="18"/>
      <c r="I1663" s="17"/>
      <c r="J1663" s="17"/>
      <c r="K1663" s="17"/>
      <c r="L1663" s="18"/>
      <c r="M1663" s="17"/>
      <c r="N1663" s="18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</row>
    <row r="1664" spans="1:30" ht="15.6" x14ac:dyDescent="0.3">
      <c r="A1664" s="17"/>
      <c r="B1664" s="17"/>
      <c r="C1664" s="17"/>
      <c r="D1664" s="17"/>
      <c r="E1664" s="17"/>
      <c r="F1664" s="17"/>
      <c r="G1664" s="17"/>
      <c r="H1664" s="18"/>
      <c r="I1664" s="17"/>
      <c r="J1664" s="17"/>
      <c r="K1664" s="17"/>
      <c r="L1664" s="18"/>
      <c r="M1664" s="17"/>
      <c r="N1664" s="18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</row>
    <row r="1665" spans="1:30" ht="15.6" x14ac:dyDescent="0.3">
      <c r="A1665" s="17"/>
      <c r="B1665" s="17"/>
      <c r="C1665" s="17"/>
      <c r="D1665" s="17"/>
      <c r="E1665" s="17"/>
      <c r="F1665" s="17"/>
      <c r="G1665" s="17"/>
      <c r="H1665" s="18"/>
      <c r="I1665" s="17"/>
      <c r="J1665" s="17"/>
      <c r="K1665" s="17"/>
      <c r="L1665" s="18"/>
      <c r="M1665" s="17"/>
      <c r="N1665" s="18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</row>
    <row r="1666" spans="1:30" ht="15.6" x14ac:dyDescent="0.3">
      <c r="A1666" s="17"/>
      <c r="B1666" s="17"/>
      <c r="C1666" s="17"/>
      <c r="D1666" s="17"/>
      <c r="E1666" s="17"/>
      <c r="F1666" s="17"/>
      <c r="G1666" s="17"/>
      <c r="H1666" s="18"/>
      <c r="I1666" s="17"/>
      <c r="J1666" s="17"/>
      <c r="K1666" s="17"/>
      <c r="L1666" s="18"/>
      <c r="M1666" s="17"/>
      <c r="N1666" s="18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</row>
    <row r="1667" spans="1:30" ht="15.6" x14ac:dyDescent="0.3">
      <c r="A1667" s="17"/>
      <c r="B1667" s="17"/>
      <c r="C1667" s="17"/>
      <c r="D1667" s="17"/>
      <c r="E1667" s="17"/>
      <c r="F1667" s="17"/>
      <c r="G1667" s="17"/>
      <c r="H1667" s="18"/>
      <c r="I1667" s="17"/>
      <c r="J1667" s="17"/>
      <c r="K1667" s="17"/>
      <c r="L1667" s="18"/>
      <c r="M1667" s="17"/>
      <c r="N1667" s="18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</row>
    <row r="1668" spans="1:30" ht="15.6" x14ac:dyDescent="0.3">
      <c r="A1668" s="17"/>
      <c r="B1668" s="17"/>
      <c r="C1668" s="17"/>
      <c r="D1668" s="17"/>
      <c r="E1668" s="17"/>
      <c r="F1668" s="17"/>
      <c r="G1668" s="17"/>
      <c r="H1668" s="18"/>
      <c r="I1668" s="17"/>
      <c r="J1668" s="17"/>
      <c r="K1668" s="17"/>
      <c r="L1668" s="18"/>
      <c r="M1668" s="17"/>
      <c r="N1668" s="18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</row>
    <row r="1669" spans="1:30" ht="15.6" x14ac:dyDescent="0.3">
      <c r="A1669" s="17"/>
      <c r="B1669" s="17"/>
      <c r="C1669" s="17"/>
      <c r="D1669" s="17"/>
      <c r="E1669" s="17"/>
      <c r="F1669" s="17"/>
      <c r="G1669" s="17"/>
      <c r="H1669" s="18"/>
      <c r="I1669" s="17"/>
      <c r="J1669" s="17"/>
      <c r="K1669" s="17"/>
      <c r="L1669" s="18"/>
      <c r="M1669" s="17"/>
      <c r="N1669" s="18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</row>
    <row r="1670" spans="1:30" ht="15.6" x14ac:dyDescent="0.3">
      <c r="A1670" s="17"/>
      <c r="B1670" s="17"/>
      <c r="C1670" s="17"/>
      <c r="D1670" s="17"/>
      <c r="E1670" s="17"/>
      <c r="F1670" s="17"/>
      <c r="G1670" s="17"/>
      <c r="H1670" s="18"/>
      <c r="I1670" s="17"/>
      <c r="J1670" s="17"/>
      <c r="K1670" s="17"/>
      <c r="L1670" s="18"/>
      <c r="M1670" s="17"/>
      <c r="N1670" s="18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</row>
    <row r="1671" spans="1:30" ht="15.6" x14ac:dyDescent="0.3">
      <c r="A1671" s="17"/>
      <c r="B1671" s="17"/>
      <c r="C1671" s="17"/>
      <c r="D1671" s="17"/>
      <c r="E1671" s="17"/>
      <c r="F1671" s="17"/>
      <c r="G1671" s="17"/>
      <c r="H1671" s="18"/>
      <c r="I1671" s="17"/>
      <c r="J1671" s="17"/>
      <c r="K1671" s="17"/>
      <c r="L1671" s="18"/>
      <c r="M1671" s="17"/>
      <c r="N1671" s="18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</row>
    <row r="1672" spans="1:30" ht="15.6" x14ac:dyDescent="0.3">
      <c r="A1672" s="17"/>
      <c r="B1672" s="17"/>
      <c r="C1672" s="17"/>
      <c r="D1672" s="17"/>
      <c r="E1672" s="17"/>
      <c r="F1672" s="17"/>
      <c r="G1672" s="17"/>
      <c r="H1672" s="18"/>
      <c r="I1672" s="17"/>
      <c r="J1672" s="17"/>
      <c r="K1672" s="17"/>
      <c r="L1672" s="18"/>
      <c r="M1672" s="17"/>
      <c r="N1672" s="18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</row>
    <row r="1673" spans="1:30" ht="15.6" x14ac:dyDescent="0.3">
      <c r="A1673" s="17"/>
      <c r="B1673" s="17"/>
      <c r="C1673" s="17"/>
      <c r="D1673" s="17"/>
      <c r="E1673" s="17"/>
      <c r="F1673" s="17"/>
      <c r="G1673" s="17"/>
      <c r="H1673" s="18"/>
      <c r="I1673" s="17"/>
      <c r="J1673" s="17"/>
      <c r="K1673" s="17"/>
      <c r="L1673" s="18"/>
      <c r="M1673" s="17"/>
      <c r="N1673" s="18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</row>
    <row r="1674" spans="1:30" ht="15.6" x14ac:dyDescent="0.3">
      <c r="A1674" s="17"/>
      <c r="B1674" s="17"/>
      <c r="C1674" s="17"/>
      <c r="D1674" s="17"/>
      <c r="E1674" s="17"/>
      <c r="F1674" s="17"/>
      <c r="G1674" s="17"/>
      <c r="H1674" s="18"/>
      <c r="I1674" s="17"/>
      <c r="J1674" s="17"/>
      <c r="K1674" s="17"/>
      <c r="L1674" s="18"/>
      <c r="M1674" s="17"/>
      <c r="N1674" s="18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</row>
    <row r="1675" spans="1:30" ht="15.6" x14ac:dyDescent="0.3">
      <c r="A1675" s="17"/>
      <c r="B1675" s="17"/>
      <c r="C1675" s="17"/>
      <c r="D1675" s="17"/>
      <c r="E1675" s="17"/>
      <c r="F1675" s="17"/>
      <c r="G1675" s="17"/>
      <c r="H1675" s="18"/>
      <c r="I1675" s="17"/>
      <c r="J1675" s="17"/>
      <c r="K1675" s="17"/>
      <c r="L1675" s="18"/>
      <c r="M1675" s="17"/>
      <c r="N1675" s="18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</row>
    <row r="1676" spans="1:30" ht="15.6" x14ac:dyDescent="0.3">
      <c r="A1676" s="17"/>
      <c r="B1676" s="17"/>
      <c r="C1676" s="17"/>
      <c r="D1676" s="17"/>
      <c r="E1676" s="17"/>
      <c r="F1676" s="17"/>
      <c r="G1676" s="17"/>
      <c r="H1676" s="18"/>
      <c r="I1676" s="17"/>
      <c r="J1676" s="17"/>
      <c r="K1676" s="17"/>
      <c r="L1676" s="18"/>
      <c r="M1676" s="17"/>
      <c r="N1676" s="18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</row>
    <row r="1677" spans="1:30" ht="15.6" x14ac:dyDescent="0.3">
      <c r="A1677" s="17"/>
      <c r="B1677" s="17"/>
      <c r="C1677" s="17"/>
      <c r="D1677" s="17"/>
      <c r="E1677" s="17"/>
      <c r="F1677" s="17"/>
      <c r="G1677" s="17"/>
      <c r="H1677" s="18"/>
      <c r="I1677" s="17"/>
      <c r="J1677" s="17"/>
      <c r="K1677" s="17"/>
      <c r="L1677" s="18"/>
      <c r="M1677" s="17"/>
      <c r="N1677" s="18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</row>
    <row r="1678" spans="1:30" ht="15.6" x14ac:dyDescent="0.3">
      <c r="A1678" s="17"/>
      <c r="B1678" s="17"/>
      <c r="C1678" s="17"/>
      <c r="D1678" s="17"/>
      <c r="E1678" s="17"/>
      <c r="F1678" s="17"/>
      <c r="G1678" s="17"/>
      <c r="H1678" s="18"/>
      <c r="I1678" s="17"/>
      <c r="J1678" s="17"/>
      <c r="K1678" s="17"/>
      <c r="L1678" s="18"/>
      <c r="M1678" s="17"/>
      <c r="N1678" s="18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</row>
    <row r="1679" spans="1:30" ht="15.6" x14ac:dyDescent="0.3">
      <c r="A1679" s="17"/>
      <c r="B1679" s="17"/>
      <c r="C1679" s="17"/>
      <c r="D1679" s="17"/>
      <c r="E1679" s="17"/>
      <c r="F1679" s="17"/>
      <c r="G1679" s="17"/>
      <c r="H1679" s="18"/>
      <c r="I1679" s="17"/>
      <c r="J1679" s="17"/>
      <c r="K1679" s="17"/>
      <c r="L1679" s="18"/>
      <c r="M1679" s="17"/>
      <c r="N1679" s="18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</row>
    <row r="1680" spans="1:30" ht="15.6" x14ac:dyDescent="0.3">
      <c r="A1680" s="17"/>
      <c r="B1680" s="17"/>
      <c r="C1680" s="17"/>
      <c r="D1680" s="17"/>
      <c r="E1680" s="17"/>
      <c r="F1680" s="17"/>
      <c r="G1680" s="17"/>
      <c r="H1680" s="18"/>
      <c r="I1680" s="17"/>
      <c r="J1680" s="17"/>
      <c r="K1680" s="17"/>
      <c r="L1680" s="18"/>
      <c r="M1680" s="17"/>
      <c r="N1680" s="18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</row>
    <row r="1681" spans="1:30" ht="15.6" x14ac:dyDescent="0.3">
      <c r="A1681" s="17"/>
      <c r="B1681" s="17"/>
      <c r="C1681" s="17"/>
      <c r="D1681" s="17"/>
      <c r="E1681" s="17"/>
      <c r="F1681" s="17"/>
      <c r="G1681" s="17"/>
      <c r="H1681" s="18"/>
      <c r="I1681" s="17"/>
      <c r="J1681" s="17"/>
      <c r="K1681" s="17"/>
      <c r="L1681" s="18"/>
      <c r="M1681" s="17"/>
      <c r="N1681" s="18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</row>
    <row r="1682" spans="1:30" ht="15.6" x14ac:dyDescent="0.3">
      <c r="A1682" s="17"/>
      <c r="B1682" s="17"/>
      <c r="C1682" s="17"/>
      <c r="D1682" s="17"/>
      <c r="E1682" s="17"/>
      <c r="F1682" s="17"/>
      <c r="G1682" s="17"/>
      <c r="H1682" s="18"/>
      <c r="I1682" s="17"/>
      <c r="J1682" s="17"/>
      <c r="K1682" s="17"/>
      <c r="L1682" s="18"/>
      <c r="M1682" s="17"/>
      <c r="N1682" s="18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</row>
    <row r="1683" spans="1:30" ht="15.6" x14ac:dyDescent="0.3">
      <c r="A1683" s="17"/>
      <c r="B1683" s="17"/>
      <c r="C1683" s="17"/>
      <c r="D1683" s="17"/>
      <c r="E1683" s="17"/>
      <c r="F1683" s="17"/>
      <c r="G1683" s="17"/>
      <c r="H1683" s="18"/>
      <c r="I1683" s="17"/>
      <c r="J1683" s="17"/>
      <c r="K1683" s="17"/>
      <c r="L1683" s="18"/>
      <c r="M1683" s="17"/>
      <c r="N1683" s="18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</row>
    <row r="1684" spans="1:30" ht="15.6" x14ac:dyDescent="0.3">
      <c r="A1684" s="17"/>
      <c r="B1684" s="17"/>
      <c r="C1684" s="17"/>
      <c r="D1684" s="17"/>
      <c r="E1684" s="17"/>
      <c r="F1684" s="17"/>
      <c r="G1684" s="17"/>
      <c r="H1684" s="18"/>
      <c r="I1684" s="17"/>
      <c r="J1684" s="17"/>
      <c r="K1684" s="17"/>
      <c r="L1684" s="18"/>
      <c r="M1684" s="17"/>
      <c r="N1684" s="18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</row>
    <row r="1685" spans="1:30" ht="15.6" x14ac:dyDescent="0.3">
      <c r="A1685" s="17"/>
      <c r="B1685" s="17"/>
      <c r="C1685" s="17"/>
      <c r="D1685" s="17"/>
      <c r="E1685" s="17"/>
      <c r="F1685" s="17"/>
      <c r="G1685" s="17"/>
      <c r="H1685" s="18"/>
      <c r="I1685" s="17"/>
      <c r="J1685" s="17"/>
      <c r="K1685" s="17"/>
      <c r="L1685" s="18"/>
      <c r="M1685" s="17"/>
      <c r="N1685" s="18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</row>
    <row r="1686" spans="1:30" ht="15.6" x14ac:dyDescent="0.3">
      <c r="A1686" s="17"/>
      <c r="B1686" s="17"/>
      <c r="C1686" s="17"/>
      <c r="D1686" s="17"/>
      <c r="E1686" s="17"/>
      <c r="F1686" s="17"/>
      <c r="G1686" s="17"/>
      <c r="H1686" s="18"/>
      <c r="I1686" s="17"/>
      <c r="J1686" s="17"/>
      <c r="K1686" s="17"/>
      <c r="L1686" s="18"/>
      <c r="M1686" s="17"/>
      <c r="N1686" s="18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</row>
    <row r="1687" spans="1:30" ht="15.6" x14ac:dyDescent="0.3">
      <c r="A1687" s="17"/>
      <c r="B1687" s="17"/>
      <c r="C1687" s="17"/>
      <c r="D1687" s="17"/>
      <c r="E1687" s="17"/>
      <c r="F1687" s="17"/>
      <c r="G1687" s="17"/>
      <c r="H1687" s="18"/>
      <c r="I1687" s="17"/>
      <c r="J1687" s="17"/>
      <c r="K1687" s="17"/>
      <c r="L1687" s="18"/>
      <c r="M1687" s="17"/>
      <c r="N1687" s="18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</row>
    <row r="1688" spans="1:30" ht="15.6" x14ac:dyDescent="0.3">
      <c r="A1688" s="17"/>
      <c r="B1688" s="17"/>
      <c r="C1688" s="17"/>
      <c r="D1688" s="17"/>
      <c r="E1688" s="17"/>
      <c r="F1688" s="17"/>
      <c r="G1688" s="17"/>
      <c r="H1688" s="18"/>
      <c r="I1688" s="17"/>
      <c r="J1688" s="17"/>
      <c r="K1688" s="17"/>
      <c r="L1688" s="18"/>
      <c r="M1688" s="17"/>
      <c r="N1688" s="18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</row>
    <row r="1689" spans="1:30" ht="15.6" x14ac:dyDescent="0.3">
      <c r="A1689" s="17"/>
      <c r="B1689" s="17"/>
      <c r="C1689" s="17"/>
      <c r="D1689" s="17"/>
      <c r="E1689" s="17"/>
      <c r="F1689" s="17"/>
      <c r="G1689" s="17"/>
      <c r="H1689" s="18"/>
      <c r="I1689" s="17"/>
      <c r="J1689" s="17"/>
      <c r="K1689" s="17"/>
      <c r="L1689" s="18"/>
      <c r="M1689" s="17"/>
      <c r="N1689" s="18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</row>
    <row r="1690" spans="1:30" ht="15.6" x14ac:dyDescent="0.3">
      <c r="A1690" s="17"/>
      <c r="B1690" s="17"/>
      <c r="C1690" s="17"/>
      <c r="D1690" s="17"/>
      <c r="E1690" s="17"/>
      <c r="F1690" s="17"/>
      <c r="G1690" s="17"/>
      <c r="H1690" s="18"/>
      <c r="I1690" s="17"/>
      <c r="J1690" s="17"/>
      <c r="K1690" s="17"/>
      <c r="L1690" s="18"/>
      <c r="M1690" s="17"/>
      <c r="N1690" s="18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</row>
    <row r="1691" spans="1:30" ht="15.6" x14ac:dyDescent="0.3">
      <c r="A1691" s="17"/>
      <c r="B1691" s="17"/>
      <c r="C1691" s="17"/>
      <c r="D1691" s="17"/>
      <c r="E1691" s="17"/>
      <c r="F1691" s="17"/>
      <c r="G1691" s="17"/>
      <c r="H1691" s="18"/>
      <c r="I1691" s="17"/>
      <c r="J1691" s="17"/>
      <c r="K1691" s="17"/>
      <c r="L1691" s="18"/>
      <c r="M1691" s="17"/>
      <c r="N1691" s="18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</row>
    <row r="1692" spans="1:30" ht="15.6" x14ac:dyDescent="0.3">
      <c r="A1692" s="17"/>
      <c r="B1692" s="17"/>
      <c r="C1692" s="17"/>
      <c r="D1692" s="17"/>
      <c r="E1692" s="17"/>
      <c r="F1692" s="17"/>
      <c r="G1692" s="17"/>
      <c r="H1692" s="18"/>
      <c r="I1692" s="17"/>
      <c r="J1692" s="17"/>
      <c r="K1692" s="17"/>
      <c r="L1692" s="18"/>
      <c r="M1692" s="17"/>
      <c r="N1692" s="18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</row>
    <row r="1693" spans="1:30" ht="15.6" x14ac:dyDescent="0.3">
      <c r="A1693" s="17"/>
      <c r="B1693" s="17"/>
      <c r="C1693" s="17"/>
      <c r="D1693" s="17"/>
      <c r="E1693" s="17"/>
      <c r="F1693" s="17"/>
      <c r="G1693" s="17"/>
      <c r="H1693" s="18"/>
      <c r="I1693" s="17"/>
      <c r="J1693" s="17"/>
      <c r="K1693" s="17"/>
      <c r="L1693" s="18"/>
      <c r="M1693" s="17"/>
      <c r="N1693" s="18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</row>
    <row r="1694" spans="1:30" ht="15.6" x14ac:dyDescent="0.3">
      <c r="A1694" s="17"/>
      <c r="B1694" s="17"/>
      <c r="C1694" s="17"/>
      <c r="D1694" s="17"/>
      <c r="E1694" s="17"/>
      <c r="F1694" s="17"/>
      <c r="G1694" s="17"/>
      <c r="H1694" s="18"/>
      <c r="I1694" s="17"/>
      <c r="J1694" s="17"/>
      <c r="K1694" s="17"/>
      <c r="L1694" s="18"/>
      <c r="M1694" s="17"/>
      <c r="N1694" s="18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</row>
    <row r="1695" spans="1:30" ht="15.6" x14ac:dyDescent="0.3">
      <c r="A1695" s="17"/>
      <c r="B1695" s="17"/>
      <c r="C1695" s="17"/>
      <c r="D1695" s="17"/>
      <c r="E1695" s="17"/>
      <c r="F1695" s="17"/>
      <c r="G1695" s="17"/>
      <c r="H1695" s="18"/>
      <c r="I1695" s="17"/>
      <c r="J1695" s="17"/>
      <c r="K1695" s="17"/>
      <c r="L1695" s="18"/>
      <c r="M1695" s="17"/>
      <c r="N1695" s="18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</row>
    <row r="1696" spans="1:30" ht="15.6" x14ac:dyDescent="0.3">
      <c r="A1696" s="17"/>
      <c r="B1696" s="17"/>
      <c r="C1696" s="17"/>
      <c r="D1696" s="17"/>
      <c r="E1696" s="17"/>
      <c r="F1696" s="17"/>
      <c r="G1696" s="17"/>
      <c r="H1696" s="18"/>
      <c r="I1696" s="17"/>
      <c r="J1696" s="17"/>
      <c r="K1696" s="17"/>
      <c r="L1696" s="18"/>
      <c r="M1696" s="17"/>
      <c r="N1696" s="18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</row>
    <row r="1697" spans="1:30" ht="15.6" x14ac:dyDescent="0.3">
      <c r="A1697" s="17"/>
      <c r="B1697" s="17"/>
      <c r="C1697" s="17"/>
      <c r="D1697" s="17"/>
      <c r="E1697" s="17"/>
      <c r="F1697" s="17"/>
      <c r="G1697" s="17"/>
      <c r="H1697" s="18"/>
      <c r="I1697" s="17"/>
      <c r="J1697" s="17"/>
      <c r="K1697" s="17"/>
      <c r="L1697" s="18"/>
      <c r="M1697" s="17"/>
      <c r="N1697" s="18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</row>
    <row r="1698" spans="1:30" ht="15.6" x14ac:dyDescent="0.3">
      <c r="A1698" s="17"/>
      <c r="B1698" s="17"/>
      <c r="C1698" s="17"/>
      <c r="D1698" s="17"/>
      <c r="E1698" s="17"/>
      <c r="F1698" s="17"/>
      <c r="G1698" s="17"/>
      <c r="H1698" s="18"/>
      <c r="I1698" s="17"/>
      <c r="J1698" s="17"/>
      <c r="K1698" s="17"/>
      <c r="L1698" s="18"/>
      <c r="M1698" s="17"/>
      <c r="N1698" s="18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</row>
    <row r="1699" spans="1:30" ht="15.6" x14ac:dyDescent="0.3">
      <c r="A1699" s="17"/>
      <c r="B1699" s="17"/>
      <c r="C1699" s="17"/>
      <c r="D1699" s="17"/>
      <c r="E1699" s="17"/>
      <c r="F1699" s="17"/>
      <c r="G1699" s="17"/>
      <c r="H1699" s="18"/>
      <c r="I1699" s="17"/>
      <c r="J1699" s="17"/>
      <c r="K1699" s="17"/>
      <c r="L1699" s="18"/>
      <c r="M1699" s="17"/>
      <c r="N1699" s="18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</row>
    <row r="1700" spans="1:30" ht="15.6" x14ac:dyDescent="0.3">
      <c r="A1700" s="17"/>
      <c r="B1700" s="17"/>
      <c r="C1700" s="17"/>
      <c r="D1700" s="17"/>
      <c r="E1700" s="17"/>
      <c r="F1700" s="17"/>
      <c r="G1700" s="17"/>
      <c r="H1700" s="18"/>
      <c r="I1700" s="17"/>
      <c r="J1700" s="17"/>
      <c r="K1700" s="17"/>
      <c r="L1700" s="18"/>
      <c r="M1700" s="17"/>
      <c r="N1700" s="18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</row>
    <row r="1701" spans="1:30" ht="15.6" x14ac:dyDescent="0.3">
      <c r="A1701" s="17"/>
      <c r="B1701" s="17"/>
      <c r="C1701" s="17"/>
      <c r="D1701" s="17"/>
      <c r="E1701" s="17"/>
      <c r="F1701" s="17"/>
      <c r="G1701" s="17"/>
      <c r="H1701" s="18"/>
      <c r="I1701" s="17"/>
      <c r="J1701" s="17"/>
      <c r="K1701" s="17"/>
      <c r="L1701" s="18"/>
      <c r="M1701" s="17"/>
      <c r="N1701" s="18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</row>
    <row r="1702" spans="1:30" ht="15.6" x14ac:dyDescent="0.3">
      <c r="A1702" s="17"/>
      <c r="B1702" s="17"/>
      <c r="C1702" s="17"/>
      <c r="D1702" s="17"/>
      <c r="E1702" s="17"/>
      <c r="F1702" s="17"/>
      <c r="G1702" s="17"/>
      <c r="H1702" s="18"/>
      <c r="I1702" s="17"/>
      <c r="J1702" s="17"/>
      <c r="K1702" s="17"/>
      <c r="L1702" s="18"/>
      <c r="M1702" s="17"/>
      <c r="N1702" s="18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</row>
    <row r="1703" spans="1:30" ht="15.6" x14ac:dyDescent="0.3">
      <c r="A1703" s="17"/>
      <c r="B1703" s="17"/>
      <c r="C1703" s="17"/>
      <c r="D1703" s="17"/>
      <c r="E1703" s="17"/>
      <c r="F1703" s="17"/>
      <c r="G1703" s="17"/>
      <c r="H1703" s="18"/>
      <c r="I1703" s="17"/>
      <c r="J1703" s="17"/>
      <c r="K1703" s="17"/>
      <c r="L1703" s="18"/>
      <c r="M1703" s="17"/>
      <c r="N1703" s="18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</row>
    <row r="1704" spans="1:30" ht="15.6" x14ac:dyDescent="0.3">
      <c r="A1704" s="17"/>
      <c r="B1704" s="17"/>
      <c r="C1704" s="17"/>
      <c r="D1704" s="17"/>
      <c r="E1704" s="17"/>
      <c r="F1704" s="17"/>
      <c r="G1704" s="17"/>
      <c r="H1704" s="18"/>
      <c r="I1704" s="17"/>
      <c r="J1704" s="17"/>
      <c r="K1704" s="17"/>
      <c r="L1704" s="18"/>
      <c r="M1704" s="17"/>
      <c r="N1704" s="18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</row>
    <row r="1705" spans="1:30" ht="15.6" x14ac:dyDescent="0.3">
      <c r="A1705" s="17"/>
      <c r="B1705" s="17"/>
      <c r="C1705" s="17"/>
      <c r="D1705" s="17"/>
      <c r="E1705" s="17"/>
      <c r="F1705" s="17"/>
      <c r="G1705" s="17"/>
      <c r="H1705" s="18"/>
      <c r="I1705" s="17"/>
      <c r="J1705" s="17"/>
      <c r="K1705" s="17"/>
      <c r="L1705" s="18"/>
      <c r="M1705" s="17"/>
      <c r="N1705" s="18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</row>
    <row r="1706" spans="1:30" ht="15.6" x14ac:dyDescent="0.3">
      <c r="A1706" s="17"/>
      <c r="B1706" s="17"/>
      <c r="C1706" s="17"/>
      <c r="D1706" s="17"/>
      <c r="E1706" s="17"/>
      <c r="F1706" s="17"/>
      <c r="G1706" s="17"/>
      <c r="H1706" s="18"/>
      <c r="I1706" s="17"/>
      <c r="J1706" s="17"/>
      <c r="K1706" s="17"/>
      <c r="L1706" s="18"/>
      <c r="M1706" s="17"/>
      <c r="N1706" s="18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</row>
    <row r="1707" spans="1:30" ht="15.6" x14ac:dyDescent="0.3">
      <c r="A1707" s="17"/>
      <c r="B1707" s="17"/>
      <c r="C1707" s="17"/>
      <c r="D1707" s="17"/>
      <c r="E1707" s="17"/>
      <c r="F1707" s="17"/>
      <c r="G1707" s="17"/>
      <c r="H1707" s="18"/>
      <c r="I1707" s="17"/>
      <c r="J1707" s="17"/>
      <c r="K1707" s="17"/>
      <c r="L1707" s="18"/>
      <c r="M1707" s="17"/>
      <c r="N1707" s="18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</row>
    <row r="1708" spans="1:30" ht="15.6" x14ac:dyDescent="0.3">
      <c r="A1708" s="17"/>
      <c r="B1708" s="17"/>
      <c r="C1708" s="17"/>
      <c r="D1708" s="17"/>
      <c r="E1708" s="17"/>
      <c r="F1708" s="17"/>
      <c r="G1708" s="17"/>
      <c r="H1708" s="18"/>
      <c r="I1708" s="17"/>
      <c r="J1708" s="17"/>
      <c r="K1708" s="17"/>
      <c r="L1708" s="18"/>
      <c r="M1708" s="17"/>
      <c r="N1708" s="18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</row>
    <row r="1709" spans="1:30" ht="15.6" x14ac:dyDescent="0.3">
      <c r="A1709" s="17"/>
      <c r="B1709" s="17"/>
      <c r="C1709" s="17"/>
      <c r="D1709" s="17"/>
      <c r="E1709" s="17"/>
      <c r="F1709" s="17"/>
      <c r="G1709" s="17"/>
      <c r="H1709" s="18"/>
      <c r="I1709" s="17"/>
      <c r="J1709" s="17"/>
      <c r="K1709" s="17"/>
      <c r="L1709" s="18"/>
      <c r="M1709" s="17"/>
      <c r="N1709" s="18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</row>
    <row r="1710" spans="1:30" ht="15.6" x14ac:dyDescent="0.3">
      <c r="A1710" s="17"/>
      <c r="B1710" s="17"/>
      <c r="C1710" s="17"/>
      <c r="D1710" s="17"/>
      <c r="E1710" s="17"/>
      <c r="F1710" s="17"/>
      <c r="G1710" s="17"/>
      <c r="H1710" s="18"/>
      <c r="I1710" s="17"/>
      <c r="J1710" s="17"/>
      <c r="K1710" s="17"/>
      <c r="L1710" s="18"/>
      <c r="M1710" s="17"/>
      <c r="N1710" s="18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</row>
    <row r="1711" spans="1:30" ht="15.6" x14ac:dyDescent="0.3">
      <c r="A1711" s="17"/>
      <c r="B1711" s="17"/>
      <c r="C1711" s="17"/>
      <c r="D1711" s="17"/>
      <c r="E1711" s="17"/>
      <c r="F1711" s="17"/>
      <c r="G1711" s="17"/>
      <c r="H1711" s="18"/>
      <c r="I1711" s="17"/>
      <c r="J1711" s="17"/>
      <c r="K1711" s="17"/>
      <c r="L1711" s="18"/>
      <c r="M1711" s="17"/>
      <c r="N1711" s="18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</row>
    <row r="1712" spans="1:30" ht="15.6" x14ac:dyDescent="0.3">
      <c r="A1712" s="17"/>
      <c r="B1712" s="17"/>
      <c r="C1712" s="17"/>
      <c r="D1712" s="17"/>
      <c r="E1712" s="17"/>
      <c r="F1712" s="17"/>
      <c r="G1712" s="17"/>
      <c r="H1712" s="18"/>
      <c r="I1712" s="17"/>
      <c r="J1712" s="17"/>
      <c r="K1712" s="17"/>
      <c r="L1712" s="18"/>
      <c r="M1712" s="17"/>
      <c r="N1712" s="18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</row>
    <row r="1713" spans="1:30" ht="15.6" x14ac:dyDescent="0.3">
      <c r="A1713" s="17"/>
      <c r="B1713" s="17"/>
      <c r="C1713" s="17"/>
      <c r="D1713" s="17"/>
      <c r="E1713" s="17"/>
      <c r="F1713" s="17"/>
      <c r="G1713" s="17"/>
      <c r="H1713" s="18"/>
      <c r="I1713" s="17"/>
      <c r="J1713" s="17"/>
      <c r="K1713" s="17"/>
      <c r="L1713" s="18"/>
      <c r="M1713" s="17"/>
      <c r="N1713" s="18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</row>
    <row r="1714" spans="1:30" ht="15.6" x14ac:dyDescent="0.3">
      <c r="A1714" s="17"/>
      <c r="B1714" s="17"/>
      <c r="C1714" s="17"/>
      <c r="D1714" s="17"/>
      <c r="E1714" s="17"/>
      <c r="F1714" s="17"/>
      <c r="G1714" s="17"/>
      <c r="H1714" s="18"/>
      <c r="I1714" s="17"/>
      <c r="J1714" s="17"/>
      <c r="K1714" s="17"/>
      <c r="L1714" s="18"/>
      <c r="M1714" s="17"/>
      <c r="N1714" s="18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</row>
    <row r="1715" spans="1:30" ht="15.6" x14ac:dyDescent="0.3">
      <c r="A1715" s="17"/>
      <c r="B1715" s="17"/>
      <c r="C1715" s="17"/>
      <c r="D1715" s="17"/>
      <c r="E1715" s="17"/>
      <c r="F1715" s="17"/>
      <c r="G1715" s="17"/>
      <c r="H1715" s="18"/>
      <c r="I1715" s="17"/>
      <c r="J1715" s="17"/>
      <c r="K1715" s="17"/>
      <c r="L1715" s="18"/>
      <c r="M1715" s="17"/>
      <c r="N1715" s="18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</row>
    <row r="1716" spans="1:30" ht="15.6" x14ac:dyDescent="0.3">
      <c r="A1716" s="17"/>
      <c r="B1716" s="17"/>
      <c r="C1716" s="17"/>
      <c r="D1716" s="17"/>
      <c r="E1716" s="17"/>
      <c r="F1716" s="17"/>
      <c r="G1716" s="17"/>
      <c r="H1716" s="18"/>
      <c r="I1716" s="17"/>
      <c r="J1716" s="17"/>
      <c r="K1716" s="17"/>
      <c r="L1716" s="18"/>
      <c r="M1716" s="17"/>
      <c r="N1716" s="18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</row>
    <row r="1717" spans="1:30" ht="15.6" x14ac:dyDescent="0.3">
      <c r="A1717" s="17"/>
      <c r="B1717" s="17"/>
      <c r="C1717" s="17"/>
      <c r="D1717" s="17"/>
      <c r="E1717" s="17"/>
      <c r="F1717" s="17"/>
      <c r="G1717" s="17"/>
      <c r="H1717" s="18"/>
      <c r="I1717" s="17"/>
      <c r="J1717" s="17"/>
      <c r="K1717" s="17"/>
      <c r="L1717" s="18"/>
      <c r="M1717" s="17"/>
      <c r="N1717" s="18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</row>
    <row r="1718" spans="1:30" ht="15.6" x14ac:dyDescent="0.3">
      <c r="A1718" s="17"/>
      <c r="B1718" s="17"/>
      <c r="C1718" s="17"/>
      <c r="D1718" s="17"/>
      <c r="E1718" s="17"/>
      <c r="F1718" s="17"/>
      <c r="G1718" s="17"/>
      <c r="H1718" s="18"/>
      <c r="I1718" s="17"/>
      <c r="J1718" s="17"/>
      <c r="K1718" s="17"/>
      <c r="L1718" s="18"/>
      <c r="M1718" s="17"/>
      <c r="N1718" s="18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</row>
    <row r="1719" spans="1:30" ht="15.6" x14ac:dyDescent="0.3">
      <c r="A1719" s="17"/>
      <c r="B1719" s="17"/>
      <c r="C1719" s="17"/>
      <c r="D1719" s="17"/>
      <c r="E1719" s="17"/>
      <c r="F1719" s="17"/>
      <c r="G1719" s="17"/>
      <c r="H1719" s="18"/>
      <c r="I1719" s="17"/>
      <c r="J1719" s="17"/>
      <c r="K1719" s="17"/>
      <c r="L1719" s="18"/>
      <c r="M1719" s="17"/>
      <c r="N1719" s="18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</row>
    <row r="1720" spans="1:30" ht="15.6" x14ac:dyDescent="0.3">
      <c r="A1720" s="17"/>
      <c r="B1720" s="17"/>
      <c r="C1720" s="17"/>
      <c r="D1720" s="17"/>
      <c r="E1720" s="17"/>
      <c r="F1720" s="17"/>
      <c r="G1720" s="17"/>
      <c r="H1720" s="18"/>
      <c r="I1720" s="17"/>
      <c r="J1720" s="17"/>
      <c r="K1720" s="17"/>
      <c r="L1720" s="18"/>
      <c r="M1720" s="17"/>
      <c r="N1720" s="18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</row>
    <row r="1721" spans="1:30" ht="15.6" x14ac:dyDescent="0.3">
      <c r="A1721" s="17"/>
      <c r="B1721" s="17"/>
      <c r="C1721" s="17"/>
      <c r="D1721" s="17"/>
      <c r="E1721" s="17"/>
      <c r="F1721" s="17"/>
      <c r="G1721" s="17"/>
      <c r="H1721" s="18"/>
      <c r="I1721" s="17"/>
      <c r="J1721" s="17"/>
      <c r="K1721" s="17"/>
      <c r="L1721" s="18"/>
      <c r="M1721" s="17"/>
      <c r="N1721" s="18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</row>
    <row r="1722" spans="1:30" ht="15.6" x14ac:dyDescent="0.3">
      <c r="A1722" s="17"/>
      <c r="B1722" s="17"/>
      <c r="C1722" s="17"/>
      <c r="D1722" s="17"/>
      <c r="E1722" s="17"/>
      <c r="F1722" s="17"/>
      <c r="G1722" s="17"/>
      <c r="H1722" s="18"/>
      <c r="I1722" s="17"/>
      <c r="J1722" s="17"/>
      <c r="K1722" s="17"/>
      <c r="L1722" s="18"/>
      <c r="M1722" s="17"/>
      <c r="N1722" s="18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</row>
    <row r="1723" spans="1:30" ht="15.6" x14ac:dyDescent="0.3">
      <c r="A1723" s="17"/>
      <c r="B1723" s="17"/>
      <c r="C1723" s="17"/>
      <c r="D1723" s="17"/>
      <c r="E1723" s="17"/>
      <c r="F1723" s="17"/>
      <c r="G1723" s="17"/>
      <c r="H1723" s="18"/>
      <c r="I1723" s="17"/>
      <c r="J1723" s="17"/>
      <c r="K1723" s="17"/>
      <c r="L1723" s="18"/>
      <c r="M1723" s="17"/>
      <c r="N1723" s="18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</row>
    <row r="1724" spans="1:30" ht="15.6" x14ac:dyDescent="0.3">
      <c r="A1724" s="17"/>
      <c r="B1724" s="17"/>
      <c r="C1724" s="17"/>
      <c r="D1724" s="17"/>
      <c r="E1724" s="17"/>
      <c r="F1724" s="17"/>
      <c r="G1724" s="17"/>
      <c r="H1724" s="18"/>
      <c r="I1724" s="17"/>
      <c r="J1724" s="17"/>
      <c r="K1724" s="17"/>
      <c r="L1724" s="18"/>
      <c r="M1724" s="17"/>
      <c r="N1724" s="18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 spans="1:30" ht="15.6" x14ac:dyDescent="0.3">
      <c r="A1725" s="17"/>
      <c r="B1725" s="17"/>
      <c r="C1725" s="17"/>
      <c r="D1725" s="17"/>
      <c r="E1725" s="17"/>
      <c r="F1725" s="17"/>
      <c r="G1725" s="17"/>
      <c r="H1725" s="18"/>
      <c r="I1725" s="17"/>
      <c r="J1725" s="17"/>
      <c r="K1725" s="17"/>
      <c r="L1725" s="18"/>
      <c r="M1725" s="17"/>
      <c r="N1725" s="18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</row>
    <row r="1726" spans="1:30" ht="15.6" x14ac:dyDescent="0.3">
      <c r="A1726" s="17"/>
      <c r="B1726" s="17"/>
      <c r="C1726" s="17"/>
      <c r="D1726" s="17"/>
      <c r="E1726" s="17"/>
      <c r="F1726" s="17"/>
      <c r="G1726" s="17"/>
      <c r="H1726" s="18"/>
      <c r="I1726" s="17"/>
      <c r="J1726" s="17"/>
      <c r="K1726" s="17"/>
      <c r="L1726" s="18"/>
      <c r="M1726" s="17"/>
      <c r="N1726" s="18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</row>
    <row r="1727" spans="1:30" ht="15.6" x14ac:dyDescent="0.3">
      <c r="A1727" s="17"/>
      <c r="B1727" s="17"/>
      <c r="C1727" s="17"/>
      <c r="D1727" s="17"/>
      <c r="E1727" s="17"/>
      <c r="F1727" s="17"/>
      <c r="G1727" s="17"/>
      <c r="H1727" s="18"/>
      <c r="I1727" s="17"/>
      <c r="J1727" s="17"/>
      <c r="K1727" s="17"/>
      <c r="L1727" s="18"/>
      <c r="M1727" s="17"/>
      <c r="N1727" s="18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</row>
    <row r="1728" spans="1:30" ht="15.6" x14ac:dyDescent="0.3">
      <c r="A1728" s="17"/>
      <c r="B1728" s="17"/>
      <c r="C1728" s="17"/>
      <c r="D1728" s="17"/>
      <c r="E1728" s="17"/>
      <c r="F1728" s="17"/>
      <c r="G1728" s="17"/>
      <c r="H1728" s="18"/>
      <c r="I1728" s="17"/>
      <c r="J1728" s="17"/>
      <c r="K1728" s="17"/>
      <c r="L1728" s="18"/>
      <c r="M1728" s="17"/>
      <c r="N1728" s="18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</row>
    <row r="1729" spans="1:30" ht="15.6" x14ac:dyDescent="0.3">
      <c r="A1729" s="17"/>
      <c r="B1729" s="17"/>
      <c r="C1729" s="17"/>
      <c r="D1729" s="17"/>
      <c r="E1729" s="17"/>
      <c r="F1729" s="17"/>
      <c r="G1729" s="17"/>
      <c r="H1729" s="18"/>
      <c r="I1729" s="17"/>
      <c r="J1729" s="17"/>
      <c r="K1729" s="17"/>
      <c r="L1729" s="18"/>
      <c r="M1729" s="17"/>
      <c r="N1729" s="18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</row>
    <row r="1730" spans="1:30" ht="15.6" x14ac:dyDescent="0.3">
      <c r="A1730" s="17"/>
      <c r="B1730" s="17"/>
      <c r="C1730" s="17"/>
      <c r="D1730" s="17"/>
      <c r="E1730" s="17"/>
      <c r="F1730" s="17"/>
      <c r="G1730" s="17"/>
      <c r="H1730" s="18"/>
      <c r="I1730" s="17"/>
      <c r="J1730" s="17"/>
      <c r="K1730" s="17"/>
      <c r="L1730" s="18"/>
      <c r="M1730" s="17"/>
      <c r="N1730" s="18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</row>
    <row r="1731" spans="1:30" ht="15.6" x14ac:dyDescent="0.3">
      <c r="A1731" s="17"/>
      <c r="B1731" s="17"/>
      <c r="C1731" s="17"/>
      <c r="D1731" s="17"/>
      <c r="E1731" s="17"/>
      <c r="F1731" s="17"/>
      <c r="G1731" s="17"/>
      <c r="H1731" s="18"/>
      <c r="I1731" s="17"/>
      <c r="J1731" s="17"/>
      <c r="K1731" s="17"/>
      <c r="L1731" s="18"/>
      <c r="M1731" s="17"/>
      <c r="N1731" s="18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</row>
    <row r="1732" spans="1:30" ht="15.6" x14ac:dyDescent="0.3">
      <c r="A1732" s="17"/>
      <c r="B1732" s="17"/>
      <c r="C1732" s="17"/>
      <c r="D1732" s="17"/>
      <c r="E1732" s="17"/>
      <c r="F1732" s="17"/>
      <c r="G1732" s="17"/>
      <c r="H1732" s="18"/>
      <c r="I1732" s="17"/>
      <c r="J1732" s="17"/>
      <c r="K1732" s="17"/>
      <c r="L1732" s="18"/>
      <c r="M1732" s="17"/>
      <c r="N1732" s="18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</row>
    <row r="1733" spans="1:30" ht="15.6" x14ac:dyDescent="0.3">
      <c r="A1733" s="17"/>
      <c r="B1733" s="17"/>
      <c r="C1733" s="17"/>
      <c r="D1733" s="17"/>
      <c r="E1733" s="17"/>
      <c r="F1733" s="17"/>
      <c r="G1733" s="17"/>
      <c r="H1733" s="18"/>
      <c r="I1733" s="17"/>
      <c r="J1733" s="17"/>
      <c r="K1733" s="17"/>
      <c r="L1733" s="18"/>
      <c r="M1733" s="17"/>
      <c r="N1733" s="18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</row>
    <row r="1734" spans="1:30" ht="15.6" x14ac:dyDescent="0.3">
      <c r="A1734" s="17"/>
      <c r="B1734" s="17"/>
      <c r="C1734" s="17"/>
      <c r="D1734" s="17"/>
      <c r="E1734" s="17"/>
      <c r="F1734" s="17"/>
      <c r="G1734" s="17"/>
      <c r="H1734" s="18"/>
      <c r="I1734" s="17"/>
      <c r="J1734" s="17"/>
      <c r="K1734" s="17"/>
      <c r="L1734" s="18"/>
      <c r="M1734" s="17"/>
      <c r="N1734" s="18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</row>
    <row r="1735" spans="1:30" ht="15.6" x14ac:dyDescent="0.3">
      <c r="A1735" s="17"/>
      <c r="B1735" s="17"/>
      <c r="C1735" s="17"/>
      <c r="D1735" s="17"/>
      <c r="E1735" s="17"/>
      <c r="F1735" s="17"/>
      <c r="G1735" s="17"/>
      <c r="H1735" s="18"/>
      <c r="I1735" s="17"/>
      <c r="J1735" s="17"/>
      <c r="K1735" s="17"/>
      <c r="L1735" s="18"/>
      <c r="M1735" s="17"/>
      <c r="N1735" s="18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</row>
    <row r="1736" spans="1:30" ht="15.6" x14ac:dyDescent="0.3">
      <c r="A1736" s="17"/>
      <c r="B1736" s="17"/>
      <c r="C1736" s="17"/>
      <c r="D1736" s="17"/>
      <c r="E1736" s="17"/>
      <c r="F1736" s="17"/>
      <c r="G1736" s="17"/>
      <c r="H1736" s="18"/>
      <c r="I1736" s="17"/>
      <c r="J1736" s="17"/>
      <c r="K1736" s="17"/>
      <c r="L1736" s="18"/>
      <c r="M1736" s="17"/>
      <c r="N1736" s="18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</row>
    <row r="1737" spans="1:30" ht="15.6" x14ac:dyDescent="0.3">
      <c r="A1737" s="17"/>
      <c r="B1737" s="17"/>
      <c r="C1737" s="17"/>
      <c r="D1737" s="17"/>
      <c r="E1737" s="17"/>
      <c r="F1737" s="17"/>
      <c r="G1737" s="17"/>
      <c r="H1737" s="18"/>
      <c r="I1737" s="17"/>
      <c r="J1737" s="17"/>
      <c r="K1737" s="17"/>
      <c r="L1737" s="18"/>
      <c r="M1737" s="17"/>
      <c r="N1737" s="18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</row>
    <row r="1738" spans="1:30" ht="15.6" x14ac:dyDescent="0.3">
      <c r="A1738" s="17"/>
      <c r="B1738" s="17"/>
      <c r="C1738" s="17"/>
      <c r="D1738" s="17"/>
      <c r="E1738" s="17"/>
      <c r="F1738" s="17"/>
      <c r="G1738" s="17"/>
      <c r="H1738" s="18"/>
      <c r="I1738" s="17"/>
      <c r="J1738" s="17"/>
      <c r="K1738" s="17"/>
      <c r="L1738" s="18"/>
      <c r="M1738" s="17"/>
      <c r="N1738" s="18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</row>
    <row r="1739" spans="1:30" ht="15.6" x14ac:dyDescent="0.3">
      <c r="A1739" s="17"/>
      <c r="B1739" s="17"/>
      <c r="C1739" s="17"/>
      <c r="D1739" s="17"/>
      <c r="E1739" s="17"/>
      <c r="F1739" s="17"/>
      <c r="G1739" s="17"/>
      <c r="H1739" s="18"/>
      <c r="I1739" s="17"/>
      <c r="J1739" s="17"/>
      <c r="K1739" s="17"/>
      <c r="L1739" s="18"/>
      <c r="M1739" s="17"/>
      <c r="N1739" s="18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</row>
    <row r="1740" spans="1:30" ht="15.6" x14ac:dyDescent="0.3">
      <c r="A1740" s="17"/>
      <c r="B1740" s="17"/>
      <c r="C1740" s="17"/>
      <c r="D1740" s="17"/>
      <c r="E1740" s="17"/>
      <c r="F1740" s="17"/>
      <c r="G1740" s="17"/>
      <c r="H1740" s="18"/>
      <c r="I1740" s="17"/>
      <c r="J1740" s="17"/>
      <c r="K1740" s="17"/>
      <c r="L1740" s="18"/>
      <c r="M1740" s="17"/>
      <c r="N1740" s="18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</row>
    <row r="1741" spans="1:30" ht="15.6" x14ac:dyDescent="0.3">
      <c r="A1741" s="17"/>
      <c r="B1741" s="17"/>
      <c r="C1741" s="17"/>
      <c r="D1741" s="17"/>
      <c r="E1741" s="17"/>
      <c r="F1741" s="17"/>
      <c r="G1741" s="17"/>
      <c r="H1741" s="18"/>
      <c r="I1741" s="17"/>
      <c r="J1741" s="17"/>
      <c r="K1741" s="17"/>
      <c r="L1741" s="18"/>
      <c r="M1741" s="17"/>
      <c r="N1741" s="18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</row>
    <row r="1742" spans="1:30" ht="15.6" x14ac:dyDescent="0.3">
      <c r="A1742" s="17"/>
      <c r="B1742" s="17"/>
      <c r="C1742" s="17"/>
      <c r="D1742" s="17"/>
      <c r="E1742" s="17"/>
      <c r="F1742" s="17"/>
      <c r="G1742" s="17"/>
      <c r="H1742" s="18"/>
      <c r="I1742" s="17"/>
      <c r="J1742" s="17"/>
      <c r="K1742" s="17"/>
      <c r="L1742" s="18"/>
      <c r="M1742" s="17"/>
      <c r="N1742" s="18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</row>
    <row r="1743" spans="1:30" ht="15.6" x14ac:dyDescent="0.3">
      <c r="A1743" s="17"/>
      <c r="B1743" s="17"/>
      <c r="C1743" s="17"/>
      <c r="D1743" s="17"/>
      <c r="E1743" s="17"/>
      <c r="F1743" s="17"/>
      <c r="G1743" s="17"/>
      <c r="H1743" s="18"/>
      <c r="I1743" s="17"/>
      <c r="J1743" s="17"/>
      <c r="K1743" s="17"/>
      <c r="L1743" s="18"/>
      <c r="M1743" s="17"/>
      <c r="N1743" s="18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</row>
    <row r="1744" spans="1:30" ht="15.6" x14ac:dyDescent="0.3">
      <c r="A1744" s="17"/>
      <c r="B1744" s="17"/>
      <c r="C1744" s="17"/>
      <c r="D1744" s="17"/>
      <c r="E1744" s="17"/>
      <c r="F1744" s="17"/>
      <c r="G1744" s="17"/>
      <c r="H1744" s="18"/>
      <c r="I1744" s="17"/>
      <c r="J1744" s="17"/>
      <c r="K1744" s="17"/>
      <c r="L1744" s="18"/>
      <c r="M1744" s="17"/>
      <c r="N1744" s="18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</row>
    <row r="1745" spans="1:30" ht="15.6" x14ac:dyDescent="0.3">
      <c r="A1745" s="17"/>
      <c r="B1745" s="17"/>
      <c r="C1745" s="17"/>
      <c r="D1745" s="17"/>
      <c r="E1745" s="17"/>
      <c r="F1745" s="17"/>
      <c r="G1745" s="17"/>
      <c r="H1745" s="18"/>
      <c r="I1745" s="17"/>
      <c r="J1745" s="17"/>
      <c r="K1745" s="17"/>
      <c r="L1745" s="18"/>
      <c r="M1745" s="17"/>
      <c r="N1745" s="18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</row>
    <row r="1746" spans="1:30" ht="15.6" x14ac:dyDescent="0.3">
      <c r="A1746" s="17"/>
      <c r="B1746" s="17"/>
      <c r="C1746" s="17"/>
      <c r="D1746" s="17"/>
      <c r="E1746" s="17"/>
      <c r="F1746" s="17"/>
      <c r="G1746" s="17"/>
      <c r="H1746" s="18"/>
      <c r="I1746" s="17"/>
      <c r="J1746" s="17"/>
      <c r="K1746" s="17"/>
      <c r="L1746" s="18"/>
      <c r="M1746" s="17"/>
      <c r="N1746" s="18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</row>
    <row r="1747" spans="1:30" ht="15.6" x14ac:dyDescent="0.3">
      <c r="A1747" s="17"/>
      <c r="B1747" s="17"/>
      <c r="C1747" s="17"/>
      <c r="D1747" s="17"/>
      <c r="E1747" s="17"/>
      <c r="F1747" s="17"/>
      <c r="G1747" s="17"/>
      <c r="H1747" s="18"/>
      <c r="I1747" s="17"/>
      <c r="J1747" s="17"/>
      <c r="K1747" s="17"/>
      <c r="L1747" s="18"/>
      <c r="M1747" s="17"/>
      <c r="N1747" s="18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</row>
    <row r="1748" spans="1:30" ht="15.6" x14ac:dyDescent="0.3">
      <c r="A1748" s="17"/>
      <c r="B1748" s="17"/>
      <c r="C1748" s="17"/>
      <c r="D1748" s="17"/>
      <c r="E1748" s="17"/>
      <c r="F1748" s="17"/>
      <c r="G1748" s="17"/>
      <c r="H1748" s="18"/>
      <c r="I1748" s="17"/>
      <c r="J1748" s="17"/>
      <c r="K1748" s="17"/>
      <c r="L1748" s="18"/>
      <c r="M1748" s="17"/>
      <c r="N1748" s="18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</row>
    <row r="1749" spans="1:30" ht="15.6" x14ac:dyDescent="0.3">
      <c r="A1749" s="17"/>
      <c r="B1749" s="17"/>
      <c r="C1749" s="17"/>
      <c r="D1749" s="17"/>
      <c r="E1749" s="17"/>
      <c r="F1749" s="17"/>
      <c r="G1749" s="17"/>
      <c r="H1749" s="18"/>
      <c r="I1749" s="17"/>
      <c r="J1749" s="17"/>
      <c r="K1749" s="17"/>
      <c r="L1749" s="18"/>
      <c r="M1749" s="17"/>
      <c r="N1749" s="18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</row>
    <row r="1750" spans="1:30" ht="15.6" x14ac:dyDescent="0.3">
      <c r="A1750" s="17"/>
      <c r="B1750" s="17"/>
      <c r="C1750" s="17"/>
      <c r="D1750" s="17"/>
      <c r="E1750" s="17"/>
      <c r="F1750" s="17"/>
      <c r="G1750" s="17"/>
      <c r="H1750" s="18"/>
      <c r="I1750" s="17"/>
      <c r="J1750" s="17"/>
      <c r="K1750" s="17"/>
      <c r="L1750" s="18"/>
      <c r="M1750" s="17"/>
      <c r="N1750" s="18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</row>
    <row r="1751" spans="1:30" ht="15.6" x14ac:dyDescent="0.3">
      <c r="A1751" s="17"/>
      <c r="B1751" s="17"/>
      <c r="C1751" s="17"/>
      <c r="D1751" s="17"/>
      <c r="E1751" s="17"/>
      <c r="F1751" s="17"/>
      <c r="G1751" s="17"/>
      <c r="H1751" s="18"/>
      <c r="I1751" s="17"/>
      <c r="J1751" s="17"/>
      <c r="K1751" s="17"/>
      <c r="L1751" s="18"/>
      <c r="M1751" s="17"/>
      <c r="N1751" s="18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</row>
    <row r="1752" spans="1:30" ht="15.6" x14ac:dyDescent="0.3">
      <c r="A1752" s="17"/>
      <c r="B1752" s="17"/>
      <c r="C1752" s="17"/>
      <c r="D1752" s="17"/>
      <c r="E1752" s="17"/>
      <c r="F1752" s="17"/>
      <c r="G1752" s="17"/>
      <c r="H1752" s="18"/>
      <c r="I1752" s="17"/>
      <c r="J1752" s="17"/>
      <c r="K1752" s="17"/>
      <c r="L1752" s="18"/>
      <c r="M1752" s="17"/>
      <c r="N1752" s="18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</row>
    <row r="1753" spans="1:30" ht="15.6" x14ac:dyDescent="0.3">
      <c r="A1753" s="17"/>
      <c r="B1753" s="17"/>
      <c r="C1753" s="17"/>
      <c r="D1753" s="17"/>
      <c r="E1753" s="17"/>
      <c r="F1753" s="17"/>
      <c r="G1753" s="17"/>
      <c r="H1753" s="18"/>
      <c r="I1753" s="17"/>
      <c r="J1753" s="17"/>
      <c r="K1753" s="17"/>
      <c r="L1753" s="18"/>
      <c r="M1753" s="17"/>
      <c r="N1753" s="18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</row>
    <row r="1754" spans="1:30" ht="15.6" x14ac:dyDescent="0.3">
      <c r="A1754" s="17"/>
      <c r="B1754" s="17"/>
      <c r="C1754" s="17"/>
      <c r="D1754" s="17"/>
      <c r="E1754" s="17"/>
      <c r="F1754" s="17"/>
      <c r="G1754" s="17"/>
      <c r="H1754" s="18"/>
      <c r="I1754" s="17"/>
      <c r="J1754" s="17"/>
      <c r="K1754" s="17"/>
      <c r="L1754" s="18"/>
      <c r="M1754" s="17"/>
      <c r="N1754" s="18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</row>
    <row r="1755" spans="1:30" ht="15.6" x14ac:dyDescent="0.3">
      <c r="A1755" s="17"/>
      <c r="B1755" s="17"/>
      <c r="C1755" s="17"/>
      <c r="D1755" s="17"/>
      <c r="E1755" s="17"/>
      <c r="F1755" s="17"/>
      <c r="G1755" s="17"/>
      <c r="H1755" s="18"/>
      <c r="I1755" s="17"/>
      <c r="J1755" s="17"/>
      <c r="K1755" s="17"/>
      <c r="L1755" s="18"/>
      <c r="M1755" s="17"/>
      <c r="N1755" s="18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</row>
    <row r="1756" spans="1:30" ht="15.6" x14ac:dyDescent="0.3">
      <c r="A1756" s="17"/>
      <c r="B1756" s="17"/>
      <c r="C1756" s="17"/>
      <c r="D1756" s="17"/>
      <c r="E1756" s="17"/>
      <c r="F1756" s="17"/>
      <c r="G1756" s="17"/>
      <c r="H1756" s="18"/>
      <c r="I1756" s="17"/>
      <c r="J1756" s="17"/>
      <c r="K1756" s="17"/>
      <c r="L1756" s="18"/>
      <c r="M1756" s="17"/>
      <c r="N1756" s="18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</row>
    <row r="1757" spans="1:30" ht="15.6" x14ac:dyDescent="0.3">
      <c r="A1757" s="17"/>
      <c r="B1757" s="17"/>
      <c r="C1757" s="17"/>
      <c r="D1757" s="17"/>
      <c r="E1757" s="17"/>
      <c r="F1757" s="17"/>
      <c r="G1757" s="17"/>
      <c r="H1757" s="18"/>
      <c r="I1757" s="17"/>
      <c r="J1757" s="17"/>
      <c r="K1757" s="17"/>
      <c r="L1757" s="18"/>
      <c r="M1757" s="17"/>
      <c r="N1757" s="18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</row>
    <row r="1758" spans="1:30" ht="15.6" x14ac:dyDescent="0.3">
      <c r="A1758" s="17"/>
      <c r="B1758" s="17"/>
      <c r="C1758" s="17"/>
      <c r="D1758" s="17"/>
      <c r="E1758" s="17"/>
      <c r="F1758" s="17"/>
      <c r="G1758" s="17"/>
      <c r="H1758" s="18"/>
      <c r="I1758" s="17"/>
      <c r="J1758" s="17"/>
      <c r="K1758" s="17"/>
      <c r="L1758" s="18"/>
      <c r="M1758" s="17"/>
      <c r="N1758" s="18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</row>
    <row r="1759" spans="1:30" ht="15.6" x14ac:dyDescent="0.3">
      <c r="A1759" s="17"/>
      <c r="B1759" s="17"/>
      <c r="C1759" s="17"/>
      <c r="D1759" s="17"/>
      <c r="E1759" s="17"/>
      <c r="F1759" s="17"/>
      <c r="G1759" s="17"/>
      <c r="H1759" s="18"/>
      <c r="I1759" s="17"/>
      <c r="J1759" s="17"/>
      <c r="K1759" s="17"/>
      <c r="L1759" s="18"/>
      <c r="M1759" s="17"/>
      <c r="N1759" s="18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</row>
  </sheetData>
  <hyperlinks>
    <hyperlink ref="B2" r:id="rId1" xr:uid="{00000000-0004-0000-0000-000000000000}"/>
    <hyperlink ref="D2" r:id="rId2" xr:uid="{00000000-0004-0000-0000-000001000000}"/>
    <hyperlink ref="E2" r:id="rId3" xr:uid="{00000000-0004-0000-0000-000002000000}"/>
    <hyperlink ref="B3" r:id="rId4" xr:uid="{00000000-0004-0000-0000-000003000000}"/>
    <hyperlink ref="D3" r:id="rId5" xr:uid="{00000000-0004-0000-0000-000004000000}"/>
    <hyperlink ref="E3" r:id="rId6" xr:uid="{00000000-0004-0000-0000-000005000000}"/>
    <hyperlink ref="B4" r:id="rId7" xr:uid="{00000000-0004-0000-0000-000006000000}"/>
    <hyperlink ref="D4" r:id="rId8" xr:uid="{00000000-0004-0000-0000-000007000000}"/>
    <hyperlink ref="E4" r:id="rId9" xr:uid="{00000000-0004-0000-0000-000008000000}"/>
    <hyperlink ref="B5" r:id="rId10" xr:uid="{00000000-0004-0000-0000-000009000000}"/>
    <hyperlink ref="D5" r:id="rId11" xr:uid="{00000000-0004-0000-0000-00000A000000}"/>
    <hyperlink ref="E5" r:id="rId12" xr:uid="{00000000-0004-0000-0000-00000B000000}"/>
    <hyperlink ref="B6" r:id="rId13" xr:uid="{00000000-0004-0000-0000-00000C000000}"/>
    <hyperlink ref="D6" r:id="rId14" xr:uid="{00000000-0004-0000-0000-00000D000000}"/>
    <hyperlink ref="E6" r:id="rId15" xr:uid="{00000000-0004-0000-0000-00000E000000}"/>
    <hyperlink ref="V6" r:id="rId16" xr:uid="{00000000-0004-0000-0000-00000F000000}"/>
    <hyperlink ref="W6" r:id="rId17" xr:uid="{00000000-0004-0000-0000-000010000000}"/>
    <hyperlink ref="X6" r:id="rId18" xr:uid="{00000000-0004-0000-0000-000011000000}"/>
    <hyperlink ref="Y6" r:id="rId19" xr:uid="{00000000-0004-0000-0000-000012000000}"/>
    <hyperlink ref="B7" r:id="rId20" xr:uid="{00000000-0004-0000-0000-000013000000}"/>
    <hyperlink ref="D7" r:id="rId21" xr:uid="{00000000-0004-0000-0000-000014000000}"/>
    <hyperlink ref="E7" r:id="rId22" xr:uid="{00000000-0004-0000-0000-000015000000}"/>
    <hyperlink ref="B8" r:id="rId23" xr:uid="{00000000-0004-0000-0000-000016000000}"/>
    <hyperlink ref="D8" r:id="rId24" xr:uid="{00000000-0004-0000-0000-000017000000}"/>
    <hyperlink ref="E8" r:id="rId25" xr:uid="{00000000-0004-0000-0000-000018000000}"/>
    <hyperlink ref="B9" r:id="rId26" xr:uid="{00000000-0004-0000-0000-000019000000}"/>
    <hyperlink ref="D9" r:id="rId27" xr:uid="{00000000-0004-0000-0000-00001A000000}"/>
    <hyperlink ref="E9" r:id="rId28" xr:uid="{00000000-0004-0000-0000-00001B000000}"/>
    <hyperlink ref="B10" r:id="rId29" xr:uid="{00000000-0004-0000-0000-00001C000000}"/>
    <hyperlink ref="D10" r:id="rId30" xr:uid="{00000000-0004-0000-0000-00001D000000}"/>
    <hyperlink ref="E10" r:id="rId31" xr:uid="{00000000-0004-0000-0000-00001E000000}"/>
    <hyperlink ref="B11" r:id="rId32" xr:uid="{00000000-0004-0000-0000-00001F000000}"/>
    <hyperlink ref="D11" r:id="rId33" xr:uid="{00000000-0004-0000-0000-000020000000}"/>
    <hyperlink ref="E11" r:id="rId34" xr:uid="{00000000-0004-0000-0000-000021000000}"/>
    <hyperlink ref="B12" r:id="rId35" xr:uid="{00000000-0004-0000-0000-000022000000}"/>
    <hyperlink ref="D12" r:id="rId36" xr:uid="{00000000-0004-0000-0000-000023000000}"/>
    <hyperlink ref="E12" r:id="rId37" xr:uid="{00000000-0004-0000-0000-000024000000}"/>
    <hyperlink ref="B13" r:id="rId38" xr:uid="{00000000-0004-0000-0000-000025000000}"/>
    <hyperlink ref="D13" r:id="rId39" xr:uid="{00000000-0004-0000-0000-000026000000}"/>
    <hyperlink ref="E13" r:id="rId40" xr:uid="{00000000-0004-0000-0000-000027000000}"/>
    <hyperlink ref="B14" r:id="rId41" xr:uid="{00000000-0004-0000-0000-000028000000}"/>
    <hyperlink ref="D14" r:id="rId42" xr:uid="{00000000-0004-0000-0000-000029000000}"/>
    <hyperlink ref="E14" r:id="rId43" xr:uid="{00000000-0004-0000-0000-00002A000000}"/>
    <hyperlink ref="B15" r:id="rId44" xr:uid="{00000000-0004-0000-0000-00002B000000}"/>
    <hyperlink ref="D15" r:id="rId45" xr:uid="{00000000-0004-0000-0000-00002C000000}"/>
    <hyperlink ref="E15" r:id="rId46" xr:uid="{00000000-0004-0000-0000-00002D000000}"/>
    <hyperlink ref="B16" r:id="rId47" xr:uid="{00000000-0004-0000-0000-00002E000000}"/>
    <hyperlink ref="D16" r:id="rId48" xr:uid="{00000000-0004-0000-0000-00002F000000}"/>
    <hyperlink ref="E16" r:id="rId49" xr:uid="{00000000-0004-0000-0000-000030000000}"/>
    <hyperlink ref="B17" r:id="rId50" xr:uid="{00000000-0004-0000-0000-000031000000}"/>
    <hyperlink ref="D17" r:id="rId51" xr:uid="{00000000-0004-0000-0000-000032000000}"/>
    <hyperlink ref="E17" r:id="rId52" xr:uid="{00000000-0004-0000-0000-000033000000}"/>
    <hyperlink ref="B18" r:id="rId53" xr:uid="{00000000-0004-0000-0000-000034000000}"/>
    <hyperlink ref="D18" r:id="rId54" xr:uid="{00000000-0004-0000-0000-000035000000}"/>
    <hyperlink ref="E18" r:id="rId55" xr:uid="{00000000-0004-0000-0000-000036000000}"/>
    <hyperlink ref="V18" r:id="rId56" xr:uid="{00000000-0004-0000-0000-000037000000}"/>
    <hyperlink ref="W18" r:id="rId57" xr:uid="{00000000-0004-0000-0000-000038000000}"/>
    <hyperlink ref="B19" r:id="rId58" xr:uid="{00000000-0004-0000-0000-000039000000}"/>
    <hyperlink ref="D19" r:id="rId59" xr:uid="{00000000-0004-0000-0000-00003A000000}"/>
    <hyperlink ref="E19" r:id="rId60" xr:uid="{00000000-0004-0000-0000-00003B000000}"/>
    <hyperlink ref="B20" r:id="rId61" xr:uid="{00000000-0004-0000-0000-00003C000000}"/>
    <hyperlink ref="D20" r:id="rId62" xr:uid="{00000000-0004-0000-0000-00003D000000}"/>
    <hyperlink ref="E20" r:id="rId63" xr:uid="{00000000-0004-0000-0000-00003E000000}"/>
    <hyperlink ref="B21" r:id="rId64" xr:uid="{00000000-0004-0000-0000-00003F000000}"/>
    <hyperlink ref="D21" r:id="rId65" xr:uid="{00000000-0004-0000-0000-000040000000}"/>
    <hyperlink ref="E21" r:id="rId66" xr:uid="{00000000-0004-0000-0000-000041000000}"/>
    <hyperlink ref="B22" r:id="rId67" xr:uid="{00000000-0004-0000-0000-000042000000}"/>
    <hyperlink ref="D22" r:id="rId68" xr:uid="{00000000-0004-0000-0000-000043000000}"/>
    <hyperlink ref="E22" r:id="rId69" xr:uid="{00000000-0004-0000-0000-000044000000}"/>
    <hyperlink ref="B23" r:id="rId70" xr:uid="{00000000-0004-0000-0000-000045000000}"/>
    <hyperlink ref="D23" r:id="rId71" xr:uid="{00000000-0004-0000-0000-000046000000}"/>
    <hyperlink ref="E23" r:id="rId72" xr:uid="{00000000-0004-0000-0000-000047000000}"/>
    <hyperlink ref="B24" r:id="rId73" xr:uid="{00000000-0004-0000-0000-000048000000}"/>
    <hyperlink ref="D24" r:id="rId74" xr:uid="{00000000-0004-0000-0000-000049000000}"/>
    <hyperlink ref="E24" r:id="rId75" xr:uid="{00000000-0004-0000-0000-00004A000000}"/>
    <hyperlink ref="V24" r:id="rId76" xr:uid="{00000000-0004-0000-0000-00004B000000}"/>
    <hyperlink ref="W24" r:id="rId77" xr:uid="{00000000-0004-0000-0000-00004C000000}"/>
    <hyperlink ref="B25" r:id="rId78" xr:uid="{00000000-0004-0000-0000-00004D000000}"/>
    <hyperlink ref="D25" r:id="rId79" xr:uid="{00000000-0004-0000-0000-00004E000000}"/>
    <hyperlink ref="E25" r:id="rId80" xr:uid="{00000000-0004-0000-0000-00004F000000}"/>
    <hyperlink ref="B26" r:id="rId81" xr:uid="{00000000-0004-0000-0000-000050000000}"/>
    <hyperlink ref="D26" r:id="rId82" xr:uid="{00000000-0004-0000-0000-000051000000}"/>
    <hyperlink ref="E26" r:id="rId83" xr:uid="{00000000-0004-0000-0000-000052000000}"/>
    <hyperlink ref="B27" r:id="rId84" xr:uid="{00000000-0004-0000-0000-000053000000}"/>
    <hyperlink ref="D27" r:id="rId85" xr:uid="{00000000-0004-0000-0000-000054000000}"/>
    <hyperlink ref="E27" r:id="rId86" xr:uid="{00000000-0004-0000-0000-000055000000}"/>
    <hyperlink ref="V27" r:id="rId87" xr:uid="{00000000-0004-0000-0000-000056000000}"/>
    <hyperlink ref="W27" r:id="rId88" xr:uid="{00000000-0004-0000-0000-000057000000}"/>
    <hyperlink ref="B28" r:id="rId89" xr:uid="{00000000-0004-0000-0000-000058000000}"/>
    <hyperlink ref="D28" r:id="rId90" xr:uid="{00000000-0004-0000-0000-000059000000}"/>
    <hyperlink ref="E28" r:id="rId91" xr:uid="{00000000-0004-0000-0000-00005A000000}"/>
    <hyperlink ref="V28" r:id="rId92" xr:uid="{00000000-0004-0000-0000-00005B000000}"/>
    <hyperlink ref="W28" r:id="rId93" xr:uid="{00000000-0004-0000-0000-00005C000000}"/>
    <hyperlink ref="X28" r:id="rId94" xr:uid="{00000000-0004-0000-0000-00005D000000}"/>
    <hyperlink ref="Y28" r:id="rId95" xr:uid="{00000000-0004-0000-0000-00005E000000}"/>
    <hyperlink ref="Z28" r:id="rId96" xr:uid="{00000000-0004-0000-0000-00005F000000}"/>
    <hyperlink ref="AA28" r:id="rId97" xr:uid="{00000000-0004-0000-0000-000060000000}"/>
    <hyperlink ref="AB28" r:id="rId98" xr:uid="{00000000-0004-0000-0000-000061000000}"/>
    <hyperlink ref="AC28" r:id="rId99" xr:uid="{00000000-0004-0000-0000-000062000000}"/>
    <hyperlink ref="AD28" r:id="rId100" xr:uid="{00000000-0004-0000-0000-000063000000}"/>
    <hyperlink ref="B29" r:id="rId101" xr:uid="{00000000-0004-0000-0000-000064000000}"/>
    <hyperlink ref="D29" r:id="rId102" xr:uid="{00000000-0004-0000-0000-000065000000}"/>
    <hyperlink ref="E29" r:id="rId103" xr:uid="{00000000-0004-0000-0000-000066000000}"/>
    <hyperlink ref="B30" r:id="rId104" xr:uid="{00000000-0004-0000-0000-000067000000}"/>
    <hyperlink ref="D30" r:id="rId105" xr:uid="{00000000-0004-0000-0000-000068000000}"/>
    <hyperlink ref="E30" r:id="rId106" xr:uid="{00000000-0004-0000-0000-000069000000}"/>
    <hyperlink ref="B31" r:id="rId107" xr:uid="{00000000-0004-0000-0000-00006A000000}"/>
    <hyperlink ref="D31" r:id="rId108" xr:uid="{00000000-0004-0000-0000-00006B000000}"/>
    <hyperlink ref="E31" r:id="rId109" xr:uid="{00000000-0004-0000-0000-00006C000000}"/>
    <hyperlink ref="B32" r:id="rId110" xr:uid="{00000000-0004-0000-0000-00006D000000}"/>
    <hyperlink ref="D32" r:id="rId111" xr:uid="{00000000-0004-0000-0000-00006E000000}"/>
    <hyperlink ref="E32" r:id="rId112" xr:uid="{00000000-0004-0000-0000-00006F000000}"/>
    <hyperlink ref="B33" r:id="rId113" xr:uid="{00000000-0004-0000-0000-000070000000}"/>
    <hyperlink ref="D33" r:id="rId114" xr:uid="{00000000-0004-0000-0000-000071000000}"/>
    <hyperlink ref="E33" r:id="rId115" xr:uid="{00000000-0004-0000-0000-000072000000}"/>
    <hyperlink ref="B34" r:id="rId116" xr:uid="{00000000-0004-0000-0000-000073000000}"/>
    <hyperlink ref="D34" r:id="rId117" xr:uid="{00000000-0004-0000-0000-000074000000}"/>
    <hyperlink ref="E34" r:id="rId118" xr:uid="{00000000-0004-0000-0000-000075000000}"/>
    <hyperlink ref="B35" r:id="rId119" xr:uid="{00000000-0004-0000-0000-000076000000}"/>
    <hyperlink ref="D35" r:id="rId120" xr:uid="{00000000-0004-0000-0000-000077000000}"/>
    <hyperlink ref="E35" r:id="rId121" xr:uid="{00000000-0004-0000-0000-000078000000}"/>
    <hyperlink ref="B36" r:id="rId122" xr:uid="{00000000-0004-0000-0000-000079000000}"/>
    <hyperlink ref="D36" r:id="rId123" xr:uid="{00000000-0004-0000-0000-00007A000000}"/>
    <hyperlink ref="E36" r:id="rId124" xr:uid="{00000000-0004-0000-0000-00007B000000}"/>
    <hyperlink ref="V36" r:id="rId125" xr:uid="{00000000-0004-0000-0000-00007C000000}"/>
    <hyperlink ref="W36" r:id="rId126" xr:uid="{00000000-0004-0000-0000-00007D000000}"/>
    <hyperlink ref="X36" r:id="rId127" xr:uid="{00000000-0004-0000-0000-00007E000000}"/>
    <hyperlink ref="Y36" r:id="rId128" xr:uid="{00000000-0004-0000-0000-00007F000000}"/>
    <hyperlink ref="B37" r:id="rId129" xr:uid="{00000000-0004-0000-0000-000080000000}"/>
    <hyperlink ref="D37" r:id="rId130" xr:uid="{00000000-0004-0000-0000-000081000000}"/>
    <hyperlink ref="E37" r:id="rId131" xr:uid="{00000000-0004-0000-0000-000082000000}"/>
    <hyperlink ref="B38" r:id="rId132" xr:uid="{00000000-0004-0000-0000-000083000000}"/>
    <hyperlink ref="D38" r:id="rId133" xr:uid="{00000000-0004-0000-0000-000084000000}"/>
    <hyperlink ref="E38" r:id="rId134" xr:uid="{00000000-0004-0000-0000-000085000000}"/>
    <hyperlink ref="B39" r:id="rId135" xr:uid="{00000000-0004-0000-0000-000086000000}"/>
    <hyperlink ref="D39" r:id="rId136" xr:uid="{00000000-0004-0000-0000-000087000000}"/>
    <hyperlink ref="E39" r:id="rId137" xr:uid="{00000000-0004-0000-0000-000088000000}"/>
    <hyperlink ref="B40" r:id="rId138" xr:uid="{00000000-0004-0000-0000-000089000000}"/>
    <hyperlink ref="D40" r:id="rId139" xr:uid="{00000000-0004-0000-0000-00008A000000}"/>
    <hyperlink ref="E40" r:id="rId140" xr:uid="{00000000-0004-0000-0000-00008B000000}"/>
    <hyperlink ref="B41" r:id="rId141" xr:uid="{00000000-0004-0000-0000-00008C000000}"/>
    <hyperlink ref="D41" r:id="rId142" xr:uid="{00000000-0004-0000-0000-00008D000000}"/>
    <hyperlink ref="E41" r:id="rId143" xr:uid="{00000000-0004-0000-0000-00008E000000}"/>
    <hyperlink ref="B42" r:id="rId144" xr:uid="{00000000-0004-0000-0000-00008F000000}"/>
    <hyperlink ref="D42" r:id="rId145" xr:uid="{00000000-0004-0000-0000-000090000000}"/>
    <hyperlink ref="E42" r:id="rId146" xr:uid="{00000000-0004-0000-0000-000091000000}"/>
    <hyperlink ref="B43" r:id="rId147" xr:uid="{00000000-0004-0000-0000-000092000000}"/>
    <hyperlink ref="D43" r:id="rId148" xr:uid="{00000000-0004-0000-0000-000093000000}"/>
    <hyperlink ref="E43" r:id="rId149" xr:uid="{00000000-0004-0000-0000-000094000000}"/>
    <hyperlink ref="B44" r:id="rId150" xr:uid="{00000000-0004-0000-0000-000095000000}"/>
    <hyperlink ref="D44" r:id="rId151" xr:uid="{00000000-0004-0000-0000-000096000000}"/>
    <hyperlink ref="E44" r:id="rId152" xr:uid="{00000000-0004-0000-0000-000097000000}"/>
    <hyperlink ref="B45" r:id="rId153" xr:uid="{00000000-0004-0000-0000-000098000000}"/>
    <hyperlink ref="D45" r:id="rId154" xr:uid="{00000000-0004-0000-0000-000099000000}"/>
    <hyperlink ref="E45" r:id="rId155" xr:uid="{00000000-0004-0000-0000-00009A000000}"/>
    <hyperlink ref="B46" r:id="rId156" xr:uid="{00000000-0004-0000-0000-00009B000000}"/>
    <hyperlink ref="D46" r:id="rId157" xr:uid="{00000000-0004-0000-0000-00009C000000}"/>
    <hyperlink ref="E46" r:id="rId158" xr:uid="{00000000-0004-0000-0000-00009D000000}"/>
    <hyperlink ref="B47" r:id="rId159" xr:uid="{00000000-0004-0000-0000-00009E000000}"/>
    <hyperlink ref="D47" r:id="rId160" xr:uid="{00000000-0004-0000-0000-00009F000000}"/>
    <hyperlink ref="E47" r:id="rId161" xr:uid="{00000000-0004-0000-0000-0000A0000000}"/>
    <hyperlink ref="B48" r:id="rId162" xr:uid="{00000000-0004-0000-0000-0000A1000000}"/>
    <hyperlink ref="D48" r:id="rId163" xr:uid="{00000000-0004-0000-0000-0000A2000000}"/>
    <hyperlink ref="E48" r:id="rId164" xr:uid="{00000000-0004-0000-0000-0000A3000000}"/>
    <hyperlink ref="B49" r:id="rId165" xr:uid="{00000000-0004-0000-0000-0000A4000000}"/>
    <hyperlink ref="D49" r:id="rId166" xr:uid="{00000000-0004-0000-0000-0000A5000000}"/>
    <hyperlink ref="E49" r:id="rId167" xr:uid="{00000000-0004-0000-0000-0000A6000000}"/>
    <hyperlink ref="B50" r:id="rId168" xr:uid="{00000000-0004-0000-0000-0000A7000000}"/>
    <hyperlink ref="D50" r:id="rId169" xr:uid="{00000000-0004-0000-0000-0000A8000000}"/>
    <hyperlink ref="E50" r:id="rId170" xr:uid="{00000000-0004-0000-0000-0000A9000000}"/>
    <hyperlink ref="B51" r:id="rId171" xr:uid="{00000000-0004-0000-0000-0000AA000000}"/>
    <hyperlink ref="D51" r:id="rId172" xr:uid="{00000000-0004-0000-0000-0000AB000000}"/>
    <hyperlink ref="E51" r:id="rId173" xr:uid="{00000000-0004-0000-0000-0000AC000000}"/>
    <hyperlink ref="B52" r:id="rId174" xr:uid="{00000000-0004-0000-0000-0000AD000000}"/>
    <hyperlink ref="D52" r:id="rId175" xr:uid="{00000000-0004-0000-0000-0000AE000000}"/>
    <hyperlink ref="E52" r:id="rId176" xr:uid="{00000000-0004-0000-0000-0000AF000000}"/>
    <hyperlink ref="B53" r:id="rId177" xr:uid="{00000000-0004-0000-0000-0000B0000000}"/>
    <hyperlink ref="D53" r:id="rId178" xr:uid="{00000000-0004-0000-0000-0000B1000000}"/>
    <hyperlink ref="E53" r:id="rId179" xr:uid="{00000000-0004-0000-0000-0000B2000000}"/>
    <hyperlink ref="B54" r:id="rId180" xr:uid="{00000000-0004-0000-0000-0000B3000000}"/>
    <hyperlink ref="D54" r:id="rId181" xr:uid="{00000000-0004-0000-0000-0000B4000000}"/>
    <hyperlink ref="E54" r:id="rId182" xr:uid="{00000000-0004-0000-0000-0000B5000000}"/>
    <hyperlink ref="B55" r:id="rId183" xr:uid="{00000000-0004-0000-0000-0000B6000000}"/>
    <hyperlink ref="D55" r:id="rId184" xr:uid="{00000000-0004-0000-0000-0000B7000000}"/>
    <hyperlink ref="E55" r:id="rId185" xr:uid="{00000000-0004-0000-0000-0000B8000000}"/>
    <hyperlink ref="B56" r:id="rId186" xr:uid="{00000000-0004-0000-0000-0000B9000000}"/>
    <hyperlink ref="D56" r:id="rId187" xr:uid="{00000000-0004-0000-0000-0000BA000000}"/>
    <hyperlink ref="E56" r:id="rId188" xr:uid="{00000000-0004-0000-0000-0000BB000000}"/>
    <hyperlink ref="B57" r:id="rId189" xr:uid="{00000000-0004-0000-0000-0000BC000000}"/>
    <hyperlink ref="D57" r:id="rId190" xr:uid="{00000000-0004-0000-0000-0000BD000000}"/>
    <hyperlink ref="E57" r:id="rId191" xr:uid="{00000000-0004-0000-0000-0000BE000000}"/>
    <hyperlink ref="B58" r:id="rId192" xr:uid="{00000000-0004-0000-0000-0000BF000000}"/>
    <hyperlink ref="D58" r:id="rId193" xr:uid="{00000000-0004-0000-0000-0000C0000000}"/>
    <hyperlink ref="E58" r:id="rId194" xr:uid="{00000000-0004-0000-0000-0000C1000000}"/>
    <hyperlink ref="B59" r:id="rId195" xr:uid="{00000000-0004-0000-0000-0000C2000000}"/>
    <hyperlink ref="D59" r:id="rId196" xr:uid="{00000000-0004-0000-0000-0000C3000000}"/>
    <hyperlink ref="E59" r:id="rId197" xr:uid="{00000000-0004-0000-0000-0000C4000000}"/>
    <hyperlink ref="B60" r:id="rId198" xr:uid="{00000000-0004-0000-0000-0000C5000000}"/>
    <hyperlink ref="D60" r:id="rId199" xr:uid="{00000000-0004-0000-0000-0000C6000000}"/>
    <hyperlink ref="E60" r:id="rId200" xr:uid="{00000000-0004-0000-0000-0000C7000000}"/>
    <hyperlink ref="B61" r:id="rId201" xr:uid="{00000000-0004-0000-0000-0000C8000000}"/>
    <hyperlink ref="D61" r:id="rId202" xr:uid="{00000000-0004-0000-0000-0000C9000000}"/>
    <hyperlink ref="E61" r:id="rId203" xr:uid="{00000000-0004-0000-0000-0000CA000000}"/>
    <hyperlink ref="B62" r:id="rId204" xr:uid="{00000000-0004-0000-0000-0000CB000000}"/>
    <hyperlink ref="D62" r:id="rId205" xr:uid="{00000000-0004-0000-0000-0000CC000000}"/>
    <hyperlink ref="E62" r:id="rId206" xr:uid="{00000000-0004-0000-0000-0000CD000000}"/>
    <hyperlink ref="V62" r:id="rId207" xr:uid="{00000000-0004-0000-0000-0000CE000000}"/>
    <hyperlink ref="W62" r:id="rId208" xr:uid="{00000000-0004-0000-0000-0000CF000000}"/>
    <hyperlink ref="X62" r:id="rId209" xr:uid="{00000000-0004-0000-0000-0000D0000000}"/>
    <hyperlink ref="Y62" r:id="rId210" xr:uid="{00000000-0004-0000-0000-0000D1000000}"/>
    <hyperlink ref="Z62" r:id="rId211" xr:uid="{00000000-0004-0000-0000-0000D2000000}"/>
    <hyperlink ref="AA62" r:id="rId212" xr:uid="{00000000-0004-0000-0000-0000D3000000}"/>
    <hyperlink ref="AB62" r:id="rId213" xr:uid="{00000000-0004-0000-0000-0000D4000000}"/>
    <hyperlink ref="AC62" r:id="rId214" xr:uid="{00000000-0004-0000-0000-0000D5000000}"/>
    <hyperlink ref="AD62" r:id="rId215" xr:uid="{00000000-0004-0000-0000-0000D6000000}"/>
    <hyperlink ref="B63" r:id="rId216" xr:uid="{00000000-0004-0000-0000-0000D7000000}"/>
    <hyperlink ref="D63" r:id="rId217" xr:uid="{00000000-0004-0000-0000-0000D8000000}"/>
    <hyperlink ref="E63" r:id="rId218" xr:uid="{00000000-0004-0000-0000-0000D9000000}"/>
    <hyperlink ref="V63" r:id="rId219" xr:uid="{00000000-0004-0000-0000-0000DA000000}"/>
    <hyperlink ref="W63" r:id="rId220" xr:uid="{00000000-0004-0000-0000-0000DB000000}"/>
    <hyperlink ref="B64" r:id="rId221" xr:uid="{00000000-0004-0000-0000-0000DC000000}"/>
    <hyperlink ref="D64" r:id="rId222" xr:uid="{00000000-0004-0000-0000-0000DD000000}"/>
    <hyperlink ref="E64" r:id="rId223" xr:uid="{00000000-0004-0000-0000-0000DE000000}"/>
    <hyperlink ref="B65" r:id="rId224" xr:uid="{00000000-0004-0000-0000-0000DF000000}"/>
    <hyperlink ref="D65" r:id="rId225" xr:uid="{00000000-0004-0000-0000-0000E0000000}"/>
    <hyperlink ref="E65" r:id="rId226" xr:uid="{00000000-0004-0000-0000-0000E1000000}"/>
    <hyperlink ref="B66" r:id="rId227" xr:uid="{00000000-0004-0000-0000-0000E2000000}"/>
    <hyperlink ref="D66" r:id="rId228" xr:uid="{00000000-0004-0000-0000-0000E3000000}"/>
    <hyperlink ref="E66" r:id="rId229" xr:uid="{00000000-0004-0000-0000-0000E4000000}"/>
    <hyperlink ref="V66" r:id="rId230" xr:uid="{00000000-0004-0000-0000-0000E5000000}"/>
    <hyperlink ref="W66" r:id="rId231" xr:uid="{00000000-0004-0000-0000-0000E6000000}"/>
    <hyperlink ref="B67" r:id="rId232" xr:uid="{00000000-0004-0000-0000-0000E7000000}"/>
    <hyperlink ref="D67" r:id="rId233" xr:uid="{00000000-0004-0000-0000-0000E8000000}"/>
    <hyperlink ref="B68" r:id="rId234" xr:uid="{00000000-0004-0000-0000-0000E9000000}"/>
    <hyperlink ref="D68" r:id="rId235" xr:uid="{00000000-0004-0000-0000-0000EA000000}"/>
    <hyperlink ref="B69" r:id="rId236" xr:uid="{00000000-0004-0000-0000-0000EB000000}"/>
    <hyperlink ref="D69" r:id="rId237" xr:uid="{00000000-0004-0000-0000-0000EC000000}"/>
    <hyperlink ref="E69" r:id="rId238" xr:uid="{00000000-0004-0000-0000-0000ED000000}"/>
    <hyperlink ref="B70" r:id="rId239" xr:uid="{00000000-0004-0000-0000-0000EE000000}"/>
    <hyperlink ref="D70" r:id="rId240" xr:uid="{00000000-0004-0000-0000-0000EF000000}"/>
    <hyperlink ref="E70" r:id="rId241" xr:uid="{00000000-0004-0000-0000-0000F0000000}"/>
    <hyperlink ref="B71" r:id="rId242" xr:uid="{00000000-0004-0000-0000-0000F1000000}"/>
    <hyperlink ref="D71" r:id="rId243" xr:uid="{00000000-0004-0000-0000-0000F2000000}"/>
    <hyperlink ref="E71" r:id="rId244" xr:uid="{00000000-0004-0000-0000-0000F3000000}"/>
    <hyperlink ref="B72" r:id="rId245" xr:uid="{00000000-0004-0000-0000-0000F4000000}"/>
    <hyperlink ref="D72" r:id="rId246" xr:uid="{00000000-0004-0000-0000-0000F5000000}"/>
    <hyperlink ref="E72" r:id="rId247" xr:uid="{00000000-0004-0000-0000-0000F6000000}"/>
    <hyperlink ref="B73" r:id="rId248" xr:uid="{00000000-0004-0000-0000-0000F7000000}"/>
    <hyperlink ref="D73" r:id="rId249" xr:uid="{00000000-0004-0000-0000-0000F8000000}"/>
    <hyperlink ref="E73" r:id="rId250" xr:uid="{00000000-0004-0000-0000-0000F9000000}"/>
    <hyperlink ref="V73" r:id="rId251" xr:uid="{00000000-0004-0000-0000-0000FA000000}"/>
    <hyperlink ref="W73" r:id="rId252" xr:uid="{00000000-0004-0000-0000-0000FB000000}"/>
    <hyperlink ref="B74" r:id="rId253" xr:uid="{00000000-0004-0000-0000-0000FC000000}"/>
    <hyperlink ref="D74" r:id="rId254" xr:uid="{00000000-0004-0000-0000-0000FD000000}"/>
    <hyperlink ref="E74" r:id="rId255" xr:uid="{00000000-0004-0000-0000-0000FE000000}"/>
    <hyperlink ref="B75" r:id="rId256" xr:uid="{00000000-0004-0000-0000-0000FF000000}"/>
    <hyperlink ref="D75" r:id="rId257" xr:uid="{00000000-0004-0000-0000-000000010000}"/>
    <hyperlink ref="E75" r:id="rId258" xr:uid="{00000000-0004-0000-0000-000001010000}"/>
    <hyperlink ref="B76" r:id="rId259" xr:uid="{00000000-0004-0000-0000-000002010000}"/>
    <hyperlink ref="D76" r:id="rId260" xr:uid="{00000000-0004-0000-0000-000003010000}"/>
    <hyperlink ref="E76" r:id="rId261" xr:uid="{00000000-0004-0000-0000-000004010000}"/>
    <hyperlink ref="B77" r:id="rId262" xr:uid="{00000000-0004-0000-0000-000005010000}"/>
    <hyperlink ref="D77" r:id="rId263" xr:uid="{00000000-0004-0000-0000-000006010000}"/>
    <hyperlink ref="E77" r:id="rId264" xr:uid="{00000000-0004-0000-0000-000007010000}"/>
    <hyperlink ref="B78" r:id="rId265" xr:uid="{00000000-0004-0000-0000-000008010000}"/>
    <hyperlink ref="D78" r:id="rId266" xr:uid="{00000000-0004-0000-0000-000009010000}"/>
    <hyperlink ref="E78" r:id="rId267" xr:uid="{00000000-0004-0000-0000-00000A010000}"/>
    <hyperlink ref="B79" r:id="rId268" xr:uid="{00000000-0004-0000-0000-00000B010000}"/>
    <hyperlink ref="D79" r:id="rId269" xr:uid="{00000000-0004-0000-0000-00000C010000}"/>
    <hyperlink ref="E79" r:id="rId270" xr:uid="{00000000-0004-0000-0000-00000D010000}"/>
    <hyperlink ref="B80" r:id="rId271" xr:uid="{00000000-0004-0000-0000-00000E010000}"/>
    <hyperlink ref="D80" r:id="rId272" xr:uid="{00000000-0004-0000-0000-00000F010000}"/>
    <hyperlink ref="E80" r:id="rId273" xr:uid="{00000000-0004-0000-0000-000010010000}"/>
    <hyperlink ref="B81" r:id="rId274" xr:uid="{00000000-0004-0000-0000-000011010000}"/>
    <hyperlink ref="D81" r:id="rId275" xr:uid="{00000000-0004-0000-0000-000012010000}"/>
    <hyperlink ref="E81" r:id="rId276" xr:uid="{00000000-0004-0000-0000-000013010000}"/>
    <hyperlink ref="B82" r:id="rId277" xr:uid="{00000000-0004-0000-0000-000014010000}"/>
    <hyperlink ref="D82" r:id="rId278" xr:uid="{00000000-0004-0000-0000-000015010000}"/>
    <hyperlink ref="E82" r:id="rId279" xr:uid="{00000000-0004-0000-0000-000016010000}"/>
    <hyperlink ref="B83" r:id="rId280" xr:uid="{00000000-0004-0000-0000-000017010000}"/>
    <hyperlink ref="D83" r:id="rId281" xr:uid="{00000000-0004-0000-0000-000018010000}"/>
    <hyperlink ref="E83" r:id="rId282" xr:uid="{00000000-0004-0000-0000-000019010000}"/>
    <hyperlink ref="B84" r:id="rId283" xr:uid="{00000000-0004-0000-0000-00001A010000}"/>
    <hyperlink ref="D84" r:id="rId284" xr:uid="{00000000-0004-0000-0000-00001B010000}"/>
    <hyperlink ref="E84" r:id="rId285" xr:uid="{00000000-0004-0000-0000-00001C010000}"/>
    <hyperlink ref="B85" r:id="rId286" xr:uid="{00000000-0004-0000-0000-00001D010000}"/>
    <hyperlink ref="D85" r:id="rId287" xr:uid="{00000000-0004-0000-0000-00001E010000}"/>
    <hyperlink ref="E85" r:id="rId288" xr:uid="{00000000-0004-0000-0000-00001F010000}"/>
    <hyperlink ref="B86" r:id="rId289" xr:uid="{00000000-0004-0000-0000-000020010000}"/>
    <hyperlink ref="D86" r:id="rId290" xr:uid="{00000000-0004-0000-0000-000021010000}"/>
    <hyperlink ref="E86" r:id="rId291" xr:uid="{00000000-0004-0000-0000-000022010000}"/>
    <hyperlink ref="B87" r:id="rId292" xr:uid="{00000000-0004-0000-0000-000023010000}"/>
    <hyperlink ref="D87" r:id="rId293" xr:uid="{00000000-0004-0000-0000-000024010000}"/>
    <hyperlink ref="E87" r:id="rId294" xr:uid="{00000000-0004-0000-0000-000025010000}"/>
    <hyperlink ref="B88" r:id="rId295" xr:uid="{00000000-0004-0000-0000-000026010000}"/>
    <hyperlink ref="D88" r:id="rId296" xr:uid="{00000000-0004-0000-0000-000027010000}"/>
    <hyperlink ref="E88" r:id="rId297" xr:uid="{00000000-0004-0000-0000-000028010000}"/>
    <hyperlink ref="B89" r:id="rId298" xr:uid="{00000000-0004-0000-0000-000029010000}"/>
    <hyperlink ref="D89" r:id="rId299" xr:uid="{00000000-0004-0000-0000-00002A010000}"/>
    <hyperlink ref="E89" r:id="rId300" xr:uid="{00000000-0004-0000-0000-00002B010000}"/>
    <hyperlink ref="B90" r:id="rId301" xr:uid="{00000000-0004-0000-0000-00002C010000}"/>
    <hyperlink ref="D90" r:id="rId302" xr:uid="{00000000-0004-0000-0000-00002D010000}"/>
    <hyperlink ref="E90" r:id="rId303" xr:uid="{00000000-0004-0000-0000-00002E010000}"/>
    <hyperlink ref="B91" r:id="rId304" xr:uid="{00000000-0004-0000-0000-00002F010000}"/>
    <hyperlink ref="D91" r:id="rId305" xr:uid="{00000000-0004-0000-0000-000030010000}"/>
    <hyperlink ref="E91" r:id="rId306" xr:uid="{00000000-0004-0000-0000-000031010000}"/>
    <hyperlink ref="B92" r:id="rId307" xr:uid="{00000000-0004-0000-0000-000032010000}"/>
    <hyperlink ref="D92" r:id="rId308" xr:uid="{00000000-0004-0000-0000-000033010000}"/>
    <hyperlink ref="E92" r:id="rId309" xr:uid="{00000000-0004-0000-0000-000034010000}"/>
    <hyperlink ref="B93" r:id="rId310" xr:uid="{00000000-0004-0000-0000-000035010000}"/>
    <hyperlink ref="D93" r:id="rId311" xr:uid="{00000000-0004-0000-0000-000036010000}"/>
    <hyperlink ref="E93" r:id="rId312" xr:uid="{00000000-0004-0000-0000-000037010000}"/>
    <hyperlink ref="B94" r:id="rId313" xr:uid="{00000000-0004-0000-0000-000038010000}"/>
    <hyperlink ref="D94" r:id="rId314" xr:uid="{00000000-0004-0000-0000-000039010000}"/>
    <hyperlink ref="E94" r:id="rId315" xr:uid="{00000000-0004-0000-0000-00003A010000}"/>
    <hyperlink ref="B95" r:id="rId316" xr:uid="{00000000-0004-0000-0000-00003B010000}"/>
    <hyperlink ref="D95" r:id="rId317" xr:uid="{00000000-0004-0000-0000-00003C010000}"/>
    <hyperlink ref="E95" r:id="rId318" xr:uid="{00000000-0004-0000-0000-00003D010000}"/>
    <hyperlink ref="B96" r:id="rId319" xr:uid="{00000000-0004-0000-0000-00003E010000}"/>
    <hyperlink ref="D96" r:id="rId320" xr:uid="{00000000-0004-0000-0000-00003F010000}"/>
    <hyperlink ref="E96" r:id="rId321" xr:uid="{00000000-0004-0000-0000-000040010000}"/>
    <hyperlink ref="B97" r:id="rId322" xr:uid="{00000000-0004-0000-0000-000041010000}"/>
    <hyperlink ref="D97" r:id="rId323" xr:uid="{00000000-0004-0000-0000-000042010000}"/>
    <hyperlink ref="E97" r:id="rId324" xr:uid="{00000000-0004-0000-0000-000043010000}"/>
    <hyperlink ref="B98" r:id="rId325" xr:uid="{00000000-0004-0000-0000-000044010000}"/>
    <hyperlink ref="D98" r:id="rId326" xr:uid="{00000000-0004-0000-0000-000045010000}"/>
    <hyperlink ref="E98" r:id="rId327" xr:uid="{00000000-0004-0000-0000-000046010000}"/>
    <hyperlink ref="B99" r:id="rId328" xr:uid="{00000000-0004-0000-0000-000047010000}"/>
    <hyperlink ref="D99" r:id="rId329" xr:uid="{00000000-0004-0000-0000-000048010000}"/>
    <hyperlink ref="E99" r:id="rId330" xr:uid="{00000000-0004-0000-0000-000049010000}"/>
    <hyperlink ref="B100" r:id="rId331" xr:uid="{00000000-0004-0000-0000-00004A010000}"/>
    <hyperlink ref="D100" r:id="rId332" xr:uid="{00000000-0004-0000-0000-00004B010000}"/>
    <hyperlink ref="E100" r:id="rId333" xr:uid="{00000000-0004-0000-0000-00004C010000}"/>
    <hyperlink ref="B101" r:id="rId334" xr:uid="{00000000-0004-0000-0000-00004D010000}"/>
    <hyperlink ref="D101" r:id="rId335" xr:uid="{00000000-0004-0000-0000-00004E010000}"/>
    <hyperlink ref="E101" r:id="rId336" xr:uid="{00000000-0004-0000-0000-00004F010000}"/>
    <hyperlink ref="B102" r:id="rId337" xr:uid="{00000000-0004-0000-0000-000050010000}"/>
    <hyperlink ref="D102" r:id="rId338" xr:uid="{00000000-0004-0000-0000-000051010000}"/>
    <hyperlink ref="E102" r:id="rId339" xr:uid="{00000000-0004-0000-0000-000052010000}"/>
    <hyperlink ref="B103" r:id="rId340" xr:uid="{00000000-0004-0000-0000-000053010000}"/>
    <hyperlink ref="D103" r:id="rId341" xr:uid="{00000000-0004-0000-0000-000054010000}"/>
    <hyperlink ref="E103" r:id="rId342" xr:uid="{00000000-0004-0000-0000-000055010000}"/>
    <hyperlink ref="B104" r:id="rId343" xr:uid="{00000000-0004-0000-0000-000056010000}"/>
    <hyperlink ref="D104" r:id="rId344" xr:uid="{00000000-0004-0000-0000-000057010000}"/>
    <hyperlink ref="E104" r:id="rId345" xr:uid="{00000000-0004-0000-0000-000058010000}"/>
    <hyperlink ref="B105" r:id="rId346" xr:uid="{00000000-0004-0000-0000-000059010000}"/>
    <hyperlink ref="D105" r:id="rId347" xr:uid="{00000000-0004-0000-0000-00005A010000}"/>
    <hyperlink ref="E105" r:id="rId348" xr:uid="{00000000-0004-0000-0000-00005B010000}"/>
    <hyperlink ref="B106" r:id="rId349" xr:uid="{00000000-0004-0000-0000-00005C010000}"/>
    <hyperlink ref="D106" r:id="rId350" xr:uid="{00000000-0004-0000-0000-00005D010000}"/>
    <hyperlink ref="E106" r:id="rId351" xr:uid="{00000000-0004-0000-0000-00005E010000}"/>
    <hyperlink ref="B107" r:id="rId352" xr:uid="{00000000-0004-0000-0000-00005F010000}"/>
    <hyperlink ref="D107" r:id="rId353" xr:uid="{00000000-0004-0000-0000-000060010000}"/>
    <hyperlink ref="E107" r:id="rId354" xr:uid="{00000000-0004-0000-0000-000061010000}"/>
    <hyperlink ref="B108" r:id="rId355" xr:uid="{00000000-0004-0000-0000-000062010000}"/>
    <hyperlink ref="D108" r:id="rId356" xr:uid="{00000000-0004-0000-0000-000063010000}"/>
    <hyperlink ref="E108" r:id="rId357" xr:uid="{00000000-0004-0000-0000-000064010000}"/>
    <hyperlink ref="B109" r:id="rId358" xr:uid="{00000000-0004-0000-0000-000065010000}"/>
    <hyperlink ref="D109" r:id="rId359" xr:uid="{00000000-0004-0000-0000-000066010000}"/>
    <hyperlink ref="E109" r:id="rId360" xr:uid="{00000000-0004-0000-0000-000067010000}"/>
    <hyperlink ref="B110" r:id="rId361" xr:uid="{00000000-0004-0000-0000-000068010000}"/>
    <hyperlink ref="D110" r:id="rId362" xr:uid="{00000000-0004-0000-0000-000069010000}"/>
    <hyperlink ref="E110" r:id="rId363" xr:uid="{00000000-0004-0000-0000-00006A010000}"/>
    <hyperlink ref="B111" r:id="rId364" xr:uid="{00000000-0004-0000-0000-00006B010000}"/>
    <hyperlink ref="D111" r:id="rId365" xr:uid="{00000000-0004-0000-0000-00006C010000}"/>
    <hyperlink ref="E111" r:id="rId366" xr:uid="{00000000-0004-0000-0000-00006D010000}"/>
    <hyperlink ref="B112" r:id="rId367" xr:uid="{00000000-0004-0000-0000-00006E010000}"/>
    <hyperlink ref="D112" r:id="rId368" xr:uid="{00000000-0004-0000-0000-00006F010000}"/>
    <hyperlink ref="E112" r:id="rId369" xr:uid="{00000000-0004-0000-0000-000070010000}"/>
    <hyperlink ref="B113" r:id="rId370" xr:uid="{00000000-0004-0000-0000-000071010000}"/>
    <hyperlink ref="D113" r:id="rId371" xr:uid="{00000000-0004-0000-0000-000072010000}"/>
    <hyperlink ref="E113" r:id="rId372" xr:uid="{00000000-0004-0000-0000-000073010000}"/>
    <hyperlink ref="B114" r:id="rId373" xr:uid="{00000000-0004-0000-0000-000074010000}"/>
    <hyperlink ref="D114" r:id="rId374" xr:uid="{00000000-0004-0000-0000-000075010000}"/>
    <hyperlink ref="E114" r:id="rId375" xr:uid="{00000000-0004-0000-0000-000076010000}"/>
    <hyperlink ref="B115" r:id="rId376" xr:uid="{00000000-0004-0000-0000-000077010000}"/>
    <hyperlink ref="D115" r:id="rId377" xr:uid="{00000000-0004-0000-0000-000078010000}"/>
    <hyperlink ref="E115" r:id="rId378" xr:uid="{00000000-0004-0000-0000-000079010000}"/>
    <hyperlink ref="B116" r:id="rId379" xr:uid="{00000000-0004-0000-0000-00007A010000}"/>
    <hyperlink ref="D116" r:id="rId380" xr:uid="{00000000-0004-0000-0000-00007B010000}"/>
    <hyperlink ref="E116" r:id="rId381" xr:uid="{00000000-0004-0000-0000-00007C010000}"/>
    <hyperlink ref="B117" r:id="rId382" xr:uid="{00000000-0004-0000-0000-00007D010000}"/>
    <hyperlink ref="D117" r:id="rId383" xr:uid="{00000000-0004-0000-0000-00007E010000}"/>
    <hyperlink ref="E117" r:id="rId384" xr:uid="{00000000-0004-0000-0000-00007F010000}"/>
    <hyperlink ref="B118" r:id="rId385" xr:uid="{00000000-0004-0000-0000-000080010000}"/>
    <hyperlink ref="D118" r:id="rId386" xr:uid="{00000000-0004-0000-0000-000081010000}"/>
    <hyperlink ref="E118" r:id="rId387" xr:uid="{00000000-0004-0000-0000-000082010000}"/>
    <hyperlink ref="B119" r:id="rId388" xr:uid="{00000000-0004-0000-0000-000083010000}"/>
    <hyperlink ref="D119" r:id="rId389" xr:uid="{00000000-0004-0000-0000-000084010000}"/>
    <hyperlink ref="E119" r:id="rId390" xr:uid="{00000000-0004-0000-0000-000085010000}"/>
    <hyperlink ref="B120" r:id="rId391" xr:uid="{00000000-0004-0000-0000-000086010000}"/>
    <hyperlink ref="D120" r:id="rId392" xr:uid="{00000000-0004-0000-0000-000087010000}"/>
    <hyperlink ref="E120" r:id="rId393" xr:uid="{00000000-0004-0000-0000-000088010000}"/>
    <hyperlink ref="B121" r:id="rId394" xr:uid="{00000000-0004-0000-0000-000089010000}"/>
    <hyperlink ref="D121" r:id="rId395" xr:uid="{00000000-0004-0000-0000-00008A010000}"/>
    <hyperlink ref="E121" r:id="rId396" xr:uid="{00000000-0004-0000-0000-00008B010000}"/>
    <hyperlink ref="B122" r:id="rId397" xr:uid="{00000000-0004-0000-0000-00008C010000}"/>
    <hyperlink ref="D122" r:id="rId398" xr:uid="{00000000-0004-0000-0000-00008D010000}"/>
    <hyperlink ref="E122" r:id="rId399" xr:uid="{00000000-0004-0000-0000-00008E010000}"/>
    <hyperlink ref="B123" r:id="rId400" xr:uid="{00000000-0004-0000-0000-00008F010000}"/>
    <hyperlink ref="D123" r:id="rId401" xr:uid="{00000000-0004-0000-0000-000090010000}"/>
    <hyperlink ref="E123" r:id="rId402" xr:uid="{00000000-0004-0000-0000-000091010000}"/>
    <hyperlink ref="B124" r:id="rId403" xr:uid="{00000000-0004-0000-0000-000092010000}"/>
    <hyperlink ref="D124" r:id="rId404" xr:uid="{00000000-0004-0000-0000-000093010000}"/>
    <hyperlink ref="E124" r:id="rId405" xr:uid="{00000000-0004-0000-0000-000094010000}"/>
    <hyperlink ref="B125" r:id="rId406" xr:uid="{00000000-0004-0000-0000-000095010000}"/>
    <hyperlink ref="D125" r:id="rId407" xr:uid="{00000000-0004-0000-0000-000096010000}"/>
    <hyperlink ref="E125" r:id="rId408" xr:uid="{00000000-0004-0000-0000-000097010000}"/>
    <hyperlink ref="B126" r:id="rId409" xr:uid="{00000000-0004-0000-0000-000098010000}"/>
    <hyperlink ref="D126" r:id="rId410" xr:uid="{00000000-0004-0000-0000-000099010000}"/>
    <hyperlink ref="E126" r:id="rId411" xr:uid="{00000000-0004-0000-0000-00009A010000}"/>
    <hyperlink ref="B127" r:id="rId412" xr:uid="{00000000-0004-0000-0000-00009B010000}"/>
    <hyperlink ref="D127" r:id="rId413" xr:uid="{00000000-0004-0000-0000-00009C010000}"/>
    <hyperlink ref="E127" r:id="rId414" xr:uid="{00000000-0004-0000-0000-00009D010000}"/>
    <hyperlink ref="B128" r:id="rId415" xr:uid="{00000000-0004-0000-0000-00009E010000}"/>
    <hyperlink ref="D128" r:id="rId416" xr:uid="{00000000-0004-0000-0000-00009F010000}"/>
    <hyperlink ref="E128" r:id="rId417" xr:uid="{00000000-0004-0000-0000-0000A0010000}"/>
    <hyperlink ref="B129" r:id="rId418" xr:uid="{00000000-0004-0000-0000-0000A1010000}"/>
    <hyperlink ref="D129" r:id="rId419" xr:uid="{00000000-0004-0000-0000-0000A2010000}"/>
    <hyperlink ref="E129" r:id="rId420" xr:uid="{00000000-0004-0000-0000-0000A3010000}"/>
    <hyperlink ref="B130" r:id="rId421" xr:uid="{00000000-0004-0000-0000-0000A4010000}"/>
    <hyperlink ref="D130" r:id="rId422" xr:uid="{00000000-0004-0000-0000-0000A5010000}"/>
    <hyperlink ref="E130" r:id="rId423" xr:uid="{00000000-0004-0000-0000-0000A6010000}"/>
    <hyperlink ref="B131" r:id="rId424" xr:uid="{00000000-0004-0000-0000-0000A7010000}"/>
    <hyperlink ref="D131" r:id="rId425" xr:uid="{00000000-0004-0000-0000-0000A8010000}"/>
    <hyperlink ref="E131" r:id="rId426" xr:uid="{00000000-0004-0000-0000-0000A9010000}"/>
    <hyperlink ref="B132" r:id="rId427" xr:uid="{00000000-0004-0000-0000-0000AA010000}"/>
    <hyperlink ref="D132" r:id="rId428" xr:uid="{00000000-0004-0000-0000-0000AB010000}"/>
    <hyperlink ref="E132" r:id="rId429" xr:uid="{00000000-0004-0000-0000-0000AC010000}"/>
    <hyperlink ref="V132" r:id="rId430" xr:uid="{00000000-0004-0000-0000-0000AD010000}"/>
    <hyperlink ref="W132" r:id="rId431" xr:uid="{00000000-0004-0000-0000-0000AE010000}"/>
    <hyperlink ref="X132" r:id="rId432" xr:uid="{00000000-0004-0000-0000-0000AF010000}"/>
    <hyperlink ref="Y132" r:id="rId433" xr:uid="{00000000-0004-0000-0000-0000B0010000}"/>
    <hyperlink ref="B133" r:id="rId434" xr:uid="{00000000-0004-0000-0000-0000B1010000}"/>
    <hyperlink ref="D133" r:id="rId435" xr:uid="{00000000-0004-0000-0000-0000B2010000}"/>
    <hyperlink ref="E133" r:id="rId436" xr:uid="{00000000-0004-0000-0000-0000B3010000}"/>
    <hyperlink ref="B134" r:id="rId437" xr:uid="{00000000-0004-0000-0000-0000B4010000}"/>
    <hyperlink ref="D134" r:id="rId438" xr:uid="{00000000-0004-0000-0000-0000B5010000}"/>
    <hyperlink ref="E134" r:id="rId439" xr:uid="{00000000-0004-0000-0000-0000B6010000}"/>
    <hyperlink ref="B135" r:id="rId440" xr:uid="{00000000-0004-0000-0000-0000B7010000}"/>
    <hyperlink ref="D135" r:id="rId441" xr:uid="{00000000-0004-0000-0000-0000B8010000}"/>
    <hyperlink ref="E135" r:id="rId442" xr:uid="{00000000-0004-0000-0000-0000B9010000}"/>
    <hyperlink ref="B136" r:id="rId443" xr:uid="{00000000-0004-0000-0000-0000BA010000}"/>
    <hyperlink ref="D136" r:id="rId444" xr:uid="{00000000-0004-0000-0000-0000BB010000}"/>
    <hyperlink ref="E136" r:id="rId445" xr:uid="{00000000-0004-0000-0000-0000BC010000}"/>
    <hyperlink ref="B137" r:id="rId446" xr:uid="{00000000-0004-0000-0000-0000BD010000}"/>
    <hyperlink ref="D137" r:id="rId447" xr:uid="{00000000-0004-0000-0000-0000BE010000}"/>
    <hyperlink ref="E137" r:id="rId448" xr:uid="{00000000-0004-0000-0000-0000BF010000}"/>
    <hyperlink ref="B138" r:id="rId449" xr:uid="{00000000-0004-0000-0000-0000C0010000}"/>
    <hyperlink ref="D138" r:id="rId450" xr:uid="{00000000-0004-0000-0000-0000C1010000}"/>
    <hyperlink ref="E138" r:id="rId451" xr:uid="{00000000-0004-0000-0000-0000C2010000}"/>
    <hyperlink ref="B139" r:id="rId452" xr:uid="{00000000-0004-0000-0000-0000C3010000}"/>
    <hyperlink ref="D139" r:id="rId453" xr:uid="{00000000-0004-0000-0000-0000C4010000}"/>
    <hyperlink ref="E139" r:id="rId454" xr:uid="{00000000-0004-0000-0000-0000C5010000}"/>
    <hyperlink ref="B140" r:id="rId455" xr:uid="{00000000-0004-0000-0000-0000C6010000}"/>
    <hyperlink ref="D140" r:id="rId456" xr:uid="{00000000-0004-0000-0000-0000C7010000}"/>
    <hyperlink ref="E140" r:id="rId457" xr:uid="{00000000-0004-0000-0000-0000C8010000}"/>
    <hyperlink ref="B141" r:id="rId458" xr:uid="{00000000-0004-0000-0000-0000C9010000}"/>
    <hyperlink ref="D141" r:id="rId459" xr:uid="{00000000-0004-0000-0000-0000CA010000}"/>
    <hyperlink ref="E141" r:id="rId460" xr:uid="{00000000-0004-0000-0000-0000CB010000}"/>
    <hyperlink ref="B142" r:id="rId461" xr:uid="{00000000-0004-0000-0000-0000CC010000}"/>
    <hyperlink ref="D142" r:id="rId462" xr:uid="{00000000-0004-0000-0000-0000CD010000}"/>
    <hyperlink ref="E142" r:id="rId463" xr:uid="{00000000-0004-0000-0000-0000CE010000}"/>
    <hyperlink ref="B143" r:id="rId464" xr:uid="{00000000-0004-0000-0000-0000CF010000}"/>
    <hyperlink ref="D143" r:id="rId465" xr:uid="{00000000-0004-0000-0000-0000D0010000}"/>
    <hyperlink ref="E143" r:id="rId466" xr:uid="{00000000-0004-0000-0000-0000D1010000}"/>
    <hyperlink ref="B144" r:id="rId467" xr:uid="{00000000-0004-0000-0000-0000D2010000}"/>
    <hyperlink ref="D144" r:id="rId468" xr:uid="{00000000-0004-0000-0000-0000D3010000}"/>
    <hyperlink ref="E144" r:id="rId469" xr:uid="{00000000-0004-0000-0000-0000D4010000}"/>
    <hyperlink ref="B145" r:id="rId470" xr:uid="{00000000-0004-0000-0000-0000D5010000}"/>
    <hyperlink ref="D145" r:id="rId471" xr:uid="{00000000-0004-0000-0000-0000D6010000}"/>
    <hyperlink ref="E145" r:id="rId472" xr:uid="{00000000-0004-0000-0000-0000D7010000}"/>
    <hyperlink ref="B146" r:id="rId473" xr:uid="{00000000-0004-0000-0000-0000D8010000}"/>
    <hyperlink ref="D146" r:id="rId474" xr:uid="{00000000-0004-0000-0000-0000D9010000}"/>
    <hyperlink ref="E146" r:id="rId475" xr:uid="{00000000-0004-0000-0000-0000DA010000}"/>
    <hyperlink ref="B147" r:id="rId476" xr:uid="{00000000-0004-0000-0000-0000DB010000}"/>
    <hyperlink ref="D147" r:id="rId477" xr:uid="{00000000-0004-0000-0000-0000DC010000}"/>
    <hyperlink ref="E147" r:id="rId478" xr:uid="{00000000-0004-0000-0000-0000DD010000}"/>
    <hyperlink ref="B148" r:id="rId479" xr:uid="{00000000-0004-0000-0000-0000DE010000}"/>
    <hyperlink ref="D148" r:id="rId480" xr:uid="{00000000-0004-0000-0000-0000DF010000}"/>
    <hyperlink ref="E148" r:id="rId481" xr:uid="{00000000-0004-0000-0000-0000E0010000}"/>
    <hyperlink ref="B149" r:id="rId482" xr:uid="{00000000-0004-0000-0000-0000E1010000}"/>
    <hyperlink ref="D149" r:id="rId483" xr:uid="{00000000-0004-0000-0000-0000E2010000}"/>
    <hyperlink ref="E149" r:id="rId484" xr:uid="{00000000-0004-0000-0000-0000E3010000}"/>
    <hyperlink ref="B150" r:id="rId485" xr:uid="{00000000-0004-0000-0000-0000E4010000}"/>
    <hyperlink ref="D150" r:id="rId486" xr:uid="{00000000-0004-0000-0000-0000E5010000}"/>
    <hyperlink ref="E150" r:id="rId487" xr:uid="{00000000-0004-0000-0000-0000E6010000}"/>
    <hyperlink ref="B151" r:id="rId488" xr:uid="{00000000-0004-0000-0000-0000E7010000}"/>
    <hyperlink ref="D151" r:id="rId489" xr:uid="{00000000-0004-0000-0000-0000E8010000}"/>
    <hyperlink ref="E151" r:id="rId490" xr:uid="{00000000-0004-0000-0000-0000E9010000}"/>
    <hyperlink ref="B152" r:id="rId491" xr:uid="{00000000-0004-0000-0000-0000EA010000}"/>
    <hyperlink ref="D152" r:id="rId492" xr:uid="{00000000-0004-0000-0000-0000EB010000}"/>
    <hyperlink ref="E152" r:id="rId493" xr:uid="{00000000-0004-0000-0000-0000EC010000}"/>
    <hyperlink ref="B153" r:id="rId494" xr:uid="{00000000-0004-0000-0000-0000ED010000}"/>
    <hyperlink ref="D153" r:id="rId495" xr:uid="{00000000-0004-0000-0000-0000EE010000}"/>
    <hyperlink ref="E153" r:id="rId496" xr:uid="{00000000-0004-0000-0000-0000EF010000}"/>
    <hyperlink ref="B154" r:id="rId497" xr:uid="{00000000-0004-0000-0000-0000F0010000}"/>
    <hyperlink ref="D154" r:id="rId498" xr:uid="{00000000-0004-0000-0000-0000F1010000}"/>
    <hyperlink ref="E154" r:id="rId499" xr:uid="{00000000-0004-0000-0000-0000F2010000}"/>
    <hyperlink ref="B155" r:id="rId500" xr:uid="{00000000-0004-0000-0000-0000F3010000}"/>
    <hyperlink ref="D155" r:id="rId501" xr:uid="{00000000-0004-0000-0000-0000F4010000}"/>
    <hyperlink ref="E155" r:id="rId502" xr:uid="{00000000-0004-0000-0000-0000F5010000}"/>
    <hyperlink ref="B156" r:id="rId503" xr:uid="{00000000-0004-0000-0000-0000F6010000}"/>
    <hyperlink ref="D156" r:id="rId504" xr:uid="{00000000-0004-0000-0000-0000F7010000}"/>
    <hyperlink ref="E156" r:id="rId505" xr:uid="{00000000-0004-0000-0000-0000F8010000}"/>
    <hyperlink ref="B157" r:id="rId506" xr:uid="{00000000-0004-0000-0000-0000F9010000}"/>
    <hyperlink ref="D157" r:id="rId507" xr:uid="{00000000-0004-0000-0000-0000FA010000}"/>
    <hyperlink ref="E157" r:id="rId508" xr:uid="{00000000-0004-0000-0000-0000FB010000}"/>
    <hyperlink ref="B158" r:id="rId509" xr:uid="{00000000-0004-0000-0000-0000FC010000}"/>
    <hyperlink ref="D158" r:id="rId510" xr:uid="{00000000-0004-0000-0000-0000FD010000}"/>
    <hyperlink ref="E158" r:id="rId511" xr:uid="{00000000-0004-0000-0000-0000FE010000}"/>
    <hyperlink ref="B159" r:id="rId512" xr:uid="{00000000-0004-0000-0000-0000FF010000}"/>
    <hyperlink ref="D159" r:id="rId513" xr:uid="{00000000-0004-0000-0000-000000020000}"/>
    <hyperlink ref="E159" r:id="rId514" xr:uid="{00000000-0004-0000-0000-000001020000}"/>
    <hyperlink ref="B160" r:id="rId515" xr:uid="{00000000-0004-0000-0000-000002020000}"/>
    <hyperlink ref="D160" r:id="rId516" xr:uid="{00000000-0004-0000-0000-000003020000}"/>
    <hyperlink ref="E160" r:id="rId517" xr:uid="{00000000-0004-0000-0000-000004020000}"/>
    <hyperlink ref="B161" r:id="rId518" xr:uid="{00000000-0004-0000-0000-000005020000}"/>
    <hyperlink ref="D161" r:id="rId519" xr:uid="{00000000-0004-0000-0000-000006020000}"/>
    <hyperlink ref="E161" r:id="rId520" xr:uid="{00000000-0004-0000-0000-000007020000}"/>
    <hyperlink ref="B162" r:id="rId521" xr:uid="{00000000-0004-0000-0000-000008020000}"/>
    <hyperlink ref="D162" r:id="rId522" xr:uid="{00000000-0004-0000-0000-000009020000}"/>
    <hyperlink ref="E162" r:id="rId523" xr:uid="{00000000-0004-0000-0000-00000A020000}"/>
    <hyperlink ref="B163" r:id="rId524" xr:uid="{00000000-0004-0000-0000-00000B020000}"/>
    <hyperlink ref="D163" r:id="rId525" xr:uid="{00000000-0004-0000-0000-00000C020000}"/>
    <hyperlink ref="E163" r:id="rId526" xr:uid="{00000000-0004-0000-0000-00000D020000}"/>
    <hyperlink ref="B164" r:id="rId527" xr:uid="{00000000-0004-0000-0000-00000E020000}"/>
    <hyperlink ref="D164" r:id="rId528" xr:uid="{00000000-0004-0000-0000-00000F020000}"/>
    <hyperlink ref="E164" r:id="rId529" xr:uid="{00000000-0004-0000-0000-000010020000}"/>
    <hyperlink ref="B165" r:id="rId530" xr:uid="{00000000-0004-0000-0000-000011020000}"/>
    <hyperlink ref="D165" r:id="rId531" xr:uid="{00000000-0004-0000-0000-000012020000}"/>
    <hyperlink ref="E165" r:id="rId532" xr:uid="{00000000-0004-0000-0000-000013020000}"/>
    <hyperlink ref="B166" r:id="rId533" xr:uid="{00000000-0004-0000-0000-000014020000}"/>
    <hyperlink ref="D166" r:id="rId534" xr:uid="{00000000-0004-0000-0000-000015020000}"/>
    <hyperlink ref="E166" r:id="rId535" xr:uid="{00000000-0004-0000-0000-000016020000}"/>
    <hyperlink ref="B167" r:id="rId536" xr:uid="{00000000-0004-0000-0000-000017020000}"/>
    <hyperlink ref="D167" r:id="rId537" xr:uid="{00000000-0004-0000-0000-000018020000}"/>
    <hyperlink ref="E167" r:id="rId538" xr:uid="{00000000-0004-0000-0000-000019020000}"/>
    <hyperlink ref="B168" r:id="rId539" xr:uid="{00000000-0004-0000-0000-00001A020000}"/>
    <hyperlink ref="D168" r:id="rId540" xr:uid="{00000000-0004-0000-0000-00001B020000}"/>
    <hyperlink ref="E168" r:id="rId541" xr:uid="{00000000-0004-0000-0000-00001C020000}"/>
    <hyperlink ref="B169" r:id="rId542" xr:uid="{00000000-0004-0000-0000-00001D020000}"/>
    <hyperlink ref="D169" r:id="rId543" xr:uid="{00000000-0004-0000-0000-00001E020000}"/>
    <hyperlink ref="E169" r:id="rId544" xr:uid="{00000000-0004-0000-0000-00001F020000}"/>
    <hyperlink ref="B170" r:id="rId545" xr:uid="{00000000-0004-0000-0000-000020020000}"/>
    <hyperlink ref="D170" r:id="rId546" xr:uid="{00000000-0004-0000-0000-000021020000}"/>
    <hyperlink ref="E170" r:id="rId547" xr:uid="{00000000-0004-0000-0000-000022020000}"/>
    <hyperlink ref="B171" r:id="rId548" xr:uid="{00000000-0004-0000-0000-000023020000}"/>
    <hyperlink ref="D171" r:id="rId549" xr:uid="{00000000-0004-0000-0000-000024020000}"/>
    <hyperlink ref="E171" r:id="rId550" xr:uid="{00000000-0004-0000-0000-000025020000}"/>
    <hyperlink ref="B172" r:id="rId551" xr:uid="{00000000-0004-0000-0000-000026020000}"/>
    <hyperlink ref="D172" r:id="rId552" xr:uid="{00000000-0004-0000-0000-000027020000}"/>
    <hyperlink ref="E172" r:id="rId553" xr:uid="{00000000-0004-0000-0000-000028020000}"/>
    <hyperlink ref="B173" r:id="rId554" xr:uid="{00000000-0004-0000-0000-000029020000}"/>
    <hyperlink ref="D173" r:id="rId555" xr:uid="{00000000-0004-0000-0000-00002A020000}"/>
    <hyperlink ref="E173" r:id="rId556" xr:uid="{00000000-0004-0000-0000-00002B020000}"/>
    <hyperlink ref="B174" r:id="rId557" xr:uid="{00000000-0004-0000-0000-00002C020000}"/>
    <hyperlink ref="D174" r:id="rId558" xr:uid="{00000000-0004-0000-0000-00002D020000}"/>
    <hyperlink ref="E174" r:id="rId559" xr:uid="{00000000-0004-0000-0000-00002E020000}"/>
    <hyperlink ref="B175" r:id="rId560" xr:uid="{00000000-0004-0000-0000-00002F020000}"/>
    <hyperlink ref="D175" r:id="rId561" xr:uid="{00000000-0004-0000-0000-000030020000}"/>
    <hyperlink ref="E175" r:id="rId562" xr:uid="{00000000-0004-0000-0000-000031020000}"/>
    <hyperlink ref="B176" r:id="rId563" xr:uid="{00000000-0004-0000-0000-000032020000}"/>
    <hyperlink ref="D176" r:id="rId564" xr:uid="{00000000-0004-0000-0000-000033020000}"/>
    <hyperlink ref="E176" r:id="rId565" xr:uid="{00000000-0004-0000-0000-000034020000}"/>
    <hyperlink ref="B177" r:id="rId566" xr:uid="{00000000-0004-0000-0000-000035020000}"/>
    <hyperlink ref="D177" r:id="rId567" xr:uid="{00000000-0004-0000-0000-000036020000}"/>
    <hyperlink ref="E177" r:id="rId568" xr:uid="{00000000-0004-0000-0000-000037020000}"/>
    <hyperlink ref="B178" r:id="rId569" xr:uid="{00000000-0004-0000-0000-000038020000}"/>
    <hyperlink ref="D178" r:id="rId570" xr:uid="{00000000-0004-0000-0000-000039020000}"/>
    <hyperlink ref="E178" r:id="rId571" xr:uid="{00000000-0004-0000-0000-00003A020000}"/>
    <hyperlink ref="B179" r:id="rId572" xr:uid="{00000000-0004-0000-0000-00003B020000}"/>
    <hyperlink ref="D179" r:id="rId573" xr:uid="{00000000-0004-0000-0000-00003C020000}"/>
    <hyperlink ref="E179" r:id="rId574" xr:uid="{00000000-0004-0000-0000-00003D020000}"/>
    <hyperlink ref="B180" r:id="rId575" xr:uid="{00000000-0004-0000-0000-00003E020000}"/>
    <hyperlink ref="D180" r:id="rId576" xr:uid="{00000000-0004-0000-0000-00003F020000}"/>
    <hyperlink ref="E180" r:id="rId577" xr:uid="{00000000-0004-0000-0000-000040020000}"/>
    <hyperlink ref="B181" r:id="rId578" xr:uid="{00000000-0004-0000-0000-000041020000}"/>
    <hyperlink ref="D181" r:id="rId579" xr:uid="{00000000-0004-0000-0000-000042020000}"/>
    <hyperlink ref="E181" r:id="rId580" xr:uid="{00000000-0004-0000-0000-000043020000}"/>
    <hyperlink ref="B182" r:id="rId581" xr:uid="{00000000-0004-0000-0000-000044020000}"/>
    <hyperlink ref="D182" r:id="rId582" xr:uid="{00000000-0004-0000-0000-000045020000}"/>
    <hyperlink ref="E182" r:id="rId583" xr:uid="{00000000-0004-0000-0000-000046020000}"/>
    <hyperlink ref="B183" r:id="rId584" xr:uid="{00000000-0004-0000-0000-000047020000}"/>
    <hyperlink ref="D183" r:id="rId585" xr:uid="{00000000-0004-0000-0000-000048020000}"/>
    <hyperlink ref="E183" r:id="rId586" xr:uid="{00000000-0004-0000-0000-000049020000}"/>
    <hyperlink ref="B184" r:id="rId587" xr:uid="{00000000-0004-0000-0000-00004A020000}"/>
    <hyperlink ref="D184" r:id="rId588" xr:uid="{00000000-0004-0000-0000-00004B020000}"/>
    <hyperlink ref="E184" r:id="rId589" xr:uid="{00000000-0004-0000-0000-00004C020000}"/>
    <hyperlink ref="B185" r:id="rId590" xr:uid="{00000000-0004-0000-0000-00004D020000}"/>
    <hyperlink ref="D185" r:id="rId591" xr:uid="{00000000-0004-0000-0000-00004E020000}"/>
    <hyperlink ref="E185" r:id="rId592" xr:uid="{00000000-0004-0000-0000-00004F020000}"/>
    <hyperlink ref="B186" r:id="rId593" xr:uid="{00000000-0004-0000-0000-000050020000}"/>
    <hyperlink ref="D186" r:id="rId594" xr:uid="{00000000-0004-0000-0000-000051020000}"/>
    <hyperlink ref="E186" r:id="rId595" xr:uid="{00000000-0004-0000-0000-000052020000}"/>
    <hyperlink ref="B187" r:id="rId596" xr:uid="{00000000-0004-0000-0000-000053020000}"/>
    <hyperlink ref="D187" r:id="rId597" xr:uid="{00000000-0004-0000-0000-000054020000}"/>
    <hyperlink ref="E187" r:id="rId598" xr:uid="{00000000-0004-0000-0000-000055020000}"/>
    <hyperlink ref="B188" r:id="rId599" xr:uid="{00000000-0004-0000-0000-000056020000}"/>
    <hyperlink ref="D188" r:id="rId600" xr:uid="{00000000-0004-0000-0000-000057020000}"/>
    <hyperlink ref="E188" r:id="rId601" xr:uid="{00000000-0004-0000-0000-000058020000}"/>
    <hyperlink ref="B189" r:id="rId602" xr:uid="{00000000-0004-0000-0000-000059020000}"/>
    <hyperlink ref="D189" r:id="rId603" xr:uid="{00000000-0004-0000-0000-00005A020000}"/>
    <hyperlink ref="E189" r:id="rId604" xr:uid="{00000000-0004-0000-0000-00005B020000}"/>
    <hyperlink ref="B190" r:id="rId605" xr:uid="{00000000-0004-0000-0000-00005C020000}"/>
    <hyperlink ref="D190" r:id="rId606" xr:uid="{00000000-0004-0000-0000-00005D020000}"/>
    <hyperlink ref="E190" r:id="rId607" xr:uid="{00000000-0004-0000-0000-00005E020000}"/>
    <hyperlink ref="B191" r:id="rId608" xr:uid="{00000000-0004-0000-0000-00005F020000}"/>
    <hyperlink ref="D191" r:id="rId609" xr:uid="{00000000-0004-0000-0000-000060020000}"/>
    <hyperlink ref="E191" r:id="rId610" xr:uid="{00000000-0004-0000-0000-000061020000}"/>
    <hyperlink ref="V191" r:id="rId611" xr:uid="{00000000-0004-0000-0000-000062020000}"/>
    <hyperlink ref="W191" r:id="rId612" xr:uid="{00000000-0004-0000-0000-000063020000}"/>
    <hyperlink ref="B192" r:id="rId613" xr:uid="{00000000-0004-0000-0000-000064020000}"/>
    <hyperlink ref="D192" r:id="rId614" xr:uid="{00000000-0004-0000-0000-000065020000}"/>
    <hyperlink ref="E192" r:id="rId615" xr:uid="{00000000-0004-0000-0000-000066020000}"/>
    <hyperlink ref="B193" r:id="rId616" xr:uid="{00000000-0004-0000-0000-000067020000}"/>
    <hyperlink ref="D193" r:id="rId617" xr:uid="{00000000-0004-0000-0000-000068020000}"/>
    <hyperlink ref="E193" r:id="rId618" xr:uid="{00000000-0004-0000-0000-000069020000}"/>
    <hyperlink ref="B194" r:id="rId619" xr:uid="{00000000-0004-0000-0000-00006A020000}"/>
    <hyperlink ref="D194" r:id="rId620" xr:uid="{00000000-0004-0000-0000-00006B020000}"/>
    <hyperlink ref="E194" r:id="rId621" xr:uid="{00000000-0004-0000-0000-00006C020000}"/>
    <hyperlink ref="B195" r:id="rId622" xr:uid="{00000000-0004-0000-0000-00006D020000}"/>
    <hyperlink ref="D195" r:id="rId623" xr:uid="{00000000-0004-0000-0000-00006E020000}"/>
    <hyperlink ref="E195" r:id="rId624" xr:uid="{00000000-0004-0000-0000-00006F020000}"/>
    <hyperlink ref="B196" r:id="rId625" xr:uid="{00000000-0004-0000-0000-000070020000}"/>
    <hyperlink ref="D196" r:id="rId626" xr:uid="{00000000-0004-0000-0000-000071020000}"/>
    <hyperlink ref="E196" r:id="rId627" xr:uid="{00000000-0004-0000-0000-000072020000}"/>
    <hyperlink ref="B197" r:id="rId628" xr:uid="{00000000-0004-0000-0000-000073020000}"/>
    <hyperlink ref="D197" r:id="rId629" xr:uid="{00000000-0004-0000-0000-000074020000}"/>
    <hyperlink ref="E197" r:id="rId630" xr:uid="{00000000-0004-0000-0000-000075020000}"/>
    <hyperlink ref="B198" r:id="rId631" xr:uid="{00000000-0004-0000-0000-000076020000}"/>
    <hyperlink ref="D198" r:id="rId632" xr:uid="{00000000-0004-0000-0000-000077020000}"/>
    <hyperlink ref="E198" r:id="rId633" xr:uid="{00000000-0004-0000-0000-000078020000}"/>
    <hyperlink ref="B199" r:id="rId634" xr:uid="{00000000-0004-0000-0000-000079020000}"/>
    <hyperlink ref="D199" r:id="rId635" xr:uid="{00000000-0004-0000-0000-00007A020000}"/>
    <hyperlink ref="E199" r:id="rId636" xr:uid="{00000000-0004-0000-0000-00007B020000}"/>
    <hyperlink ref="B200" r:id="rId637" xr:uid="{00000000-0004-0000-0000-00007C020000}"/>
    <hyperlink ref="D200" r:id="rId638" xr:uid="{00000000-0004-0000-0000-00007D020000}"/>
    <hyperlink ref="E200" r:id="rId639" xr:uid="{00000000-0004-0000-0000-00007E020000}"/>
    <hyperlink ref="B201" r:id="rId640" xr:uid="{00000000-0004-0000-0000-00007F020000}"/>
    <hyperlink ref="D201" r:id="rId641" xr:uid="{00000000-0004-0000-0000-000080020000}"/>
    <hyperlink ref="E201" r:id="rId642" xr:uid="{00000000-0004-0000-0000-000081020000}"/>
    <hyperlink ref="B202" r:id="rId643" xr:uid="{00000000-0004-0000-0000-000082020000}"/>
    <hyperlink ref="D202" r:id="rId644" xr:uid="{00000000-0004-0000-0000-000083020000}"/>
    <hyperlink ref="E202" r:id="rId645" xr:uid="{00000000-0004-0000-0000-000084020000}"/>
    <hyperlink ref="B203" r:id="rId646" xr:uid="{00000000-0004-0000-0000-000085020000}"/>
    <hyperlink ref="D203" r:id="rId647" xr:uid="{00000000-0004-0000-0000-000086020000}"/>
    <hyperlink ref="E203" r:id="rId648" xr:uid="{00000000-0004-0000-0000-000087020000}"/>
    <hyperlink ref="B204" r:id="rId649" xr:uid="{00000000-0004-0000-0000-000088020000}"/>
    <hyperlink ref="D204" r:id="rId650" xr:uid="{00000000-0004-0000-0000-000089020000}"/>
    <hyperlink ref="E204" r:id="rId651" xr:uid="{00000000-0004-0000-0000-00008A020000}"/>
    <hyperlink ref="B205" r:id="rId652" xr:uid="{00000000-0004-0000-0000-00008B020000}"/>
    <hyperlink ref="D205" r:id="rId653" xr:uid="{00000000-0004-0000-0000-00008C020000}"/>
    <hyperlink ref="E205" r:id="rId654" xr:uid="{00000000-0004-0000-0000-00008D020000}"/>
    <hyperlink ref="B206" r:id="rId655" xr:uid="{00000000-0004-0000-0000-00008E020000}"/>
    <hyperlink ref="D206" r:id="rId656" xr:uid="{00000000-0004-0000-0000-00008F020000}"/>
    <hyperlink ref="E206" r:id="rId657" xr:uid="{00000000-0004-0000-0000-000090020000}"/>
    <hyperlink ref="B207" r:id="rId658" xr:uid="{00000000-0004-0000-0000-000091020000}"/>
    <hyperlink ref="D207" r:id="rId659" xr:uid="{00000000-0004-0000-0000-000092020000}"/>
    <hyperlink ref="E207" r:id="rId660" xr:uid="{00000000-0004-0000-0000-000093020000}"/>
    <hyperlink ref="B208" r:id="rId661" xr:uid="{00000000-0004-0000-0000-000094020000}"/>
    <hyperlink ref="D208" r:id="rId662" xr:uid="{00000000-0004-0000-0000-000095020000}"/>
    <hyperlink ref="E208" r:id="rId663" xr:uid="{00000000-0004-0000-0000-000096020000}"/>
    <hyperlink ref="B209" r:id="rId664" xr:uid="{00000000-0004-0000-0000-000097020000}"/>
    <hyperlink ref="D209" r:id="rId665" xr:uid="{00000000-0004-0000-0000-000098020000}"/>
    <hyperlink ref="E209" r:id="rId666" xr:uid="{00000000-0004-0000-0000-000099020000}"/>
    <hyperlink ref="B210" r:id="rId667" xr:uid="{00000000-0004-0000-0000-00009A020000}"/>
    <hyperlink ref="D210" r:id="rId668" xr:uid="{00000000-0004-0000-0000-00009B020000}"/>
    <hyperlink ref="E210" r:id="rId669" xr:uid="{00000000-0004-0000-0000-00009C020000}"/>
    <hyperlink ref="B211" r:id="rId670" xr:uid="{00000000-0004-0000-0000-00009D020000}"/>
    <hyperlink ref="D211" r:id="rId671" xr:uid="{00000000-0004-0000-0000-00009E020000}"/>
    <hyperlink ref="E211" r:id="rId672" xr:uid="{00000000-0004-0000-0000-00009F020000}"/>
    <hyperlink ref="B212" r:id="rId673" xr:uid="{00000000-0004-0000-0000-0000A0020000}"/>
    <hyperlink ref="D212" r:id="rId674" xr:uid="{00000000-0004-0000-0000-0000A1020000}"/>
    <hyperlink ref="E212" r:id="rId675" xr:uid="{00000000-0004-0000-0000-0000A2020000}"/>
    <hyperlink ref="B213" r:id="rId676" xr:uid="{00000000-0004-0000-0000-0000A3020000}"/>
    <hyperlink ref="D213" r:id="rId677" xr:uid="{00000000-0004-0000-0000-0000A4020000}"/>
    <hyperlink ref="E213" r:id="rId678" xr:uid="{00000000-0004-0000-0000-0000A5020000}"/>
    <hyperlink ref="B214" r:id="rId679" xr:uid="{00000000-0004-0000-0000-0000A6020000}"/>
    <hyperlink ref="D214" r:id="rId680" xr:uid="{00000000-0004-0000-0000-0000A7020000}"/>
    <hyperlink ref="E214" r:id="rId681" xr:uid="{00000000-0004-0000-0000-0000A8020000}"/>
    <hyperlink ref="B215" r:id="rId682" xr:uid="{00000000-0004-0000-0000-0000A9020000}"/>
    <hyperlink ref="D215" r:id="rId683" xr:uid="{00000000-0004-0000-0000-0000AA020000}"/>
    <hyperlink ref="E215" r:id="rId684" xr:uid="{00000000-0004-0000-0000-0000AB020000}"/>
    <hyperlink ref="B216" r:id="rId685" xr:uid="{00000000-0004-0000-0000-0000AC020000}"/>
    <hyperlink ref="D216" r:id="rId686" xr:uid="{00000000-0004-0000-0000-0000AD020000}"/>
    <hyperlink ref="E216" r:id="rId687" xr:uid="{00000000-0004-0000-0000-0000AE020000}"/>
    <hyperlink ref="B217" r:id="rId688" xr:uid="{00000000-0004-0000-0000-0000AF020000}"/>
    <hyperlink ref="D217" r:id="rId689" xr:uid="{00000000-0004-0000-0000-0000B0020000}"/>
    <hyperlink ref="E217" r:id="rId690" xr:uid="{00000000-0004-0000-0000-0000B1020000}"/>
    <hyperlink ref="B218" r:id="rId691" xr:uid="{00000000-0004-0000-0000-0000B2020000}"/>
    <hyperlink ref="D218" r:id="rId692" xr:uid="{00000000-0004-0000-0000-0000B3020000}"/>
    <hyperlink ref="E218" r:id="rId693" xr:uid="{00000000-0004-0000-0000-0000B4020000}"/>
    <hyperlink ref="B219" r:id="rId694" xr:uid="{00000000-0004-0000-0000-0000B5020000}"/>
    <hyperlink ref="D219" r:id="rId695" xr:uid="{00000000-0004-0000-0000-0000B6020000}"/>
    <hyperlink ref="E219" r:id="rId696" xr:uid="{00000000-0004-0000-0000-0000B7020000}"/>
    <hyperlink ref="B220" r:id="rId697" xr:uid="{00000000-0004-0000-0000-0000B8020000}"/>
    <hyperlink ref="D220" r:id="rId698" xr:uid="{00000000-0004-0000-0000-0000B9020000}"/>
    <hyperlink ref="E220" r:id="rId699" xr:uid="{00000000-0004-0000-0000-0000BA020000}"/>
    <hyperlink ref="B221" r:id="rId700" xr:uid="{00000000-0004-0000-0000-0000BB020000}"/>
    <hyperlink ref="D221" r:id="rId701" xr:uid="{00000000-0004-0000-0000-0000BC020000}"/>
    <hyperlink ref="E221" r:id="rId702" xr:uid="{00000000-0004-0000-0000-0000BD020000}"/>
    <hyperlink ref="B222" r:id="rId703" xr:uid="{00000000-0004-0000-0000-0000BE020000}"/>
    <hyperlink ref="D222" r:id="rId704" xr:uid="{00000000-0004-0000-0000-0000BF020000}"/>
    <hyperlink ref="E222" r:id="rId705" xr:uid="{00000000-0004-0000-0000-0000C0020000}"/>
    <hyperlink ref="B223" r:id="rId706" xr:uid="{00000000-0004-0000-0000-0000C1020000}"/>
    <hyperlink ref="D223" r:id="rId707" xr:uid="{00000000-0004-0000-0000-0000C2020000}"/>
    <hyperlink ref="E223" r:id="rId708" xr:uid="{00000000-0004-0000-0000-0000C3020000}"/>
    <hyperlink ref="B224" r:id="rId709" xr:uid="{00000000-0004-0000-0000-0000C4020000}"/>
    <hyperlink ref="D224" r:id="rId710" xr:uid="{00000000-0004-0000-0000-0000C5020000}"/>
    <hyperlink ref="E224" r:id="rId711" xr:uid="{00000000-0004-0000-0000-0000C6020000}"/>
    <hyperlink ref="B225" r:id="rId712" xr:uid="{00000000-0004-0000-0000-0000C7020000}"/>
    <hyperlink ref="D225" r:id="rId713" xr:uid="{00000000-0004-0000-0000-0000C8020000}"/>
    <hyperlink ref="E225" r:id="rId714" xr:uid="{00000000-0004-0000-0000-0000C9020000}"/>
    <hyperlink ref="B226" r:id="rId715" xr:uid="{00000000-0004-0000-0000-0000CA020000}"/>
    <hyperlink ref="D226" r:id="rId716" xr:uid="{00000000-0004-0000-0000-0000CB020000}"/>
    <hyperlink ref="E226" r:id="rId717" xr:uid="{00000000-0004-0000-0000-0000CC020000}"/>
    <hyperlink ref="B227" r:id="rId718" xr:uid="{00000000-0004-0000-0000-0000CD020000}"/>
    <hyperlink ref="D227" r:id="rId719" xr:uid="{00000000-0004-0000-0000-0000CE020000}"/>
    <hyperlink ref="E227" r:id="rId720" xr:uid="{00000000-0004-0000-0000-0000CF020000}"/>
    <hyperlink ref="B228" r:id="rId721" xr:uid="{00000000-0004-0000-0000-0000D0020000}"/>
    <hyperlink ref="D228" r:id="rId722" xr:uid="{00000000-0004-0000-0000-0000D1020000}"/>
    <hyperlink ref="E228" r:id="rId723" xr:uid="{00000000-0004-0000-0000-0000D2020000}"/>
    <hyperlink ref="B229" r:id="rId724" xr:uid="{00000000-0004-0000-0000-0000D3020000}"/>
    <hyperlink ref="D229" r:id="rId725" xr:uid="{00000000-0004-0000-0000-0000D4020000}"/>
    <hyperlink ref="E229" r:id="rId726" xr:uid="{00000000-0004-0000-0000-0000D5020000}"/>
    <hyperlink ref="B230" r:id="rId727" xr:uid="{00000000-0004-0000-0000-0000D6020000}"/>
    <hyperlink ref="D230" r:id="rId728" xr:uid="{00000000-0004-0000-0000-0000D7020000}"/>
    <hyperlink ref="E230" r:id="rId729" xr:uid="{00000000-0004-0000-0000-0000D8020000}"/>
    <hyperlink ref="B231" r:id="rId730" xr:uid="{00000000-0004-0000-0000-0000D9020000}"/>
    <hyperlink ref="D231" r:id="rId731" xr:uid="{00000000-0004-0000-0000-0000DA020000}"/>
    <hyperlink ref="E231" r:id="rId732" xr:uid="{00000000-0004-0000-0000-0000DB020000}"/>
    <hyperlink ref="B232" r:id="rId733" xr:uid="{00000000-0004-0000-0000-0000DC020000}"/>
    <hyperlink ref="D232" r:id="rId734" xr:uid="{00000000-0004-0000-0000-0000DD020000}"/>
    <hyperlink ref="E232" r:id="rId735" xr:uid="{00000000-0004-0000-0000-0000DE020000}"/>
    <hyperlink ref="B233" r:id="rId736" xr:uid="{00000000-0004-0000-0000-0000DF020000}"/>
    <hyperlink ref="D233" r:id="rId737" xr:uid="{00000000-0004-0000-0000-0000E0020000}"/>
    <hyperlink ref="E233" r:id="rId738" xr:uid="{00000000-0004-0000-0000-0000E1020000}"/>
    <hyperlink ref="B234" r:id="rId739" xr:uid="{00000000-0004-0000-0000-0000E2020000}"/>
    <hyperlink ref="D234" r:id="rId740" xr:uid="{00000000-0004-0000-0000-0000E3020000}"/>
    <hyperlink ref="E234" r:id="rId741" xr:uid="{00000000-0004-0000-0000-0000E4020000}"/>
    <hyperlink ref="B235" r:id="rId742" xr:uid="{00000000-0004-0000-0000-0000E5020000}"/>
    <hyperlink ref="D235" r:id="rId743" xr:uid="{00000000-0004-0000-0000-0000E6020000}"/>
    <hyperlink ref="E235" r:id="rId744" xr:uid="{00000000-0004-0000-0000-0000E7020000}"/>
    <hyperlink ref="B236" r:id="rId745" xr:uid="{00000000-0004-0000-0000-0000E8020000}"/>
    <hyperlink ref="D236" r:id="rId746" xr:uid="{00000000-0004-0000-0000-0000E9020000}"/>
    <hyperlink ref="E236" r:id="rId747" xr:uid="{00000000-0004-0000-0000-0000EA020000}"/>
    <hyperlink ref="B237" r:id="rId748" xr:uid="{00000000-0004-0000-0000-0000EB020000}"/>
    <hyperlink ref="D237" r:id="rId749" xr:uid="{00000000-0004-0000-0000-0000EC020000}"/>
    <hyperlink ref="E237" r:id="rId750" xr:uid="{00000000-0004-0000-0000-0000ED020000}"/>
    <hyperlink ref="B238" r:id="rId751" xr:uid="{00000000-0004-0000-0000-0000EE020000}"/>
    <hyperlink ref="D238" r:id="rId752" xr:uid="{00000000-0004-0000-0000-0000EF020000}"/>
    <hyperlink ref="E238" r:id="rId753" xr:uid="{00000000-0004-0000-0000-0000F0020000}"/>
    <hyperlink ref="B239" r:id="rId754" xr:uid="{00000000-0004-0000-0000-0000F1020000}"/>
    <hyperlink ref="D239" r:id="rId755" xr:uid="{00000000-0004-0000-0000-0000F2020000}"/>
    <hyperlink ref="E239" r:id="rId756" xr:uid="{00000000-0004-0000-0000-0000F3020000}"/>
    <hyperlink ref="B240" r:id="rId757" xr:uid="{00000000-0004-0000-0000-0000F4020000}"/>
    <hyperlink ref="D240" r:id="rId758" xr:uid="{00000000-0004-0000-0000-0000F5020000}"/>
    <hyperlink ref="E240" r:id="rId759" xr:uid="{00000000-0004-0000-0000-0000F6020000}"/>
    <hyperlink ref="B241" r:id="rId760" xr:uid="{00000000-0004-0000-0000-0000F7020000}"/>
    <hyperlink ref="D241" r:id="rId761" xr:uid="{00000000-0004-0000-0000-0000F8020000}"/>
    <hyperlink ref="E241" r:id="rId762" xr:uid="{00000000-0004-0000-0000-0000F9020000}"/>
    <hyperlink ref="B242" r:id="rId763" xr:uid="{00000000-0004-0000-0000-0000FA020000}"/>
    <hyperlink ref="D242" r:id="rId764" xr:uid="{00000000-0004-0000-0000-0000FB020000}"/>
    <hyperlink ref="E242" r:id="rId765" xr:uid="{00000000-0004-0000-0000-0000FC020000}"/>
    <hyperlink ref="B243" r:id="rId766" xr:uid="{00000000-0004-0000-0000-0000FD020000}"/>
    <hyperlink ref="D243" r:id="rId767" xr:uid="{00000000-0004-0000-0000-0000FE020000}"/>
    <hyperlink ref="E243" r:id="rId768" xr:uid="{00000000-0004-0000-0000-0000FF020000}"/>
    <hyperlink ref="B244" r:id="rId769" xr:uid="{00000000-0004-0000-0000-000000030000}"/>
    <hyperlink ref="D244" r:id="rId770" xr:uid="{00000000-0004-0000-0000-000001030000}"/>
    <hyperlink ref="E244" r:id="rId771" xr:uid="{00000000-0004-0000-0000-000002030000}"/>
    <hyperlink ref="B245" r:id="rId772" xr:uid="{00000000-0004-0000-0000-000003030000}"/>
    <hyperlink ref="D245" r:id="rId773" xr:uid="{00000000-0004-0000-0000-000004030000}"/>
    <hyperlink ref="E245" r:id="rId774" xr:uid="{00000000-0004-0000-0000-000005030000}"/>
    <hyperlink ref="B246" r:id="rId775" xr:uid="{00000000-0004-0000-0000-000006030000}"/>
    <hyperlink ref="D246" r:id="rId776" xr:uid="{00000000-0004-0000-0000-000007030000}"/>
    <hyperlink ref="E246" r:id="rId777" xr:uid="{00000000-0004-0000-0000-000008030000}"/>
    <hyperlink ref="B247" r:id="rId778" xr:uid="{00000000-0004-0000-0000-000009030000}"/>
    <hyperlink ref="D247" r:id="rId779" xr:uid="{00000000-0004-0000-0000-00000A030000}"/>
    <hyperlink ref="E247" r:id="rId780" xr:uid="{00000000-0004-0000-0000-00000B030000}"/>
    <hyperlink ref="B248" r:id="rId781" xr:uid="{00000000-0004-0000-0000-00000C030000}"/>
    <hyperlink ref="D248" r:id="rId782" xr:uid="{00000000-0004-0000-0000-00000D030000}"/>
    <hyperlink ref="E248" r:id="rId783" xr:uid="{00000000-0004-0000-0000-00000E030000}"/>
    <hyperlink ref="B249" r:id="rId784" xr:uid="{00000000-0004-0000-0000-00000F030000}"/>
    <hyperlink ref="D249" r:id="rId785" xr:uid="{00000000-0004-0000-0000-000010030000}"/>
    <hyperlink ref="E249" r:id="rId786" xr:uid="{00000000-0004-0000-0000-000011030000}"/>
    <hyperlink ref="B250" r:id="rId787" xr:uid="{00000000-0004-0000-0000-000012030000}"/>
    <hyperlink ref="D250" r:id="rId788" xr:uid="{00000000-0004-0000-0000-000013030000}"/>
    <hyperlink ref="E250" r:id="rId789" xr:uid="{00000000-0004-0000-0000-000014030000}"/>
    <hyperlink ref="B251" r:id="rId790" xr:uid="{00000000-0004-0000-0000-000015030000}"/>
    <hyperlink ref="D251" r:id="rId791" xr:uid="{00000000-0004-0000-0000-000016030000}"/>
    <hyperlink ref="E251" r:id="rId792" xr:uid="{00000000-0004-0000-0000-000017030000}"/>
    <hyperlink ref="B252" r:id="rId793" xr:uid="{00000000-0004-0000-0000-000018030000}"/>
    <hyperlink ref="D252" r:id="rId794" xr:uid="{00000000-0004-0000-0000-000019030000}"/>
    <hyperlink ref="E252" r:id="rId795" xr:uid="{00000000-0004-0000-0000-00001A030000}"/>
    <hyperlink ref="B253" r:id="rId796" xr:uid="{00000000-0004-0000-0000-00001B030000}"/>
    <hyperlink ref="D253" r:id="rId797" xr:uid="{00000000-0004-0000-0000-00001C030000}"/>
    <hyperlink ref="E253" r:id="rId798" xr:uid="{00000000-0004-0000-0000-00001D030000}"/>
    <hyperlink ref="B254" r:id="rId799" xr:uid="{00000000-0004-0000-0000-00001E030000}"/>
    <hyperlink ref="D254" r:id="rId800" xr:uid="{00000000-0004-0000-0000-00001F030000}"/>
    <hyperlink ref="E254" r:id="rId801" xr:uid="{00000000-0004-0000-0000-000020030000}"/>
    <hyperlink ref="B255" r:id="rId802" xr:uid="{00000000-0004-0000-0000-000021030000}"/>
    <hyperlink ref="D255" r:id="rId803" xr:uid="{00000000-0004-0000-0000-000022030000}"/>
    <hyperlink ref="E255" r:id="rId804" xr:uid="{00000000-0004-0000-0000-000023030000}"/>
    <hyperlink ref="B256" r:id="rId805" xr:uid="{00000000-0004-0000-0000-000024030000}"/>
    <hyperlink ref="D256" r:id="rId806" xr:uid="{00000000-0004-0000-0000-000025030000}"/>
    <hyperlink ref="E256" r:id="rId807" xr:uid="{00000000-0004-0000-0000-000026030000}"/>
    <hyperlink ref="B257" r:id="rId808" xr:uid="{00000000-0004-0000-0000-000027030000}"/>
    <hyperlink ref="D257" r:id="rId809" xr:uid="{00000000-0004-0000-0000-000028030000}"/>
    <hyperlink ref="E257" r:id="rId810" xr:uid="{00000000-0004-0000-0000-000029030000}"/>
    <hyperlink ref="B258" r:id="rId811" xr:uid="{00000000-0004-0000-0000-00002A030000}"/>
    <hyperlink ref="D258" r:id="rId812" xr:uid="{00000000-0004-0000-0000-00002B030000}"/>
    <hyperlink ref="E258" r:id="rId813" xr:uid="{00000000-0004-0000-0000-00002C030000}"/>
    <hyperlink ref="B259" r:id="rId814" xr:uid="{00000000-0004-0000-0000-00002D030000}"/>
    <hyperlink ref="D259" r:id="rId815" xr:uid="{00000000-0004-0000-0000-00002E030000}"/>
    <hyperlink ref="E259" r:id="rId816" xr:uid="{00000000-0004-0000-0000-00002F030000}"/>
    <hyperlink ref="B260" r:id="rId817" xr:uid="{00000000-0004-0000-0000-000030030000}"/>
    <hyperlink ref="D260" r:id="rId818" xr:uid="{00000000-0004-0000-0000-000031030000}"/>
    <hyperlink ref="E260" r:id="rId819" xr:uid="{00000000-0004-0000-0000-000032030000}"/>
    <hyperlink ref="B261" r:id="rId820" xr:uid="{00000000-0004-0000-0000-000033030000}"/>
    <hyperlink ref="D261" r:id="rId821" xr:uid="{00000000-0004-0000-0000-000034030000}"/>
    <hyperlink ref="E261" r:id="rId822" xr:uid="{00000000-0004-0000-0000-000035030000}"/>
    <hyperlink ref="B262" r:id="rId823" xr:uid="{00000000-0004-0000-0000-000036030000}"/>
    <hyperlink ref="D262" r:id="rId824" xr:uid="{00000000-0004-0000-0000-000037030000}"/>
    <hyperlink ref="E262" r:id="rId825" xr:uid="{00000000-0004-0000-0000-000038030000}"/>
    <hyperlink ref="B263" r:id="rId826" xr:uid="{00000000-0004-0000-0000-000039030000}"/>
    <hyperlink ref="D263" r:id="rId827" xr:uid="{00000000-0004-0000-0000-00003A030000}"/>
    <hyperlink ref="E263" r:id="rId828" xr:uid="{00000000-0004-0000-0000-00003B030000}"/>
    <hyperlink ref="B264" r:id="rId829" xr:uid="{00000000-0004-0000-0000-00003C030000}"/>
    <hyperlink ref="D264" r:id="rId830" xr:uid="{00000000-0004-0000-0000-00003D030000}"/>
    <hyperlink ref="E264" r:id="rId831" xr:uid="{00000000-0004-0000-0000-00003E030000}"/>
    <hyperlink ref="B265" r:id="rId832" xr:uid="{00000000-0004-0000-0000-00003F030000}"/>
    <hyperlink ref="D265" r:id="rId833" xr:uid="{00000000-0004-0000-0000-000040030000}"/>
    <hyperlink ref="E265" r:id="rId834" xr:uid="{00000000-0004-0000-0000-000041030000}"/>
    <hyperlink ref="B266" r:id="rId835" xr:uid="{00000000-0004-0000-0000-000042030000}"/>
    <hyperlink ref="D266" r:id="rId836" xr:uid="{00000000-0004-0000-0000-000043030000}"/>
    <hyperlink ref="E266" r:id="rId837" xr:uid="{00000000-0004-0000-0000-000044030000}"/>
    <hyperlink ref="B267" r:id="rId838" xr:uid="{00000000-0004-0000-0000-000045030000}"/>
    <hyperlink ref="D267" r:id="rId839" xr:uid="{00000000-0004-0000-0000-000046030000}"/>
    <hyperlink ref="E267" r:id="rId840" xr:uid="{00000000-0004-0000-0000-000047030000}"/>
    <hyperlink ref="B268" r:id="rId841" xr:uid="{00000000-0004-0000-0000-000048030000}"/>
    <hyperlink ref="D268" r:id="rId842" xr:uid="{00000000-0004-0000-0000-000049030000}"/>
    <hyperlink ref="E268" r:id="rId843" xr:uid="{00000000-0004-0000-0000-00004A030000}"/>
    <hyperlink ref="B269" r:id="rId844" xr:uid="{00000000-0004-0000-0000-00004B030000}"/>
    <hyperlink ref="D269" r:id="rId845" xr:uid="{00000000-0004-0000-0000-00004C030000}"/>
    <hyperlink ref="E269" r:id="rId846" xr:uid="{00000000-0004-0000-0000-00004D030000}"/>
    <hyperlink ref="B270" r:id="rId847" xr:uid="{00000000-0004-0000-0000-00004E030000}"/>
    <hyperlink ref="D270" r:id="rId848" xr:uid="{00000000-0004-0000-0000-00004F030000}"/>
    <hyperlink ref="E270" r:id="rId849" xr:uid="{00000000-0004-0000-0000-000050030000}"/>
    <hyperlink ref="B271" r:id="rId850" xr:uid="{00000000-0004-0000-0000-000051030000}"/>
    <hyperlink ref="D271" r:id="rId851" xr:uid="{00000000-0004-0000-0000-000052030000}"/>
    <hyperlink ref="E271" r:id="rId852" xr:uid="{00000000-0004-0000-0000-000053030000}"/>
    <hyperlink ref="B272" r:id="rId853" xr:uid="{00000000-0004-0000-0000-000054030000}"/>
    <hyperlink ref="D272" r:id="rId854" xr:uid="{00000000-0004-0000-0000-000055030000}"/>
    <hyperlink ref="E272" r:id="rId855" xr:uid="{00000000-0004-0000-0000-000056030000}"/>
    <hyperlink ref="B273" r:id="rId856" xr:uid="{00000000-0004-0000-0000-000057030000}"/>
    <hyperlink ref="D273" r:id="rId857" xr:uid="{00000000-0004-0000-0000-000058030000}"/>
    <hyperlink ref="E273" r:id="rId858" xr:uid="{00000000-0004-0000-0000-000059030000}"/>
    <hyperlink ref="B274" r:id="rId859" xr:uid="{00000000-0004-0000-0000-00005A030000}"/>
    <hyperlink ref="D274" r:id="rId860" xr:uid="{00000000-0004-0000-0000-00005B030000}"/>
    <hyperlink ref="E274" r:id="rId861" xr:uid="{00000000-0004-0000-0000-00005C030000}"/>
    <hyperlink ref="B275" r:id="rId862" xr:uid="{00000000-0004-0000-0000-00005D030000}"/>
    <hyperlink ref="D275" r:id="rId863" xr:uid="{00000000-0004-0000-0000-00005E030000}"/>
    <hyperlink ref="E275" r:id="rId864" xr:uid="{00000000-0004-0000-0000-00005F030000}"/>
    <hyperlink ref="B276" r:id="rId865" xr:uid="{00000000-0004-0000-0000-000060030000}"/>
    <hyperlink ref="D276" r:id="rId866" xr:uid="{00000000-0004-0000-0000-000061030000}"/>
    <hyperlink ref="E276" r:id="rId867" xr:uid="{00000000-0004-0000-0000-000062030000}"/>
    <hyperlink ref="B277" r:id="rId868" xr:uid="{00000000-0004-0000-0000-000063030000}"/>
    <hyperlink ref="D277" r:id="rId869" xr:uid="{00000000-0004-0000-0000-000064030000}"/>
    <hyperlink ref="E277" r:id="rId870" xr:uid="{00000000-0004-0000-0000-000065030000}"/>
    <hyperlink ref="B278" r:id="rId871" xr:uid="{00000000-0004-0000-0000-000066030000}"/>
    <hyperlink ref="D278" r:id="rId872" xr:uid="{00000000-0004-0000-0000-000067030000}"/>
    <hyperlink ref="E278" r:id="rId873" xr:uid="{00000000-0004-0000-0000-000068030000}"/>
    <hyperlink ref="B279" r:id="rId874" xr:uid="{00000000-0004-0000-0000-000069030000}"/>
    <hyperlink ref="D279" r:id="rId875" xr:uid="{00000000-0004-0000-0000-00006A030000}"/>
    <hyperlink ref="E279" r:id="rId876" xr:uid="{00000000-0004-0000-0000-00006B030000}"/>
    <hyperlink ref="B280" r:id="rId877" xr:uid="{00000000-0004-0000-0000-00006C030000}"/>
    <hyperlink ref="D280" r:id="rId878" xr:uid="{00000000-0004-0000-0000-00006D030000}"/>
    <hyperlink ref="E280" r:id="rId879" xr:uid="{00000000-0004-0000-0000-00006E030000}"/>
    <hyperlink ref="B281" r:id="rId880" xr:uid="{00000000-0004-0000-0000-00006F030000}"/>
    <hyperlink ref="D281" r:id="rId881" xr:uid="{00000000-0004-0000-0000-000070030000}"/>
    <hyperlink ref="E281" r:id="rId882" xr:uid="{00000000-0004-0000-0000-000071030000}"/>
    <hyperlink ref="B282" r:id="rId883" xr:uid="{00000000-0004-0000-0000-000072030000}"/>
    <hyperlink ref="D282" r:id="rId884" xr:uid="{00000000-0004-0000-0000-000073030000}"/>
    <hyperlink ref="E282" r:id="rId885" xr:uid="{00000000-0004-0000-0000-000074030000}"/>
    <hyperlink ref="B283" r:id="rId886" xr:uid="{00000000-0004-0000-0000-000075030000}"/>
    <hyperlink ref="D283" r:id="rId887" xr:uid="{00000000-0004-0000-0000-000076030000}"/>
    <hyperlink ref="E283" r:id="rId888" xr:uid="{00000000-0004-0000-0000-000077030000}"/>
    <hyperlink ref="B284" r:id="rId889" xr:uid="{00000000-0004-0000-0000-000078030000}"/>
    <hyperlink ref="D284" r:id="rId890" xr:uid="{00000000-0004-0000-0000-000079030000}"/>
    <hyperlink ref="E284" r:id="rId891" xr:uid="{00000000-0004-0000-0000-00007A030000}"/>
    <hyperlink ref="B285" r:id="rId892" xr:uid="{00000000-0004-0000-0000-00007B030000}"/>
    <hyperlink ref="D285" r:id="rId893" xr:uid="{00000000-0004-0000-0000-00007C030000}"/>
    <hyperlink ref="E285" r:id="rId894" xr:uid="{00000000-0004-0000-0000-00007D030000}"/>
    <hyperlink ref="B286" r:id="rId895" xr:uid="{00000000-0004-0000-0000-00007E030000}"/>
    <hyperlink ref="D286" r:id="rId896" xr:uid="{00000000-0004-0000-0000-00007F030000}"/>
    <hyperlink ref="E286" r:id="rId897" xr:uid="{00000000-0004-0000-0000-000080030000}"/>
    <hyperlink ref="B287" r:id="rId898" xr:uid="{00000000-0004-0000-0000-000081030000}"/>
    <hyperlink ref="D287" r:id="rId899" xr:uid="{00000000-0004-0000-0000-000082030000}"/>
    <hyperlink ref="E287" r:id="rId900" xr:uid="{00000000-0004-0000-0000-000083030000}"/>
    <hyperlink ref="B288" r:id="rId901" xr:uid="{00000000-0004-0000-0000-000084030000}"/>
    <hyperlink ref="D288" r:id="rId902" xr:uid="{00000000-0004-0000-0000-000085030000}"/>
    <hyperlink ref="E288" r:id="rId903" xr:uid="{00000000-0004-0000-0000-000086030000}"/>
    <hyperlink ref="B289" r:id="rId904" xr:uid="{00000000-0004-0000-0000-000087030000}"/>
    <hyperlink ref="D289" r:id="rId905" xr:uid="{00000000-0004-0000-0000-000088030000}"/>
    <hyperlink ref="E289" r:id="rId906" xr:uid="{00000000-0004-0000-0000-000089030000}"/>
    <hyperlink ref="B290" r:id="rId907" xr:uid="{00000000-0004-0000-0000-00008A030000}"/>
    <hyperlink ref="D290" r:id="rId908" xr:uid="{00000000-0004-0000-0000-00008B030000}"/>
    <hyperlink ref="E290" r:id="rId909" xr:uid="{00000000-0004-0000-0000-00008C030000}"/>
    <hyperlink ref="B291" r:id="rId910" xr:uid="{00000000-0004-0000-0000-00008D030000}"/>
    <hyperlink ref="D291" r:id="rId911" xr:uid="{00000000-0004-0000-0000-00008E030000}"/>
    <hyperlink ref="E291" r:id="rId912" xr:uid="{00000000-0004-0000-0000-00008F030000}"/>
    <hyperlink ref="B292" r:id="rId913" xr:uid="{00000000-0004-0000-0000-000090030000}"/>
    <hyperlink ref="D292" r:id="rId914" xr:uid="{00000000-0004-0000-0000-000091030000}"/>
    <hyperlink ref="E292" r:id="rId915" xr:uid="{00000000-0004-0000-0000-000092030000}"/>
    <hyperlink ref="B293" r:id="rId916" xr:uid="{00000000-0004-0000-0000-000093030000}"/>
    <hyperlink ref="D293" r:id="rId917" xr:uid="{00000000-0004-0000-0000-000094030000}"/>
    <hyperlink ref="E293" r:id="rId918" xr:uid="{00000000-0004-0000-0000-000095030000}"/>
    <hyperlink ref="B294" r:id="rId919" xr:uid="{00000000-0004-0000-0000-000096030000}"/>
    <hyperlink ref="D294" r:id="rId920" xr:uid="{00000000-0004-0000-0000-000097030000}"/>
    <hyperlink ref="E294" r:id="rId921" xr:uid="{00000000-0004-0000-0000-000098030000}"/>
    <hyperlink ref="B295" r:id="rId922" xr:uid="{00000000-0004-0000-0000-000099030000}"/>
    <hyperlink ref="D295" r:id="rId923" xr:uid="{00000000-0004-0000-0000-00009A030000}"/>
    <hyperlink ref="E295" r:id="rId924" xr:uid="{00000000-0004-0000-0000-00009B030000}"/>
    <hyperlink ref="B296" r:id="rId925" xr:uid="{00000000-0004-0000-0000-00009C030000}"/>
    <hyperlink ref="D296" r:id="rId926" xr:uid="{00000000-0004-0000-0000-00009D030000}"/>
    <hyperlink ref="E296" r:id="rId927" xr:uid="{00000000-0004-0000-0000-00009E030000}"/>
    <hyperlink ref="B297" r:id="rId928" xr:uid="{00000000-0004-0000-0000-00009F030000}"/>
    <hyperlink ref="D297" r:id="rId929" xr:uid="{00000000-0004-0000-0000-0000A0030000}"/>
    <hyperlink ref="E297" r:id="rId930" xr:uid="{00000000-0004-0000-0000-0000A1030000}"/>
    <hyperlink ref="B298" r:id="rId931" xr:uid="{00000000-0004-0000-0000-0000A2030000}"/>
    <hyperlink ref="D298" r:id="rId932" xr:uid="{00000000-0004-0000-0000-0000A3030000}"/>
    <hyperlink ref="E298" r:id="rId933" xr:uid="{00000000-0004-0000-0000-0000A4030000}"/>
    <hyperlink ref="B299" r:id="rId934" xr:uid="{00000000-0004-0000-0000-0000A5030000}"/>
    <hyperlink ref="D299" r:id="rId935" xr:uid="{00000000-0004-0000-0000-0000A6030000}"/>
    <hyperlink ref="E299" r:id="rId936" xr:uid="{00000000-0004-0000-0000-0000A7030000}"/>
    <hyperlink ref="B300" r:id="rId937" xr:uid="{00000000-0004-0000-0000-0000A8030000}"/>
    <hyperlink ref="D300" r:id="rId938" xr:uid="{00000000-0004-0000-0000-0000A9030000}"/>
    <hyperlink ref="E300" r:id="rId939" xr:uid="{00000000-0004-0000-0000-0000AA030000}"/>
    <hyperlink ref="B301" r:id="rId940" xr:uid="{00000000-0004-0000-0000-0000AB030000}"/>
    <hyperlink ref="D301" r:id="rId941" xr:uid="{00000000-0004-0000-0000-0000AC030000}"/>
    <hyperlink ref="E301" r:id="rId942" xr:uid="{00000000-0004-0000-0000-0000AD030000}"/>
    <hyperlink ref="B302" r:id="rId943" xr:uid="{00000000-0004-0000-0000-0000AE030000}"/>
    <hyperlink ref="D302" r:id="rId944" xr:uid="{00000000-0004-0000-0000-0000AF030000}"/>
    <hyperlink ref="E302" r:id="rId945" xr:uid="{00000000-0004-0000-0000-0000B0030000}"/>
    <hyperlink ref="B303" r:id="rId946" xr:uid="{00000000-0004-0000-0000-0000B1030000}"/>
    <hyperlink ref="D303" r:id="rId947" xr:uid="{00000000-0004-0000-0000-0000B2030000}"/>
    <hyperlink ref="E303" r:id="rId948" xr:uid="{00000000-0004-0000-0000-0000B3030000}"/>
    <hyperlink ref="B304" r:id="rId949" xr:uid="{00000000-0004-0000-0000-0000B4030000}"/>
    <hyperlink ref="D304" r:id="rId950" xr:uid="{00000000-0004-0000-0000-0000B5030000}"/>
    <hyperlink ref="E304" r:id="rId951" xr:uid="{00000000-0004-0000-0000-0000B6030000}"/>
    <hyperlink ref="B305" r:id="rId952" xr:uid="{00000000-0004-0000-0000-0000B7030000}"/>
    <hyperlink ref="D305" r:id="rId953" xr:uid="{00000000-0004-0000-0000-0000B8030000}"/>
    <hyperlink ref="E305" r:id="rId954" xr:uid="{00000000-0004-0000-0000-0000B9030000}"/>
    <hyperlink ref="B306" r:id="rId955" xr:uid="{00000000-0004-0000-0000-0000BA030000}"/>
    <hyperlink ref="D306" r:id="rId956" xr:uid="{00000000-0004-0000-0000-0000BB030000}"/>
    <hyperlink ref="E306" r:id="rId957" xr:uid="{00000000-0004-0000-0000-0000BC030000}"/>
    <hyperlink ref="B307" r:id="rId958" xr:uid="{00000000-0004-0000-0000-0000BD030000}"/>
    <hyperlink ref="D307" r:id="rId959" xr:uid="{00000000-0004-0000-0000-0000BE030000}"/>
    <hyperlink ref="E307" r:id="rId960" xr:uid="{00000000-0004-0000-0000-0000BF030000}"/>
    <hyperlink ref="B308" r:id="rId961" xr:uid="{00000000-0004-0000-0000-0000C0030000}"/>
    <hyperlink ref="D308" r:id="rId962" xr:uid="{00000000-0004-0000-0000-0000C1030000}"/>
    <hyperlink ref="E308" r:id="rId963" xr:uid="{00000000-0004-0000-0000-0000C2030000}"/>
    <hyperlink ref="B309" r:id="rId964" xr:uid="{00000000-0004-0000-0000-0000C3030000}"/>
    <hyperlink ref="D309" r:id="rId965" xr:uid="{00000000-0004-0000-0000-0000C4030000}"/>
    <hyperlink ref="E309" r:id="rId966" xr:uid="{00000000-0004-0000-0000-0000C5030000}"/>
    <hyperlink ref="B310" r:id="rId967" xr:uid="{00000000-0004-0000-0000-0000C6030000}"/>
    <hyperlink ref="D310" r:id="rId968" xr:uid="{00000000-0004-0000-0000-0000C7030000}"/>
    <hyperlink ref="E310" r:id="rId969" xr:uid="{00000000-0004-0000-0000-0000C8030000}"/>
    <hyperlink ref="B311" r:id="rId970" xr:uid="{00000000-0004-0000-0000-0000C9030000}"/>
    <hyperlink ref="D311" r:id="rId971" xr:uid="{00000000-0004-0000-0000-0000CA030000}"/>
    <hyperlink ref="E311" r:id="rId972" xr:uid="{00000000-0004-0000-0000-0000CB030000}"/>
    <hyperlink ref="B312" r:id="rId973" xr:uid="{00000000-0004-0000-0000-0000CC030000}"/>
    <hyperlink ref="D312" r:id="rId974" xr:uid="{00000000-0004-0000-0000-0000CD030000}"/>
    <hyperlink ref="E312" r:id="rId975" xr:uid="{00000000-0004-0000-0000-0000CE030000}"/>
    <hyperlink ref="B313" r:id="rId976" xr:uid="{00000000-0004-0000-0000-0000CF030000}"/>
    <hyperlink ref="D313" r:id="rId977" xr:uid="{00000000-0004-0000-0000-0000D0030000}"/>
    <hyperlink ref="E313" r:id="rId978" xr:uid="{00000000-0004-0000-0000-0000D1030000}"/>
    <hyperlink ref="B314" r:id="rId979" xr:uid="{00000000-0004-0000-0000-0000D2030000}"/>
    <hyperlink ref="D314" r:id="rId980" xr:uid="{00000000-0004-0000-0000-0000D3030000}"/>
    <hyperlink ref="E314" r:id="rId981" xr:uid="{00000000-0004-0000-0000-0000D4030000}"/>
    <hyperlink ref="B315" r:id="rId982" xr:uid="{00000000-0004-0000-0000-0000D5030000}"/>
    <hyperlink ref="D315" r:id="rId983" xr:uid="{00000000-0004-0000-0000-0000D6030000}"/>
    <hyperlink ref="E315" r:id="rId984" xr:uid="{00000000-0004-0000-0000-0000D7030000}"/>
    <hyperlink ref="B316" r:id="rId985" xr:uid="{00000000-0004-0000-0000-0000D8030000}"/>
    <hyperlink ref="D316" r:id="rId986" xr:uid="{00000000-0004-0000-0000-0000D9030000}"/>
    <hyperlink ref="E316" r:id="rId987" xr:uid="{00000000-0004-0000-0000-0000DA030000}"/>
    <hyperlink ref="B317" r:id="rId988" xr:uid="{00000000-0004-0000-0000-0000DB030000}"/>
    <hyperlink ref="D317" r:id="rId989" xr:uid="{00000000-0004-0000-0000-0000DC030000}"/>
    <hyperlink ref="E317" r:id="rId990" xr:uid="{00000000-0004-0000-0000-0000DD030000}"/>
    <hyperlink ref="B318" r:id="rId991" xr:uid="{00000000-0004-0000-0000-0000DE030000}"/>
    <hyperlink ref="D318" r:id="rId992" xr:uid="{00000000-0004-0000-0000-0000DF030000}"/>
    <hyperlink ref="E318" r:id="rId993" xr:uid="{00000000-0004-0000-0000-0000E0030000}"/>
    <hyperlink ref="B319" r:id="rId994" xr:uid="{00000000-0004-0000-0000-0000E1030000}"/>
    <hyperlink ref="D319" r:id="rId995" xr:uid="{00000000-0004-0000-0000-0000E2030000}"/>
    <hyperlink ref="E319" r:id="rId996" xr:uid="{00000000-0004-0000-0000-0000E3030000}"/>
    <hyperlink ref="B320" r:id="rId997" xr:uid="{00000000-0004-0000-0000-0000E4030000}"/>
    <hyperlink ref="D320" r:id="rId998" xr:uid="{00000000-0004-0000-0000-0000E5030000}"/>
    <hyperlink ref="E320" r:id="rId999" xr:uid="{00000000-0004-0000-0000-0000E6030000}"/>
    <hyperlink ref="B321" r:id="rId1000" xr:uid="{00000000-0004-0000-0000-0000E7030000}"/>
    <hyperlink ref="D321" r:id="rId1001" xr:uid="{00000000-0004-0000-0000-0000E8030000}"/>
    <hyperlink ref="E321" r:id="rId1002" xr:uid="{00000000-0004-0000-0000-0000E9030000}"/>
    <hyperlink ref="B322" r:id="rId1003" xr:uid="{00000000-0004-0000-0000-0000EA030000}"/>
    <hyperlink ref="D322" r:id="rId1004" xr:uid="{00000000-0004-0000-0000-0000EB030000}"/>
    <hyperlink ref="E322" r:id="rId1005" xr:uid="{00000000-0004-0000-0000-0000EC030000}"/>
    <hyperlink ref="B323" r:id="rId1006" xr:uid="{00000000-0004-0000-0000-0000ED030000}"/>
    <hyperlink ref="D323" r:id="rId1007" xr:uid="{00000000-0004-0000-0000-0000EE030000}"/>
    <hyperlink ref="E323" r:id="rId1008" xr:uid="{00000000-0004-0000-0000-0000EF030000}"/>
    <hyperlink ref="B324" r:id="rId1009" xr:uid="{00000000-0004-0000-0000-0000F0030000}"/>
    <hyperlink ref="D324" r:id="rId1010" xr:uid="{00000000-0004-0000-0000-0000F1030000}"/>
    <hyperlink ref="E324" r:id="rId1011" xr:uid="{00000000-0004-0000-0000-0000F2030000}"/>
    <hyperlink ref="B325" r:id="rId1012" xr:uid="{00000000-0004-0000-0000-0000F3030000}"/>
    <hyperlink ref="D325" r:id="rId1013" xr:uid="{00000000-0004-0000-0000-0000F4030000}"/>
    <hyperlink ref="E325" r:id="rId1014" xr:uid="{00000000-0004-0000-0000-0000F5030000}"/>
    <hyperlink ref="B326" r:id="rId1015" xr:uid="{00000000-0004-0000-0000-0000F6030000}"/>
    <hyperlink ref="D326" r:id="rId1016" xr:uid="{00000000-0004-0000-0000-0000F7030000}"/>
    <hyperlink ref="E326" r:id="rId1017" xr:uid="{00000000-0004-0000-0000-0000F8030000}"/>
    <hyperlink ref="B327" r:id="rId1018" xr:uid="{00000000-0004-0000-0000-0000F9030000}"/>
    <hyperlink ref="D327" r:id="rId1019" xr:uid="{00000000-0004-0000-0000-0000FA030000}"/>
    <hyperlink ref="E327" r:id="rId1020" xr:uid="{00000000-0004-0000-0000-0000FB030000}"/>
    <hyperlink ref="B328" r:id="rId1021" xr:uid="{00000000-0004-0000-0000-0000FC030000}"/>
    <hyperlink ref="D328" r:id="rId1022" xr:uid="{00000000-0004-0000-0000-0000FD030000}"/>
    <hyperlink ref="E328" r:id="rId1023" xr:uid="{00000000-0004-0000-0000-0000FE030000}"/>
    <hyperlink ref="B329" r:id="rId1024" xr:uid="{00000000-0004-0000-0000-0000FF030000}"/>
    <hyperlink ref="D329" r:id="rId1025" xr:uid="{00000000-0004-0000-0000-000000040000}"/>
    <hyperlink ref="E329" r:id="rId1026" xr:uid="{00000000-0004-0000-0000-000001040000}"/>
    <hyperlink ref="B330" r:id="rId1027" xr:uid="{00000000-0004-0000-0000-000002040000}"/>
    <hyperlink ref="D330" r:id="rId1028" xr:uid="{00000000-0004-0000-0000-000003040000}"/>
    <hyperlink ref="E330" r:id="rId1029" xr:uid="{00000000-0004-0000-0000-000004040000}"/>
    <hyperlink ref="B331" r:id="rId1030" xr:uid="{00000000-0004-0000-0000-000005040000}"/>
    <hyperlink ref="D331" r:id="rId1031" xr:uid="{00000000-0004-0000-0000-000006040000}"/>
    <hyperlink ref="E331" r:id="rId1032" xr:uid="{00000000-0004-0000-0000-000007040000}"/>
    <hyperlink ref="B332" r:id="rId1033" xr:uid="{00000000-0004-0000-0000-000008040000}"/>
    <hyperlink ref="D332" r:id="rId1034" xr:uid="{00000000-0004-0000-0000-000009040000}"/>
    <hyperlink ref="E332" r:id="rId1035" xr:uid="{00000000-0004-0000-0000-00000A040000}"/>
    <hyperlink ref="B333" r:id="rId1036" xr:uid="{00000000-0004-0000-0000-00000B040000}"/>
    <hyperlink ref="D333" r:id="rId1037" xr:uid="{00000000-0004-0000-0000-00000C040000}"/>
    <hyperlink ref="E333" r:id="rId1038" xr:uid="{00000000-0004-0000-0000-00000D040000}"/>
    <hyperlink ref="B334" r:id="rId1039" xr:uid="{00000000-0004-0000-0000-00000E040000}"/>
    <hyperlink ref="D334" r:id="rId1040" xr:uid="{00000000-0004-0000-0000-00000F040000}"/>
    <hyperlink ref="E334" r:id="rId1041" xr:uid="{00000000-0004-0000-0000-000010040000}"/>
    <hyperlink ref="B335" r:id="rId1042" xr:uid="{00000000-0004-0000-0000-000011040000}"/>
    <hyperlink ref="D335" r:id="rId1043" xr:uid="{00000000-0004-0000-0000-000012040000}"/>
    <hyperlink ref="E335" r:id="rId1044" xr:uid="{00000000-0004-0000-0000-000013040000}"/>
    <hyperlink ref="B336" r:id="rId1045" xr:uid="{00000000-0004-0000-0000-000014040000}"/>
    <hyperlink ref="D336" r:id="rId1046" xr:uid="{00000000-0004-0000-0000-000015040000}"/>
    <hyperlink ref="E336" r:id="rId1047" xr:uid="{00000000-0004-0000-0000-000016040000}"/>
    <hyperlink ref="B337" r:id="rId1048" xr:uid="{00000000-0004-0000-0000-000017040000}"/>
    <hyperlink ref="D337" r:id="rId1049" xr:uid="{00000000-0004-0000-0000-000018040000}"/>
    <hyperlink ref="E337" r:id="rId1050" xr:uid="{00000000-0004-0000-0000-000019040000}"/>
    <hyperlink ref="B338" r:id="rId1051" xr:uid="{00000000-0004-0000-0000-00001A040000}"/>
    <hyperlink ref="D338" r:id="rId1052" xr:uid="{00000000-0004-0000-0000-00001B040000}"/>
    <hyperlink ref="E338" r:id="rId1053" xr:uid="{00000000-0004-0000-0000-00001C040000}"/>
    <hyperlink ref="B339" r:id="rId1054" xr:uid="{00000000-0004-0000-0000-00001D040000}"/>
    <hyperlink ref="D339" r:id="rId1055" xr:uid="{00000000-0004-0000-0000-00001E040000}"/>
    <hyperlink ref="E339" r:id="rId1056" xr:uid="{00000000-0004-0000-0000-00001F040000}"/>
    <hyperlink ref="B340" r:id="rId1057" xr:uid="{00000000-0004-0000-0000-000020040000}"/>
    <hyperlink ref="D340" r:id="rId1058" xr:uid="{00000000-0004-0000-0000-000021040000}"/>
    <hyperlink ref="E340" r:id="rId1059" xr:uid="{00000000-0004-0000-0000-000022040000}"/>
    <hyperlink ref="B341" r:id="rId1060" xr:uid="{00000000-0004-0000-0000-000023040000}"/>
    <hyperlink ref="D341" r:id="rId1061" xr:uid="{00000000-0004-0000-0000-000024040000}"/>
    <hyperlink ref="E341" r:id="rId1062" xr:uid="{00000000-0004-0000-0000-000025040000}"/>
    <hyperlink ref="B342" r:id="rId1063" xr:uid="{00000000-0004-0000-0000-000026040000}"/>
    <hyperlink ref="D342" r:id="rId1064" xr:uid="{00000000-0004-0000-0000-000027040000}"/>
    <hyperlink ref="E342" r:id="rId1065" xr:uid="{00000000-0004-0000-0000-000028040000}"/>
    <hyperlink ref="B343" r:id="rId1066" xr:uid="{00000000-0004-0000-0000-000029040000}"/>
    <hyperlink ref="D343" r:id="rId1067" xr:uid="{00000000-0004-0000-0000-00002A040000}"/>
    <hyperlink ref="E343" r:id="rId1068" xr:uid="{00000000-0004-0000-0000-00002B040000}"/>
    <hyperlink ref="B344" r:id="rId1069" xr:uid="{00000000-0004-0000-0000-00002C040000}"/>
    <hyperlink ref="D344" r:id="rId1070" xr:uid="{00000000-0004-0000-0000-00002D040000}"/>
    <hyperlink ref="E344" r:id="rId1071" xr:uid="{00000000-0004-0000-0000-00002E040000}"/>
    <hyperlink ref="B345" r:id="rId1072" xr:uid="{00000000-0004-0000-0000-00002F040000}"/>
    <hyperlink ref="D345" r:id="rId1073" xr:uid="{00000000-0004-0000-0000-000030040000}"/>
    <hyperlink ref="E345" r:id="rId1074" xr:uid="{00000000-0004-0000-0000-000031040000}"/>
    <hyperlink ref="B346" r:id="rId1075" xr:uid="{00000000-0004-0000-0000-000032040000}"/>
    <hyperlink ref="D346" r:id="rId1076" xr:uid="{00000000-0004-0000-0000-000033040000}"/>
    <hyperlink ref="E346" r:id="rId1077" xr:uid="{00000000-0004-0000-0000-000034040000}"/>
    <hyperlink ref="B347" r:id="rId1078" xr:uid="{00000000-0004-0000-0000-000035040000}"/>
    <hyperlink ref="D347" r:id="rId1079" xr:uid="{00000000-0004-0000-0000-000036040000}"/>
    <hyperlink ref="E347" r:id="rId1080" xr:uid="{00000000-0004-0000-0000-000037040000}"/>
    <hyperlink ref="B348" r:id="rId1081" xr:uid="{00000000-0004-0000-0000-000038040000}"/>
    <hyperlink ref="D348" r:id="rId1082" xr:uid="{00000000-0004-0000-0000-000039040000}"/>
    <hyperlink ref="E348" r:id="rId1083" xr:uid="{00000000-0004-0000-0000-00003A040000}"/>
    <hyperlink ref="B349" r:id="rId1084" xr:uid="{00000000-0004-0000-0000-00003B040000}"/>
    <hyperlink ref="D349" r:id="rId1085" xr:uid="{00000000-0004-0000-0000-00003C040000}"/>
    <hyperlink ref="E349" r:id="rId1086" xr:uid="{00000000-0004-0000-0000-00003D040000}"/>
    <hyperlink ref="B350" r:id="rId1087" xr:uid="{00000000-0004-0000-0000-00003E040000}"/>
    <hyperlink ref="D350" r:id="rId1088" xr:uid="{00000000-0004-0000-0000-00003F040000}"/>
    <hyperlink ref="E350" r:id="rId1089" xr:uid="{00000000-0004-0000-0000-000040040000}"/>
    <hyperlink ref="B351" r:id="rId1090" xr:uid="{00000000-0004-0000-0000-000041040000}"/>
    <hyperlink ref="D351" r:id="rId1091" xr:uid="{00000000-0004-0000-0000-000042040000}"/>
    <hyperlink ref="E351" r:id="rId1092" xr:uid="{00000000-0004-0000-0000-000043040000}"/>
    <hyperlink ref="B352" r:id="rId1093" xr:uid="{00000000-0004-0000-0000-000044040000}"/>
    <hyperlink ref="D352" r:id="rId1094" xr:uid="{00000000-0004-0000-0000-000045040000}"/>
    <hyperlink ref="E352" r:id="rId1095" xr:uid="{00000000-0004-0000-0000-000046040000}"/>
    <hyperlink ref="B353" r:id="rId1096" xr:uid="{00000000-0004-0000-0000-000047040000}"/>
    <hyperlink ref="D353" r:id="rId1097" xr:uid="{00000000-0004-0000-0000-000048040000}"/>
    <hyperlink ref="E353" r:id="rId1098" xr:uid="{00000000-0004-0000-0000-000049040000}"/>
    <hyperlink ref="B354" r:id="rId1099" xr:uid="{00000000-0004-0000-0000-00004A040000}"/>
    <hyperlink ref="D354" r:id="rId1100" xr:uid="{00000000-0004-0000-0000-00004B040000}"/>
    <hyperlink ref="E354" r:id="rId1101" xr:uid="{00000000-0004-0000-0000-00004C040000}"/>
    <hyperlink ref="B355" r:id="rId1102" xr:uid="{00000000-0004-0000-0000-00004D040000}"/>
    <hyperlink ref="D355" r:id="rId1103" xr:uid="{00000000-0004-0000-0000-00004E040000}"/>
    <hyperlink ref="E355" r:id="rId1104" xr:uid="{00000000-0004-0000-0000-00004F040000}"/>
    <hyperlink ref="B356" r:id="rId1105" xr:uid="{00000000-0004-0000-0000-000050040000}"/>
    <hyperlink ref="D356" r:id="rId1106" xr:uid="{00000000-0004-0000-0000-000051040000}"/>
    <hyperlink ref="E356" r:id="rId1107" xr:uid="{00000000-0004-0000-0000-000052040000}"/>
    <hyperlink ref="B357" r:id="rId1108" xr:uid="{00000000-0004-0000-0000-000053040000}"/>
    <hyperlink ref="D357" r:id="rId1109" xr:uid="{00000000-0004-0000-0000-000054040000}"/>
    <hyperlink ref="E357" r:id="rId1110" xr:uid="{00000000-0004-0000-0000-000055040000}"/>
    <hyperlink ref="B358" r:id="rId1111" xr:uid="{00000000-0004-0000-0000-000056040000}"/>
    <hyperlink ref="D358" r:id="rId1112" xr:uid="{00000000-0004-0000-0000-000057040000}"/>
    <hyperlink ref="E358" r:id="rId1113" xr:uid="{00000000-0004-0000-0000-000058040000}"/>
    <hyperlink ref="B359" r:id="rId1114" xr:uid="{00000000-0004-0000-0000-000059040000}"/>
    <hyperlink ref="D359" r:id="rId1115" xr:uid="{00000000-0004-0000-0000-00005A040000}"/>
    <hyperlink ref="E359" r:id="rId1116" xr:uid="{00000000-0004-0000-0000-00005B040000}"/>
    <hyperlink ref="B360" r:id="rId1117" xr:uid="{00000000-0004-0000-0000-00005C040000}"/>
    <hyperlink ref="D360" r:id="rId1118" xr:uid="{00000000-0004-0000-0000-00005D040000}"/>
    <hyperlink ref="E360" r:id="rId1119" xr:uid="{00000000-0004-0000-0000-00005E040000}"/>
    <hyperlink ref="B361" r:id="rId1120" xr:uid="{00000000-0004-0000-0000-00005F040000}"/>
    <hyperlink ref="D361" r:id="rId1121" xr:uid="{00000000-0004-0000-0000-000060040000}"/>
    <hyperlink ref="E361" r:id="rId1122" xr:uid="{00000000-0004-0000-0000-000061040000}"/>
    <hyperlink ref="B362" r:id="rId1123" xr:uid="{00000000-0004-0000-0000-000062040000}"/>
    <hyperlink ref="D362" r:id="rId1124" xr:uid="{00000000-0004-0000-0000-000063040000}"/>
    <hyperlink ref="E362" r:id="rId1125" xr:uid="{00000000-0004-0000-0000-000064040000}"/>
    <hyperlink ref="B363" r:id="rId1126" xr:uid="{00000000-0004-0000-0000-000065040000}"/>
    <hyperlink ref="D363" r:id="rId1127" xr:uid="{00000000-0004-0000-0000-000066040000}"/>
    <hyperlink ref="E363" r:id="rId1128" xr:uid="{00000000-0004-0000-0000-000067040000}"/>
    <hyperlink ref="B364" r:id="rId1129" xr:uid="{00000000-0004-0000-0000-000068040000}"/>
    <hyperlink ref="D364" r:id="rId1130" xr:uid="{00000000-0004-0000-0000-000069040000}"/>
    <hyperlink ref="E364" r:id="rId1131" xr:uid="{00000000-0004-0000-0000-00006A040000}"/>
    <hyperlink ref="B365" r:id="rId1132" xr:uid="{00000000-0004-0000-0000-00006B040000}"/>
    <hyperlink ref="D365" r:id="rId1133" xr:uid="{00000000-0004-0000-0000-00006C040000}"/>
    <hyperlink ref="E365" r:id="rId1134" xr:uid="{00000000-0004-0000-0000-00006D040000}"/>
    <hyperlink ref="B366" r:id="rId1135" xr:uid="{00000000-0004-0000-0000-00006E040000}"/>
    <hyperlink ref="D366" r:id="rId1136" xr:uid="{00000000-0004-0000-0000-00006F040000}"/>
    <hyperlink ref="E366" r:id="rId1137" xr:uid="{00000000-0004-0000-0000-000070040000}"/>
    <hyperlink ref="B367" r:id="rId1138" xr:uid="{00000000-0004-0000-0000-000071040000}"/>
    <hyperlink ref="D367" r:id="rId1139" xr:uid="{00000000-0004-0000-0000-000072040000}"/>
    <hyperlink ref="E367" r:id="rId1140" xr:uid="{00000000-0004-0000-0000-000073040000}"/>
    <hyperlink ref="B368" r:id="rId1141" xr:uid="{00000000-0004-0000-0000-000074040000}"/>
    <hyperlink ref="D368" r:id="rId1142" xr:uid="{00000000-0004-0000-0000-000075040000}"/>
    <hyperlink ref="E368" r:id="rId1143" xr:uid="{00000000-0004-0000-0000-000076040000}"/>
    <hyperlink ref="B369" r:id="rId1144" xr:uid="{00000000-0004-0000-0000-000077040000}"/>
    <hyperlink ref="D369" r:id="rId1145" xr:uid="{00000000-0004-0000-0000-000078040000}"/>
    <hyperlink ref="E369" r:id="rId1146" xr:uid="{00000000-0004-0000-0000-000079040000}"/>
    <hyperlink ref="B370" r:id="rId1147" xr:uid="{00000000-0004-0000-0000-00007A040000}"/>
    <hyperlink ref="D370" r:id="rId1148" xr:uid="{00000000-0004-0000-0000-00007B040000}"/>
    <hyperlink ref="E370" r:id="rId1149" xr:uid="{00000000-0004-0000-0000-00007C040000}"/>
    <hyperlink ref="B371" r:id="rId1150" xr:uid="{00000000-0004-0000-0000-00007D040000}"/>
    <hyperlink ref="D371" r:id="rId1151" xr:uid="{00000000-0004-0000-0000-00007E040000}"/>
    <hyperlink ref="E371" r:id="rId1152" xr:uid="{00000000-0004-0000-0000-00007F040000}"/>
    <hyperlink ref="B372" r:id="rId1153" xr:uid="{00000000-0004-0000-0000-000080040000}"/>
    <hyperlink ref="D372" r:id="rId1154" xr:uid="{00000000-0004-0000-0000-000081040000}"/>
    <hyperlink ref="E372" r:id="rId1155" xr:uid="{00000000-0004-0000-0000-000082040000}"/>
    <hyperlink ref="B373" r:id="rId1156" xr:uid="{00000000-0004-0000-0000-000083040000}"/>
    <hyperlink ref="D373" r:id="rId1157" xr:uid="{00000000-0004-0000-0000-000084040000}"/>
    <hyperlink ref="E373" r:id="rId1158" xr:uid="{00000000-0004-0000-0000-000085040000}"/>
    <hyperlink ref="B374" r:id="rId1159" xr:uid="{00000000-0004-0000-0000-000086040000}"/>
    <hyperlink ref="D374" r:id="rId1160" xr:uid="{00000000-0004-0000-0000-000087040000}"/>
    <hyperlink ref="E374" r:id="rId1161" xr:uid="{00000000-0004-0000-0000-000088040000}"/>
    <hyperlink ref="B375" r:id="rId1162" xr:uid="{00000000-0004-0000-0000-000089040000}"/>
    <hyperlink ref="D375" r:id="rId1163" xr:uid="{00000000-0004-0000-0000-00008A040000}"/>
    <hyperlink ref="E375" r:id="rId1164" xr:uid="{00000000-0004-0000-0000-00008B040000}"/>
    <hyperlink ref="B376" r:id="rId1165" xr:uid="{00000000-0004-0000-0000-00008C040000}"/>
    <hyperlink ref="D376" r:id="rId1166" xr:uid="{00000000-0004-0000-0000-00008D040000}"/>
    <hyperlink ref="E376" r:id="rId1167" xr:uid="{00000000-0004-0000-0000-00008E040000}"/>
    <hyperlink ref="B377" r:id="rId1168" xr:uid="{00000000-0004-0000-0000-00008F040000}"/>
    <hyperlink ref="D377" r:id="rId1169" xr:uid="{00000000-0004-0000-0000-000090040000}"/>
    <hyperlink ref="E377" r:id="rId1170" xr:uid="{00000000-0004-0000-0000-000091040000}"/>
    <hyperlink ref="B378" r:id="rId1171" xr:uid="{00000000-0004-0000-0000-000092040000}"/>
    <hyperlink ref="D378" r:id="rId1172" xr:uid="{00000000-0004-0000-0000-000093040000}"/>
    <hyperlink ref="E378" r:id="rId1173" xr:uid="{00000000-0004-0000-0000-000094040000}"/>
    <hyperlink ref="B379" r:id="rId1174" xr:uid="{00000000-0004-0000-0000-000095040000}"/>
    <hyperlink ref="D379" r:id="rId1175" xr:uid="{00000000-0004-0000-0000-000096040000}"/>
    <hyperlink ref="E379" r:id="rId1176" xr:uid="{00000000-0004-0000-0000-000097040000}"/>
    <hyperlink ref="B380" r:id="rId1177" xr:uid="{00000000-0004-0000-0000-000098040000}"/>
    <hyperlink ref="D380" r:id="rId1178" xr:uid="{00000000-0004-0000-0000-000099040000}"/>
    <hyperlink ref="E380" r:id="rId1179" xr:uid="{00000000-0004-0000-0000-00009A040000}"/>
    <hyperlink ref="B381" r:id="rId1180" xr:uid="{00000000-0004-0000-0000-00009B040000}"/>
    <hyperlink ref="D381" r:id="rId1181" xr:uid="{00000000-0004-0000-0000-00009C040000}"/>
    <hyperlink ref="E381" r:id="rId1182" xr:uid="{00000000-0004-0000-0000-00009D040000}"/>
    <hyperlink ref="B382" r:id="rId1183" xr:uid="{00000000-0004-0000-0000-00009E040000}"/>
    <hyperlink ref="D382" r:id="rId1184" xr:uid="{00000000-0004-0000-0000-00009F040000}"/>
    <hyperlink ref="E382" r:id="rId1185" xr:uid="{00000000-0004-0000-0000-0000A0040000}"/>
    <hyperlink ref="B383" r:id="rId1186" xr:uid="{00000000-0004-0000-0000-0000A1040000}"/>
    <hyperlink ref="D383" r:id="rId1187" xr:uid="{00000000-0004-0000-0000-0000A2040000}"/>
    <hyperlink ref="E383" r:id="rId1188" xr:uid="{00000000-0004-0000-0000-0000A3040000}"/>
    <hyperlink ref="B384" r:id="rId1189" xr:uid="{00000000-0004-0000-0000-0000A4040000}"/>
    <hyperlink ref="D384" r:id="rId1190" xr:uid="{00000000-0004-0000-0000-0000A5040000}"/>
    <hyperlink ref="E384" r:id="rId1191" xr:uid="{00000000-0004-0000-0000-0000A6040000}"/>
    <hyperlink ref="B385" r:id="rId1192" xr:uid="{00000000-0004-0000-0000-0000A7040000}"/>
    <hyperlink ref="D385" r:id="rId1193" xr:uid="{00000000-0004-0000-0000-0000A8040000}"/>
    <hyperlink ref="E385" r:id="rId1194" xr:uid="{00000000-0004-0000-0000-0000A9040000}"/>
    <hyperlink ref="B386" r:id="rId1195" xr:uid="{00000000-0004-0000-0000-0000AA040000}"/>
    <hyperlink ref="D386" r:id="rId1196" xr:uid="{00000000-0004-0000-0000-0000AB040000}"/>
    <hyperlink ref="E386" r:id="rId1197" xr:uid="{00000000-0004-0000-0000-0000AC040000}"/>
    <hyperlink ref="B387" r:id="rId1198" xr:uid="{00000000-0004-0000-0000-0000AD040000}"/>
    <hyperlink ref="D387" r:id="rId1199" xr:uid="{00000000-0004-0000-0000-0000AE040000}"/>
    <hyperlink ref="E387" r:id="rId1200" xr:uid="{00000000-0004-0000-0000-0000AF040000}"/>
    <hyperlink ref="B388" r:id="rId1201" xr:uid="{00000000-0004-0000-0000-0000B0040000}"/>
    <hyperlink ref="D388" r:id="rId1202" xr:uid="{00000000-0004-0000-0000-0000B1040000}"/>
    <hyperlink ref="E388" r:id="rId1203" xr:uid="{00000000-0004-0000-0000-0000B2040000}"/>
    <hyperlink ref="B389" r:id="rId1204" xr:uid="{00000000-0004-0000-0000-0000B3040000}"/>
    <hyperlink ref="D389" r:id="rId1205" xr:uid="{00000000-0004-0000-0000-0000B4040000}"/>
    <hyperlink ref="E389" r:id="rId1206" xr:uid="{00000000-0004-0000-0000-0000B5040000}"/>
    <hyperlink ref="B390" r:id="rId1207" xr:uid="{00000000-0004-0000-0000-0000B6040000}"/>
    <hyperlink ref="D390" r:id="rId1208" xr:uid="{00000000-0004-0000-0000-0000B7040000}"/>
    <hyperlink ref="E390" r:id="rId1209" xr:uid="{00000000-0004-0000-0000-0000B8040000}"/>
    <hyperlink ref="B391" r:id="rId1210" xr:uid="{00000000-0004-0000-0000-0000B9040000}"/>
    <hyperlink ref="D391" r:id="rId1211" xr:uid="{00000000-0004-0000-0000-0000BA040000}"/>
    <hyperlink ref="E391" r:id="rId1212" xr:uid="{00000000-0004-0000-0000-0000BB040000}"/>
    <hyperlink ref="B392" r:id="rId1213" xr:uid="{00000000-0004-0000-0000-0000BC040000}"/>
    <hyperlink ref="D392" r:id="rId1214" xr:uid="{00000000-0004-0000-0000-0000BD040000}"/>
    <hyperlink ref="E392" r:id="rId1215" xr:uid="{00000000-0004-0000-0000-0000BE040000}"/>
    <hyperlink ref="B393" r:id="rId1216" xr:uid="{00000000-0004-0000-0000-0000BF040000}"/>
    <hyperlink ref="D393" r:id="rId1217" xr:uid="{00000000-0004-0000-0000-0000C0040000}"/>
    <hyperlink ref="E393" r:id="rId1218" xr:uid="{00000000-0004-0000-0000-0000C1040000}"/>
    <hyperlink ref="B394" r:id="rId1219" xr:uid="{00000000-0004-0000-0000-0000C2040000}"/>
    <hyperlink ref="D394" r:id="rId1220" xr:uid="{00000000-0004-0000-0000-0000C3040000}"/>
    <hyperlink ref="E394" r:id="rId1221" xr:uid="{00000000-0004-0000-0000-0000C4040000}"/>
    <hyperlink ref="B395" r:id="rId1222" xr:uid="{00000000-0004-0000-0000-0000C5040000}"/>
    <hyperlink ref="D395" r:id="rId1223" xr:uid="{00000000-0004-0000-0000-0000C6040000}"/>
    <hyperlink ref="E395" r:id="rId1224" xr:uid="{00000000-0004-0000-0000-0000C7040000}"/>
    <hyperlink ref="B396" r:id="rId1225" xr:uid="{00000000-0004-0000-0000-0000C8040000}"/>
    <hyperlink ref="D396" r:id="rId1226" xr:uid="{00000000-0004-0000-0000-0000C9040000}"/>
    <hyperlink ref="E396" r:id="rId1227" xr:uid="{00000000-0004-0000-0000-0000CA040000}"/>
    <hyperlink ref="B397" r:id="rId1228" xr:uid="{00000000-0004-0000-0000-0000CB040000}"/>
    <hyperlink ref="D397" r:id="rId1229" xr:uid="{00000000-0004-0000-0000-0000CC040000}"/>
    <hyperlink ref="E397" r:id="rId1230" xr:uid="{00000000-0004-0000-0000-0000CD040000}"/>
    <hyperlink ref="B398" r:id="rId1231" xr:uid="{00000000-0004-0000-0000-0000CE040000}"/>
    <hyperlink ref="D398" r:id="rId1232" xr:uid="{00000000-0004-0000-0000-0000CF040000}"/>
    <hyperlink ref="E398" r:id="rId1233" xr:uid="{00000000-0004-0000-0000-0000D0040000}"/>
    <hyperlink ref="B399" r:id="rId1234" xr:uid="{00000000-0004-0000-0000-0000D1040000}"/>
    <hyperlink ref="D399" r:id="rId1235" xr:uid="{00000000-0004-0000-0000-0000D2040000}"/>
    <hyperlink ref="E399" r:id="rId1236" xr:uid="{00000000-0004-0000-0000-0000D3040000}"/>
    <hyperlink ref="B400" r:id="rId1237" xr:uid="{00000000-0004-0000-0000-0000D4040000}"/>
    <hyperlink ref="D400" r:id="rId1238" xr:uid="{00000000-0004-0000-0000-0000D5040000}"/>
    <hyperlink ref="E400" r:id="rId1239" xr:uid="{00000000-0004-0000-0000-0000D6040000}"/>
    <hyperlink ref="B401" r:id="rId1240" xr:uid="{00000000-0004-0000-0000-0000D7040000}"/>
    <hyperlink ref="D401" r:id="rId1241" xr:uid="{00000000-0004-0000-0000-0000D8040000}"/>
    <hyperlink ref="E401" r:id="rId1242" xr:uid="{00000000-0004-0000-0000-0000D9040000}"/>
    <hyperlink ref="B402" r:id="rId1243" xr:uid="{00000000-0004-0000-0000-0000DA040000}"/>
    <hyperlink ref="D402" r:id="rId1244" xr:uid="{00000000-0004-0000-0000-0000DB040000}"/>
    <hyperlink ref="E402" r:id="rId1245" xr:uid="{00000000-0004-0000-0000-0000DC040000}"/>
    <hyperlink ref="B403" r:id="rId1246" xr:uid="{00000000-0004-0000-0000-0000DD040000}"/>
    <hyperlink ref="D403" r:id="rId1247" xr:uid="{00000000-0004-0000-0000-0000DE040000}"/>
    <hyperlink ref="E403" r:id="rId1248" xr:uid="{00000000-0004-0000-0000-0000DF040000}"/>
    <hyperlink ref="B404" r:id="rId1249" xr:uid="{00000000-0004-0000-0000-0000E0040000}"/>
    <hyperlink ref="D404" r:id="rId1250" xr:uid="{00000000-0004-0000-0000-0000E1040000}"/>
    <hyperlink ref="E404" r:id="rId1251" xr:uid="{00000000-0004-0000-0000-0000E2040000}"/>
    <hyperlink ref="B405" r:id="rId1252" xr:uid="{00000000-0004-0000-0000-0000E3040000}"/>
    <hyperlink ref="D405" r:id="rId1253" xr:uid="{00000000-0004-0000-0000-0000E4040000}"/>
    <hyperlink ref="E405" r:id="rId1254" xr:uid="{00000000-0004-0000-0000-0000E5040000}"/>
    <hyperlink ref="B406" r:id="rId1255" xr:uid="{00000000-0004-0000-0000-0000E6040000}"/>
    <hyperlink ref="D406" r:id="rId1256" xr:uid="{00000000-0004-0000-0000-0000E7040000}"/>
    <hyperlink ref="E406" r:id="rId1257" xr:uid="{00000000-0004-0000-0000-0000E8040000}"/>
    <hyperlink ref="B407" r:id="rId1258" xr:uid="{00000000-0004-0000-0000-0000E9040000}"/>
    <hyperlink ref="D407" r:id="rId1259" xr:uid="{00000000-0004-0000-0000-0000EA040000}"/>
    <hyperlink ref="E407" r:id="rId1260" xr:uid="{00000000-0004-0000-0000-0000EB040000}"/>
    <hyperlink ref="B408" r:id="rId1261" xr:uid="{00000000-0004-0000-0000-0000EC040000}"/>
    <hyperlink ref="D408" r:id="rId1262" xr:uid="{00000000-0004-0000-0000-0000ED040000}"/>
    <hyperlink ref="E408" r:id="rId1263" xr:uid="{00000000-0004-0000-0000-0000EE040000}"/>
    <hyperlink ref="B409" r:id="rId1264" xr:uid="{00000000-0004-0000-0000-0000EF040000}"/>
    <hyperlink ref="D409" r:id="rId1265" xr:uid="{00000000-0004-0000-0000-0000F0040000}"/>
    <hyperlink ref="E409" r:id="rId1266" xr:uid="{00000000-0004-0000-0000-0000F1040000}"/>
    <hyperlink ref="B410" r:id="rId1267" xr:uid="{00000000-0004-0000-0000-0000F2040000}"/>
    <hyperlink ref="D410" r:id="rId1268" xr:uid="{00000000-0004-0000-0000-0000F3040000}"/>
    <hyperlink ref="E410" r:id="rId1269" xr:uid="{00000000-0004-0000-0000-0000F4040000}"/>
    <hyperlink ref="B411" r:id="rId1270" xr:uid="{00000000-0004-0000-0000-0000F5040000}"/>
    <hyperlink ref="D411" r:id="rId1271" xr:uid="{00000000-0004-0000-0000-0000F6040000}"/>
    <hyperlink ref="E411" r:id="rId1272" xr:uid="{00000000-0004-0000-0000-0000F7040000}"/>
    <hyperlink ref="B412" r:id="rId1273" xr:uid="{00000000-0004-0000-0000-0000F8040000}"/>
    <hyperlink ref="D412" r:id="rId1274" xr:uid="{00000000-0004-0000-0000-0000F9040000}"/>
    <hyperlink ref="E412" r:id="rId1275" xr:uid="{00000000-0004-0000-0000-0000FA040000}"/>
    <hyperlink ref="B413" r:id="rId1276" xr:uid="{00000000-0004-0000-0000-0000FB040000}"/>
    <hyperlink ref="D413" r:id="rId1277" xr:uid="{00000000-0004-0000-0000-0000FC040000}"/>
    <hyperlink ref="E413" r:id="rId1278" xr:uid="{00000000-0004-0000-0000-0000FD040000}"/>
    <hyperlink ref="B414" r:id="rId1279" xr:uid="{00000000-0004-0000-0000-0000FE040000}"/>
    <hyperlink ref="D414" r:id="rId1280" xr:uid="{00000000-0004-0000-0000-0000FF040000}"/>
    <hyperlink ref="E414" r:id="rId1281" xr:uid="{00000000-0004-0000-0000-000000050000}"/>
    <hyperlink ref="B415" r:id="rId1282" xr:uid="{00000000-0004-0000-0000-000001050000}"/>
    <hyperlink ref="D415" r:id="rId1283" xr:uid="{00000000-0004-0000-0000-000002050000}"/>
    <hyperlink ref="E415" r:id="rId1284" xr:uid="{00000000-0004-0000-0000-000003050000}"/>
    <hyperlink ref="B416" r:id="rId1285" xr:uid="{00000000-0004-0000-0000-000004050000}"/>
    <hyperlink ref="D416" r:id="rId1286" xr:uid="{00000000-0004-0000-0000-000005050000}"/>
    <hyperlink ref="E416" r:id="rId1287" xr:uid="{00000000-0004-0000-0000-000006050000}"/>
    <hyperlink ref="B417" r:id="rId1288" xr:uid="{00000000-0004-0000-0000-000007050000}"/>
    <hyperlink ref="D417" r:id="rId1289" xr:uid="{00000000-0004-0000-0000-000008050000}"/>
    <hyperlink ref="E417" r:id="rId1290" xr:uid="{00000000-0004-0000-0000-000009050000}"/>
    <hyperlink ref="B418" r:id="rId1291" xr:uid="{00000000-0004-0000-0000-00000A050000}"/>
    <hyperlink ref="D418" r:id="rId1292" xr:uid="{00000000-0004-0000-0000-00000B050000}"/>
    <hyperlink ref="E418" r:id="rId1293" xr:uid="{00000000-0004-0000-0000-00000C050000}"/>
    <hyperlink ref="B419" r:id="rId1294" xr:uid="{00000000-0004-0000-0000-00000D050000}"/>
    <hyperlink ref="D419" r:id="rId1295" xr:uid="{00000000-0004-0000-0000-00000E050000}"/>
    <hyperlink ref="E419" r:id="rId1296" xr:uid="{00000000-0004-0000-0000-00000F050000}"/>
    <hyperlink ref="B420" r:id="rId1297" xr:uid="{00000000-0004-0000-0000-000010050000}"/>
    <hyperlink ref="D420" r:id="rId1298" xr:uid="{00000000-0004-0000-0000-000011050000}"/>
    <hyperlink ref="E420" r:id="rId1299" xr:uid="{00000000-0004-0000-0000-000012050000}"/>
    <hyperlink ref="B421" r:id="rId1300" xr:uid="{00000000-0004-0000-0000-000013050000}"/>
    <hyperlink ref="D421" r:id="rId1301" xr:uid="{00000000-0004-0000-0000-000014050000}"/>
    <hyperlink ref="E421" r:id="rId1302" xr:uid="{00000000-0004-0000-0000-000015050000}"/>
    <hyperlink ref="B422" r:id="rId1303" xr:uid="{00000000-0004-0000-0000-000016050000}"/>
    <hyperlink ref="D422" r:id="rId1304" xr:uid="{00000000-0004-0000-0000-000017050000}"/>
    <hyperlink ref="E422" r:id="rId1305" xr:uid="{00000000-0004-0000-0000-000018050000}"/>
    <hyperlink ref="B423" r:id="rId1306" xr:uid="{00000000-0004-0000-0000-000019050000}"/>
    <hyperlink ref="D423" r:id="rId1307" xr:uid="{00000000-0004-0000-0000-00001A050000}"/>
    <hyperlink ref="E423" r:id="rId1308" xr:uid="{00000000-0004-0000-0000-00001B050000}"/>
    <hyperlink ref="B424" r:id="rId1309" xr:uid="{00000000-0004-0000-0000-00001C050000}"/>
    <hyperlink ref="D424" r:id="rId1310" xr:uid="{00000000-0004-0000-0000-00001D050000}"/>
    <hyperlink ref="E424" r:id="rId1311" xr:uid="{00000000-0004-0000-0000-00001E050000}"/>
    <hyperlink ref="B425" r:id="rId1312" xr:uid="{00000000-0004-0000-0000-00001F050000}"/>
    <hyperlink ref="D425" r:id="rId1313" xr:uid="{00000000-0004-0000-0000-000020050000}"/>
    <hyperlink ref="E425" r:id="rId1314" xr:uid="{00000000-0004-0000-0000-000021050000}"/>
    <hyperlink ref="B426" r:id="rId1315" xr:uid="{00000000-0004-0000-0000-000022050000}"/>
    <hyperlink ref="D426" r:id="rId1316" xr:uid="{00000000-0004-0000-0000-000023050000}"/>
    <hyperlink ref="E426" r:id="rId1317" xr:uid="{00000000-0004-0000-0000-000024050000}"/>
    <hyperlink ref="B427" r:id="rId1318" xr:uid="{00000000-0004-0000-0000-000025050000}"/>
    <hyperlink ref="D427" r:id="rId1319" xr:uid="{00000000-0004-0000-0000-000026050000}"/>
    <hyperlink ref="E427" r:id="rId1320" xr:uid="{00000000-0004-0000-0000-000027050000}"/>
    <hyperlink ref="B428" r:id="rId1321" xr:uid="{00000000-0004-0000-0000-000028050000}"/>
    <hyperlink ref="D428" r:id="rId1322" xr:uid="{00000000-0004-0000-0000-000029050000}"/>
    <hyperlink ref="E428" r:id="rId1323" xr:uid="{00000000-0004-0000-0000-00002A050000}"/>
    <hyperlink ref="B429" r:id="rId1324" xr:uid="{00000000-0004-0000-0000-00002B050000}"/>
    <hyperlink ref="D429" r:id="rId1325" xr:uid="{00000000-0004-0000-0000-00002C050000}"/>
    <hyperlink ref="E429" r:id="rId1326" xr:uid="{00000000-0004-0000-0000-00002D050000}"/>
    <hyperlink ref="B430" r:id="rId1327" xr:uid="{00000000-0004-0000-0000-00002E050000}"/>
    <hyperlink ref="D430" r:id="rId1328" xr:uid="{00000000-0004-0000-0000-00002F050000}"/>
    <hyperlink ref="E430" r:id="rId1329" xr:uid="{00000000-0004-0000-0000-000030050000}"/>
    <hyperlink ref="B431" r:id="rId1330" xr:uid="{00000000-0004-0000-0000-000031050000}"/>
    <hyperlink ref="D431" r:id="rId1331" xr:uid="{00000000-0004-0000-0000-000032050000}"/>
    <hyperlink ref="E431" r:id="rId1332" xr:uid="{00000000-0004-0000-0000-000033050000}"/>
    <hyperlink ref="B432" r:id="rId1333" xr:uid="{00000000-0004-0000-0000-000034050000}"/>
    <hyperlink ref="D432" r:id="rId1334" xr:uid="{00000000-0004-0000-0000-000035050000}"/>
    <hyperlink ref="E432" r:id="rId1335" xr:uid="{00000000-0004-0000-0000-000036050000}"/>
    <hyperlink ref="B433" r:id="rId1336" xr:uid="{00000000-0004-0000-0000-000037050000}"/>
    <hyperlink ref="D433" r:id="rId1337" xr:uid="{00000000-0004-0000-0000-000038050000}"/>
    <hyperlink ref="E433" r:id="rId1338" xr:uid="{00000000-0004-0000-0000-000039050000}"/>
    <hyperlink ref="B434" r:id="rId1339" xr:uid="{00000000-0004-0000-0000-00003A050000}"/>
    <hyperlink ref="D434" r:id="rId1340" xr:uid="{00000000-0004-0000-0000-00003B050000}"/>
    <hyperlink ref="E434" r:id="rId1341" xr:uid="{00000000-0004-0000-0000-00003C050000}"/>
    <hyperlink ref="B435" r:id="rId1342" xr:uid="{00000000-0004-0000-0000-00003D050000}"/>
    <hyperlink ref="D435" r:id="rId1343" xr:uid="{00000000-0004-0000-0000-00003E050000}"/>
    <hyperlink ref="E435" r:id="rId1344" xr:uid="{00000000-0004-0000-0000-00003F050000}"/>
    <hyperlink ref="B436" r:id="rId1345" xr:uid="{00000000-0004-0000-0000-000040050000}"/>
    <hyperlink ref="D436" r:id="rId1346" xr:uid="{00000000-0004-0000-0000-000041050000}"/>
    <hyperlink ref="E436" r:id="rId1347" xr:uid="{00000000-0004-0000-0000-000042050000}"/>
    <hyperlink ref="B437" r:id="rId1348" xr:uid="{00000000-0004-0000-0000-000043050000}"/>
    <hyperlink ref="D437" r:id="rId1349" xr:uid="{00000000-0004-0000-0000-000044050000}"/>
    <hyperlink ref="E437" r:id="rId1350" xr:uid="{00000000-0004-0000-0000-000045050000}"/>
    <hyperlink ref="B438" r:id="rId1351" xr:uid="{00000000-0004-0000-0000-000046050000}"/>
    <hyperlink ref="D438" r:id="rId1352" xr:uid="{00000000-0004-0000-0000-000047050000}"/>
    <hyperlink ref="E438" r:id="rId1353" xr:uid="{00000000-0004-0000-0000-000048050000}"/>
    <hyperlink ref="B439" r:id="rId1354" xr:uid="{00000000-0004-0000-0000-000049050000}"/>
    <hyperlink ref="D439" r:id="rId1355" xr:uid="{00000000-0004-0000-0000-00004A050000}"/>
    <hyperlink ref="E439" r:id="rId1356" xr:uid="{00000000-0004-0000-0000-00004B050000}"/>
    <hyperlink ref="B440" r:id="rId1357" xr:uid="{00000000-0004-0000-0000-00004C050000}"/>
    <hyperlink ref="D440" r:id="rId1358" xr:uid="{00000000-0004-0000-0000-00004D050000}"/>
    <hyperlink ref="E440" r:id="rId1359" xr:uid="{00000000-0004-0000-0000-00004E050000}"/>
    <hyperlink ref="B441" r:id="rId1360" xr:uid="{00000000-0004-0000-0000-00004F050000}"/>
    <hyperlink ref="D441" r:id="rId1361" xr:uid="{00000000-0004-0000-0000-000050050000}"/>
    <hyperlink ref="E441" r:id="rId1362" xr:uid="{00000000-0004-0000-0000-000051050000}"/>
    <hyperlink ref="B442" r:id="rId1363" xr:uid="{00000000-0004-0000-0000-000052050000}"/>
    <hyperlink ref="D442" r:id="rId1364" xr:uid="{00000000-0004-0000-0000-000053050000}"/>
    <hyperlink ref="E442" r:id="rId1365" xr:uid="{00000000-0004-0000-0000-000054050000}"/>
    <hyperlink ref="B443" r:id="rId1366" xr:uid="{00000000-0004-0000-0000-000055050000}"/>
    <hyperlink ref="D443" r:id="rId1367" xr:uid="{00000000-0004-0000-0000-000056050000}"/>
    <hyperlink ref="E443" r:id="rId1368" xr:uid="{00000000-0004-0000-0000-000057050000}"/>
    <hyperlink ref="B444" r:id="rId1369" xr:uid="{00000000-0004-0000-0000-000058050000}"/>
    <hyperlink ref="D444" r:id="rId1370" xr:uid="{00000000-0004-0000-0000-000059050000}"/>
    <hyperlink ref="E444" r:id="rId1371" xr:uid="{00000000-0004-0000-0000-00005A050000}"/>
    <hyperlink ref="B445" r:id="rId1372" xr:uid="{00000000-0004-0000-0000-00005B050000}"/>
    <hyperlink ref="D445" r:id="rId1373" xr:uid="{00000000-0004-0000-0000-00005C050000}"/>
    <hyperlink ref="E445" r:id="rId1374" xr:uid="{00000000-0004-0000-0000-00005D050000}"/>
    <hyperlink ref="B446" r:id="rId1375" xr:uid="{00000000-0004-0000-0000-00005E050000}"/>
    <hyperlink ref="D446" r:id="rId1376" xr:uid="{00000000-0004-0000-0000-00005F050000}"/>
    <hyperlink ref="E446" r:id="rId1377" xr:uid="{00000000-0004-0000-0000-000060050000}"/>
    <hyperlink ref="B447" r:id="rId1378" xr:uid="{00000000-0004-0000-0000-000061050000}"/>
    <hyperlink ref="D447" r:id="rId1379" xr:uid="{00000000-0004-0000-0000-000062050000}"/>
    <hyperlink ref="E447" r:id="rId1380" xr:uid="{00000000-0004-0000-0000-000063050000}"/>
    <hyperlink ref="B448" r:id="rId1381" xr:uid="{00000000-0004-0000-0000-000064050000}"/>
    <hyperlink ref="D448" r:id="rId1382" xr:uid="{00000000-0004-0000-0000-000065050000}"/>
    <hyperlink ref="E448" r:id="rId1383" xr:uid="{00000000-0004-0000-0000-000066050000}"/>
    <hyperlink ref="B449" r:id="rId1384" xr:uid="{00000000-0004-0000-0000-000067050000}"/>
    <hyperlink ref="D449" r:id="rId1385" xr:uid="{00000000-0004-0000-0000-000068050000}"/>
    <hyperlink ref="E449" r:id="rId1386" xr:uid="{00000000-0004-0000-0000-000069050000}"/>
    <hyperlink ref="B450" r:id="rId1387" xr:uid="{00000000-0004-0000-0000-00006A050000}"/>
    <hyperlink ref="D450" r:id="rId1388" xr:uid="{00000000-0004-0000-0000-00006B050000}"/>
    <hyperlink ref="E450" r:id="rId1389" xr:uid="{00000000-0004-0000-0000-00006C050000}"/>
    <hyperlink ref="B451" r:id="rId1390" xr:uid="{00000000-0004-0000-0000-00006D050000}"/>
    <hyperlink ref="D451" r:id="rId1391" xr:uid="{00000000-0004-0000-0000-00006E050000}"/>
    <hyperlink ref="E451" r:id="rId1392" xr:uid="{00000000-0004-0000-0000-00006F050000}"/>
    <hyperlink ref="B452" r:id="rId1393" xr:uid="{00000000-0004-0000-0000-000070050000}"/>
    <hyperlink ref="D452" r:id="rId1394" xr:uid="{00000000-0004-0000-0000-000071050000}"/>
    <hyperlink ref="E452" r:id="rId1395" xr:uid="{00000000-0004-0000-0000-000072050000}"/>
    <hyperlink ref="B453" r:id="rId1396" xr:uid="{00000000-0004-0000-0000-000073050000}"/>
    <hyperlink ref="D453" r:id="rId1397" xr:uid="{00000000-0004-0000-0000-000074050000}"/>
    <hyperlink ref="E453" r:id="rId1398" xr:uid="{00000000-0004-0000-0000-000075050000}"/>
    <hyperlink ref="B454" r:id="rId1399" xr:uid="{00000000-0004-0000-0000-000076050000}"/>
    <hyperlink ref="D454" r:id="rId1400" xr:uid="{00000000-0004-0000-0000-000077050000}"/>
    <hyperlink ref="E454" r:id="rId1401" xr:uid="{00000000-0004-0000-0000-000078050000}"/>
    <hyperlink ref="B455" r:id="rId1402" xr:uid="{00000000-0004-0000-0000-000079050000}"/>
    <hyperlink ref="D455" r:id="rId1403" xr:uid="{00000000-0004-0000-0000-00007A050000}"/>
    <hyperlink ref="E455" r:id="rId1404" xr:uid="{00000000-0004-0000-0000-00007B050000}"/>
    <hyperlink ref="B456" r:id="rId1405" xr:uid="{00000000-0004-0000-0000-00007C050000}"/>
    <hyperlink ref="D456" r:id="rId1406" xr:uid="{00000000-0004-0000-0000-00007D050000}"/>
    <hyperlink ref="E456" r:id="rId1407" xr:uid="{00000000-0004-0000-0000-00007E050000}"/>
    <hyperlink ref="B457" r:id="rId1408" xr:uid="{00000000-0004-0000-0000-00007F050000}"/>
    <hyperlink ref="D457" r:id="rId1409" xr:uid="{00000000-0004-0000-0000-000080050000}"/>
    <hyperlink ref="E457" r:id="rId1410" xr:uid="{00000000-0004-0000-0000-000081050000}"/>
    <hyperlink ref="B458" r:id="rId1411" xr:uid="{00000000-0004-0000-0000-000082050000}"/>
    <hyperlink ref="D458" r:id="rId1412" xr:uid="{00000000-0004-0000-0000-000083050000}"/>
    <hyperlink ref="E458" r:id="rId1413" xr:uid="{00000000-0004-0000-0000-000084050000}"/>
    <hyperlink ref="B459" r:id="rId1414" xr:uid="{00000000-0004-0000-0000-000085050000}"/>
    <hyperlink ref="D459" r:id="rId1415" xr:uid="{00000000-0004-0000-0000-000086050000}"/>
    <hyperlink ref="E459" r:id="rId1416" xr:uid="{00000000-0004-0000-0000-000087050000}"/>
    <hyperlink ref="B460" r:id="rId1417" xr:uid="{00000000-0004-0000-0000-000088050000}"/>
    <hyperlink ref="D460" r:id="rId1418" xr:uid="{00000000-0004-0000-0000-000089050000}"/>
    <hyperlink ref="E460" r:id="rId1419" xr:uid="{00000000-0004-0000-0000-00008A050000}"/>
    <hyperlink ref="B461" r:id="rId1420" xr:uid="{00000000-0004-0000-0000-00008B050000}"/>
    <hyperlink ref="D461" r:id="rId1421" xr:uid="{00000000-0004-0000-0000-00008C050000}"/>
    <hyperlink ref="E461" r:id="rId1422" xr:uid="{00000000-0004-0000-0000-00008D050000}"/>
    <hyperlink ref="B462" r:id="rId1423" xr:uid="{00000000-0004-0000-0000-00008E050000}"/>
    <hyperlink ref="D462" r:id="rId1424" xr:uid="{00000000-0004-0000-0000-00008F050000}"/>
    <hyperlink ref="E462" r:id="rId1425" xr:uid="{00000000-0004-0000-0000-000090050000}"/>
    <hyperlink ref="B463" r:id="rId1426" xr:uid="{00000000-0004-0000-0000-000091050000}"/>
    <hyperlink ref="D463" r:id="rId1427" xr:uid="{00000000-0004-0000-0000-000092050000}"/>
    <hyperlink ref="E463" r:id="rId1428" xr:uid="{00000000-0004-0000-0000-000093050000}"/>
    <hyperlink ref="B464" r:id="rId1429" xr:uid="{00000000-0004-0000-0000-000094050000}"/>
    <hyperlink ref="D464" r:id="rId1430" xr:uid="{00000000-0004-0000-0000-000095050000}"/>
    <hyperlink ref="E464" r:id="rId1431" xr:uid="{00000000-0004-0000-0000-000096050000}"/>
    <hyperlink ref="B465" r:id="rId1432" xr:uid="{00000000-0004-0000-0000-000097050000}"/>
    <hyperlink ref="D465" r:id="rId1433" xr:uid="{00000000-0004-0000-0000-000098050000}"/>
    <hyperlink ref="E465" r:id="rId1434" xr:uid="{00000000-0004-0000-0000-000099050000}"/>
    <hyperlink ref="B466" r:id="rId1435" xr:uid="{00000000-0004-0000-0000-00009A050000}"/>
    <hyperlink ref="D466" r:id="rId1436" xr:uid="{00000000-0004-0000-0000-00009B050000}"/>
    <hyperlink ref="E466" r:id="rId1437" xr:uid="{00000000-0004-0000-0000-00009C050000}"/>
    <hyperlink ref="B467" r:id="rId1438" xr:uid="{00000000-0004-0000-0000-00009D050000}"/>
    <hyperlink ref="D467" r:id="rId1439" xr:uid="{00000000-0004-0000-0000-00009E050000}"/>
    <hyperlink ref="E467" r:id="rId1440" xr:uid="{00000000-0004-0000-0000-00009F050000}"/>
    <hyperlink ref="B468" r:id="rId1441" xr:uid="{00000000-0004-0000-0000-0000A0050000}"/>
    <hyperlink ref="D468" r:id="rId1442" xr:uid="{00000000-0004-0000-0000-0000A1050000}"/>
    <hyperlink ref="E468" r:id="rId1443" xr:uid="{00000000-0004-0000-0000-0000A2050000}"/>
    <hyperlink ref="B469" r:id="rId1444" xr:uid="{00000000-0004-0000-0000-0000A3050000}"/>
    <hyperlink ref="D469" r:id="rId1445" xr:uid="{00000000-0004-0000-0000-0000A4050000}"/>
    <hyperlink ref="E469" r:id="rId1446" xr:uid="{00000000-0004-0000-0000-0000A5050000}"/>
    <hyperlink ref="B470" r:id="rId1447" xr:uid="{00000000-0004-0000-0000-0000A6050000}"/>
    <hyperlink ref="D470" r:id="rId1448" xr:uid="{00000000-0004-0000-0000-0000A7050000}"/>
    <hyperlink ref="E470" r:id="rId1449" xr:uid="{00000000-0004-0000-0000-0000A8050000}"/>
    <hyperlink ref="B471" r:id="rId1450" xr:uid="{00000000-0004-0000-0000-0000A9050000}"/>
    <hyperlink ref="D471" r:id="rId1451" xr:uid="{00000000-0004-0000-0000-0000AA050000}"/>
    <hyperlink ref="E471" r:id="rId1452" xr:uid="{00000000-0004-0000-0000-0000AB050000}"/>
    <hyperlink ref="B472" r:id="rId1453" xr:uid="{00000000-0004-0000-0000-0000AC050000}"/>
    <hyperlink ref="D472" r:id="rId1454" xr:uid="{00000000-0004-0000-0000-0000AD050000}"/>
    <hyperlink ref="E472" r:id="rId1455" xr:uid="{00000000-0004-0000-0000-0000AE050000}"/>
    <hyperlink ref="B473" r:id="rId1456" xr:uid="{00000000-0004-0000-0000-0000AF050000}"/>
    <hyperlink ref="D473" r:id="rId1457" xr:uid="{00000000-0004-0000-0000-0000B0050000}"/>
    <hyperlink ref="E473" r:id="rId1458" xr:uid="{00000000-0004-0000-0000-0000B1050000}"/>
    <hyperlink ref="B474" r:id="rId1459" xr:uid="{00000000-0004-0000-0000-0000B2050000}"/>
    <hyperlink ref="D474" r:id="rId1460" xr:uid="{00000000-0004-0000-0000-0000B3050000}"/>
    <hyperlink ref="E474" r:id="rId1461" xr:uid="{00000000-0004-0000-0000-0000B4050000}"/>
    <hyperlink ref="B475" r:id="rId1462" xr:uid="{00000000-0004-0000-0000-0000B5050000}"/>
    <hyperlink ref="D475" r:id="rId1463" xr:uid="{00000000-0004-0000-0000-0000B6050000}"/>
    <hyperlink ref="E475" r:id="rId1464" xr:uid="{00000000-0004-0000-0000-0000B7050000}"/>
    <hyperlink ref="B476" r:id="rId1465" xr:uid="{00000000-0004-0000-0000-0000B8050000}"/>
    <hyperlink ref="D476" r:id="rId1466" xr:uid="{00000000-0004-0000-0000-0000B9050000}"/>
    <hyperlink ref="E476" r:id="rId1467" xr:uid="{00000000-0004-0000-0000-0000BA050000}"/>
    <hyperlink ref="B477" r:id="rId1468" xr:uid="{00000000-0004-0000-0000-0000BB050000}"/>
    <hyperlink ref="D477" r:id="rId1469" xr:uid="{00000000-0004-0000-0000-0000BC050000}"/>
    <hyperlink ref="E477" r:id="rId1470" xr:uid="{00000000-0004-0000-0000-0000BD050000}"/>
    <hyperlink ref="B478" r:id="rId1471" xr:uid="{00000000-0004-0000-0000-0000BE050000}"/>
    <hyperlink ref="D478" r:id="rId1472" xr:uid="{00000000-0004-0000-0000-0000BF050000}"/>
    <hyperlink ref="E478" r:id="rId1473" xr:uid="{00000000-0004-0000-0000-0000C0050000}"/>
    <hyperlink ref="B479" r:id="rId1474" xr:uid="{00000000-0004-0000-0000-0000C1050000}"/>
    <hyperlink ref="D479" r:id="rId1475" xr:uid="{00000000-0004-0000-0000-0000C2050000}"/>
    <hyperlink ref="E479" r:id="rId1476" xr:uid="{00000000-0004-0000-0000-0000C3050000}"/>
    <hyperlink ref="B480" r:id="rId1477" xr:uid="{00000000-0004-0000-0000-0000C4050000}"/>
    <hyperlink ref="D480" r:id="rId1478" xr:uid="{00000000-0004-0000-0000-0000C5050000}"/>
    <hyperlink ref="E480" r:id="rId1479" xr:uid="{00000000-0004-0000-0000-0000C6050000}"/>
    <hyperlink ref="B481" r:id="rId1480" xr:uid="{00000000-0004-0000-0000-0000C7050000}"/>
    <hyperlink ref="D481" r:id="rId1481" xr:uid="{00000000-0004-0000-0000-0000C8050000}"/>
    <hyperlink ref="E481" r:id="rId1482" xr:uid="{00000000-0004-0000-0000-0000C9050000}"/>
    <hyperlink ref="B482" r:id="rId1483" xr:uid="{00000000-0004-0000-0000-0000CA050000}"/>
    <hyperlink ref="D482" r:id="rId1484" xr:uid="{00000000-0004-0000-0000-0000CB050000}"/>
    <hyperlink ref="E482" r:id="rId1485" xr:uid="{00000000-0004-0000-0000-0000CC050000}"/>
    <hyperlink ref="B483" r:id="rId1486" xr:uid="{00000000-0004-0000-0000-0000CD050000}"/>
    <hyperlink ref="D483" r:id="rId1487" xr:uid="{00000000-0004-0000-0000-0000CE050000}"/>
    <hyperlink ref="E483" r:id="rId1488" xr:uid="{00000000-0004-0000-0000-0000CF050000}"/>
    <hyperlink ref="B484" r:id="rId1489" xr:uid="{00000000-0004-0000-0000-0000D0050000}"/>
    <hyperlink ref="D484" r:id="rId1490" xr:uid="{00000000-0004-0000-0000-0000D1050000}"/>
    <hyperlink ref="E484" r:id="rId1491" xr:uid="{00000000-0004-0000-0000-0000D2050000}"/>
    <hyperlink ref="B485" r:id="rId1492" xr:uid="{00000000-0004-0000-0000-0000D3050000}"/>
    <hyperlink ref="D485" r:id="rId1493" xr:uid="{00000000-0004-0000-0000-0000D4050000}"/>
    <hyperlink ref="E485" r:id="rId1494" xr:uid="{00000000-0004-0000-0000-0000D5050000}"/>
    <hyperlink ref="B486" r:id="rId1495" xr:uid="{00000000-0004-0000-0000-0000D6050000}"/>
    <hyperlink ref="D486" r:id="rId1496" xr:uid="{00000000-0004-0000-0000-0000D7050000}"/>
    <hyperlink ref="E486" r:id="rId1497" xr:uid="{00000000-0004-0000-0000-0000D8050000}"/>
    <hyperlink ref="B487" r:id="rId1498" xr:uid="{00000000-0004-0000-0000-0000D9050000}"/>
    <hyperlink ref="D487" r:id="rId1499" xr:uid="{00000000-0004-0000-0000-0000DA050000}"/>
    <hyperlink ref="E487" r:id="rId1500" xr:uid="{00000000-0004-0000-0000-0000DB050000}"/>
    <hyperlink ref="B488" r:id="rId1501" xr:uid="{00000000-0004-0000-0000-0000DC050000}"/>
    <hyperlink ref="D488" r:id="rId1502" xr:uid="{00000000-0004-0000-0000-0000DD050000}"/>
    <hyperlink ref="E488" r:id="rId1503" xr:uid="{00000000-0004-0000-0000-0000DE050000}"/>
    <hyperlink ref="B489" r:id="rId1504" xr:uid="{00000000-0004-0000-0000-0000DF050000}"/>
    <hyperlink ref="D489" r:id="rId1505" xr:uid="{00000000-0004-0000-0000-0000E0050000}"/>
    <hyperlink ref="E489" r:id="rId1506" xr:uid="{00000000-0004-0000-0000-0000E1050000}"/>
    <hyperlink ref="B490" r:id="rId1507" xr:uid="{00000000-0004-0000-0000-0000E2050000}"/>
    <hyperlink ref="D490" r:id="rId1508" xr:uid="{00000000-0004-0000-0000-0000E3050000}"/>
    <hyperlink ref="E490" r:id="rId1509" xr:uid="{00000000-0004-0000-0000-0000E4050000}"/>
    <hyperlink ref="B491" r:id="rId1510" xr:uid="{00000000-0004-0000-0000-0000E5050000}"/>
    <hyperlink ref="D491" r:id="rId1511" xr:uid="{00000000-0004-0000-0000-0000E6050000}"/>
    <hyperlink ref="E491" r:id="rId1512" xr:uid="{00000000-0004-0000-0000-0000E7050000}"/>
    <hyperlink ref="B492" r:id="rId1513" xr:uid="{00000000-0004-0000-0000-0000E8050000}"/>
    <hyperlink ref="D492" r:id="rId1514" xr:uid="{00000000-0004-0000-0000-0000E9050000}"/>
    <hyperlink ref="E492" r:id="rId1515" xr:uid="{00000000-0004-0000-0000-0000EA050000}"/>
    <hyperlink ref="B493" r:id="rId1516" xr:uid="{00000000-0004-0000-0000-0000EB050000}"/>
    <hyperlink ref="D493" r:id="rId1517" xr:uid="{00000000-0004-0000-0000-0000EC050000}"/>
    <hyperlink ref="E493" r:id="rId1518" xr:uid="{00000000-0004-0000-0000-0000ED050000}"/>
    <hyperlink ref="B494" r:id="rId1519" xr:uid="{00000000-0004-0000-0000-0000EE050000}"/>
    <hyperlink ref="D494" r:id="rId1520" xr:uid="{00000000-0004-0000-0000-0000EF050000}"/>
    <hyperlink ref="E494" r:id="rId1521" xr:uid="{00000000-0004-0000-0000-0000F0050000}"/>
    <hyperlink ref="B495" r:id="rId1522" xr:uid="{00000000-0004-0000-0000-0000F1050000}"/>
    <hyperlink ref="D495" r:id="rId1523" xr:uid="{00000000-0004-0000-0000-0000F2050000}"/>
    <hyperlink ref="E495" r:id="rId1524" xr:uid="{00000000-0004-0000-0000-0000F3050000}"/>
    <hyperlink ref="B496" r:id="rId1525" xr:uid="{00000000-0004-0000-0000-0000F4050000}"/>
    <hyperlink ref="D496" r:id="rId1526" xr:uid="{00000000-0004-0000-0000-0000F5050000}"/>
    <hyperlink ref="E496" r:id="rId1527" xr:uid="{00000000-0004-0000-0000-0000F6050000}"/>
    <hyperlink ref="B497" r:id="rId1528" xr:uid="{00000000-0004-0000-0000-0000F7050000}"/>
    <hyperlink ref="D497" r:id="rId1529" xr:uid="{00000000-0004-0000-0000-0000F8050000}"/>
    <hyperlink ref="E497" r:id="rId1530" xr:uid="{00000000-0004-0000-0000-0000F9050000}"/>
    <hyperlink ref="B498" r:id="rId1531" xr:uid="{00000000-0004-0000-0000-0000FA050000}"/>
    <hyperlink ref="D498" r:id="rId1532" xr:uid="{00000000-0004-0000-0000-0000FB050000}"/>
    <hyperlink ref="E498" r:id="rId1533" xr:uid="{00000000-0004-0000-0000-0000FC050000}"/>
    <hyperlink ref="B499" r:id="rId1534" xr:uid="{00000000-0004-0000-0000-0000FD050000}"/>
    <hyperlink ref="D499" r:id="rId1535" xr:uid="{00000000-0004-0000-0000-0000FE050000}"/>
    <hyperlink ref="E499" r:id="rId1536" xr:uid="{00000000-0004-0000-0000-0000FF050000}"/>
    <hyperlink ref="B500" r:id="rId1537" xr:uid="{00000000-0004-0000-0000-000000060000}"/>
    <hyperlink ref="D500" r:id="rId1538" xr:uid="{00000000-0004-0000-0000-000001060000}"/>
    <hyperlink ref="E500" r:id="rId1539" xr:uid="{00000000-0004-0000-0000-000002060000}"/>
    <hyperlink ref="B501" r:id="rId1540" xr:uid="{00000000-0004-0000-0000-000003060000}"/>
    <hyperlink ref="D501" r:id="rId1541" xr:uid="{00000000-0004-0000-0000-000004060000}"/>
    <hyperlink ref="E501" r:id="rId1542" xr:uid="{00000000-0004-0000-0000-000005060000}"/>
    <hyperlink ref="B502" r:id="rId1543" xr:uid="{00000000-0004-0000-0000-000006060000}"/>
    <hyperlink ref="D502" r:id="rId1544" xr:uid="{00000000-0004-0000-0000-000007060000}"/>
    <hyperlink ref="E502" r:id="rId1545" xr:uid="{00000000-0004-0000-0000-000008060000}"/>
    <hyperlink ref="B503" r:id="rId1546" xr:uid="{00000000-0004-0000-0000-000009060000}"/>
    <hyperlink ref="D503" r:id="rId1547" xr:uid="{00000000-0004-0000-0000-00000A060000}"/>
    <hyperlink ref="E503" r:id="rId1548" xr:uid="{00000000-0004-0000-0000-00000B060000}"/>
    <hyperlink ref="B504" r:id="rId1549" xr:uid="{00000000-0004-0000-0000-00000C060000}"/>
    <hyperlink ref="D504" r:id="rId1550" xr:uid="{00000000-0004-0000-0000-00000D060000}"/>
    <hyperlink ref="E504" r:id="rId1551" xr:uid="{00000000-0004-0000-0000-00000E060000}"/>
    <hyperlink ref="B505" r:id="rId1552" xr:uid="{00000000-0004-0000-0000-00000F060000}"/>
    <hyperlink ref="D505" r:id="rId1553" xr:uid="{00000000-0004-0000-0000-000010060000}"/>
    <hyperlink ref="E505" r:id="rId1554" xr:uid="{00000000-0004-0000-0000-000011060000}"/>
    <hyperlink ref="B506" r:id="rId1555" xr:uid="{00000000-0004-0000-0000-000012060000}"/>
    <hyperlink ref="D506" r:id="rId1556" xr:uid="{00000000-0004-0000-0000-000013060000}"/>
    <hyperlink ref="E506" r:id="rId1557" xr:uid="{00000000-0004-0000-0000-000014060000}"/>
    <hyperlink ref="B507" r:id="rId1558" xr:uid="{00000000-0004-0000-0000-000015060000}"/>
    <hyperlink ref="D507" r:id="rId1559" xr:uid="{00000000-0004-0000-0000-000016060000}"/>
    <hyperlink ref="E507" r:id="rId1560" xr:uid="{00000000-0004-0000-0000-000017060000}"/>
    <hyperlink ref="B508" r:id="rId1561" xr:uid="{00000000-0004-0000-0000-000018060000}"/>
    <hyperlink ref="D508" r:id="rId1562" xr:uid="{00000000-0004-0000-0000-000019060000}"/>
    <hyperlink ref="E508" r:id="rId1563" xr:uid="{00000000-0004-0000-0000-00001A060000}"/>
    <hyperlink ref="B509" r:id="rId1564" xr:uid="{00000000-0004-0000-0000-00001B060000}"/>
    <hyperlink ref="D509" r:id="rId1565" xr:uid="{00000000-0004-0000-0000-00001C060000}"/>
    <hyperlink ref="E509" r:id="rId1566" xr:uid="{00000000-0004-0000-0000-00001D060000}"/>
    <hyperlink ref="B510" r:id="rId1567" xr:uid="{00000000-0004-0000-0000-00001E060000}"/>
    <hyperlink ref="D510" r:id="rId1568" xr:uid="{00000000-0004-0000-0000-00001F060000}"/>
    <hyperlink ref="E510" r:id="rId1569" xr:uid="{00000000-0004-0000-0000-000020060000}"/>
    <hyperlink ref="B511" r:id="rId1570" xr:uid="{00000000-0004-0000-0000-000021060000}"/>
    <hyperlink ref="D511" r:id="rId1571" xr:uid="{00000000-0004-0000-0000-000022060000}"/>
    <hyperlink ref="E511" r:id="rId1572" xr:uid="{00000000-0004-0000-0000-000023060000}"/>
    <hyperlink ref="B512" r:id="rId1573" xr:uid="{00000000-0004-0000-0000-000024060000}"/>
    <hyperlink ref="D512" r:id="rId1574" xr:uid="{00000000-0004-0000-0000-000025060000}"/>
    <hyperlink ref="E512" r:id="rId1575" xr:uid="{00000000-0004-0000-0000-000026060000}"/>
    <hyperlink ref="B513" r:id="rId1576" xr:uid="{00000000-0004-0000-0000-000027060000}"/>
    <hyperlink ref="D513" r:id="rId1577" xr:uid="{00000000-0004-0000-0000-000028060000}"/>
    <hyperlink ref="E513" r:id="rId1578" xr:uid="{00000000-0004-0000-0000-000029060000}"/>
    <hyperlink ref="B514" r:id="rId1579" xr:uid="{00000000-0004-0000-0000-00002A060000}"/>
    <hyperlink ref="D514" r:id="rId1580" xr:uid="{00000000-0004-0000-0000-00002B060000}"/>
    <hyperlink ref="E514" r:id="rId1581" xr:uid="{00000000-0004-0000-0000-00002C060000}"/>
    <hyperlink ref="B515" r:id="rId1582" xr:uid="{00000000-0004-0000-0000-00002D060000}"/>
    <hyperlink ref="D515" r:id="rId1583" xr:uid="{00000000-0004-0000-0000-00002E060000}"/>
    <hyperlink ref="E515" r:id="rId1584" xr:uid="{00000000-0004-0000-0000-00002F060000}"/>
    <hyperlink ref="B516" r:id="rId1585" xr:uid="{00000000-0004-0000-0000-000030060000}"/>
    <hyperlink ref="D516" r:id="rId1586" xr:uid="{00000000-0004-0000-0000-000031060000}"/>
    <hyperlink ref="E516" r:id="rId1587" xr:uid="{00000000-0004-0000-0000-000032060000}"/>
    <hyperlink ref="B517" r:id="rId1588" xr:uid="{00000000-0004-0000-0000-000033060000}"/>
    <hyperlink ref="D517" r:id="rId1589" xr:uid="{00000000-0004-0000-0000-000034060000}"/>
    <hyperlink ref="E517" r:id="rId1590" xr:uid="{00000000-0004-0000-0000-000035060000}"/>
    <hyperlink ref="B518" r:id="rId1591" xr:uid="{00000000-0004-0000-0000-000036060000}"/>
    <hyperlink ref="D518" r:id="rId1592" xr:uid="{00000000-0004-0000-0000-000037060000}"/>
    <hyperlink ref="E518" r:id="rId1593" xr:uid="{00000000-0004-0000-0000-000038060000}"/>
    <hyperlink ref="B519" r:id="rId1594" xr:uid="{00000000-0004-0000-0000-000039060000}"/>
    <hyperlink ref="D519" r:id="rId1595" xr:uid="{00000000-0004-0000-0000-00003A060000}"/>
    <hyperlink ref="E519" r:id="rId1596" xr:uid="{00000000-0004-0000-0000-00003B060000}"/>
    <hyperlink ref="B520" r:id="rId1597" xr:uid="{00000000-0004-0000-0000-00003C060000}"/>
    <hyperlink ref="D520" r:id="rId1598" xr:uid="{00000000-0004-0000-0000-00003D060000}"/>
    <hyperlink ref="E520" r:id="rId1599" xr:uid="{00000000-0004-0000-0000-00003E060000}"/>
    <hyperlink ref="B521" r:id="rId1600" xr:uid="{00000000-0004-0000-0000-00003F060000}"/>
    <hyperlink ref="D521" r:id="rId1601" xr:uid="{00000000-0004-0000-0000-000040060000}"/>
    <hyperlink ref="E521" r:id="rId1602" xr:uid="{00000000-0004-0000-0000-000041060000}"/>
    <hyperlink ref="B522" r:id="rId1603" xr:uid="{00000000-0004-0000-0000-000042060000}"/>
    <hyperlink ref="D522" r:id="rId1604" xr:uid="{00000000-0004-0000-0000-000043060000}"/>
    <hyperlink ref="E522" r:id="rId1605" xr:uid="{00000000-0004-0000-0000-000044060000}"/>
    <hyperlink ref="B523" r:id="rId1606" xr:uid="{00000000-0004-0000-0000-000045060000}"/>
    <hyperlink ref="D523" r:id="rId1607" xr:uid="{00000000-0004-0000-0000-000046060000}"/>
    <hyperlink ref="E523" r:id="rId1608" xr:uid="{00000000-0004-0000-0000-000047060000}"/>
    <hyperlink ref="B524" r:id="rId1609" xr:uid="{00000000-0004-0000-0000-000048060000}"/>
    <hyperlink ref="D524" r:id="rId1610" xr:uid="{00000000-0004-0000-0000-000049060000}"/>
    <hyperlink ref="E524" r:id="rId1611" xr:uid="{00000000-0004-0000-0000-00004A060000}"/>
    <hyperlink ref="B525" r:id="rId1612" xr:uid="{00000000-0004-0000-0000-00004B060000}"/>
    <hyperlink ref="D525" r:id="rId1613" xr:uid="{00000000-0004-0000-0000-00004C060000}"/>
    <hyperlink ref="E525" r:id="rId1614" xr:uid="{00000000-0004-0000-0000-00004D060000}"/>
    <hyperlink ref="B526" r:id="rId1615" xr:uid="{00000000-0004-0000-0000-00004E060000}"/>
    <hyperlink ref="D526" r:id="rId1616" xr:uid="{00000000-0004-0000-0000-00004F060000}"/>
    <hyperlink ref="E526" r:id="rId1617" xr:uid="{00000000-0004-0000-0000-000050060000}"/>
    <hyperlink ref="B527" r:id="rId1618" xr:uid="{00000000-0004-0000-0000-000051060000}"/>
    <hyperlink ref="D527" r:id="rId1619" xr:uid="{00000000-0004-0000-0000-000052060000}"/>
    <hyperlink ref="E527" r:id="rId1620" xr:uid="{00000000-0004-0000-0000-000053060000}"/>
    <hyperlink ref="B528" r:id="rId1621" xr:uid="{00000000-0004-0000-0000-000054060000}"/>
    <hyperlink ref="D528" r:id="rId1622" xr:uid="{00000000-0004-0000-0000-000055060000}"/>
    <hyperlink ref="E528" r:id="rId1623" xr:uid="{00000000-0004-0000-0000-000056060000}"/>
    <hyperlink ref="B529" r:id="rId1624" xr:uid="{00000000-0004-0000-0000-000057060000}"/>
    <hyperlink ref="D529" r:id="rId1625" xr:uid="{00000000-0004-0000-0000-000058060000}"/>
    <hyperlink ref="E529" r:id="rId1626" xr:uid="{00000000-0004-0000-0000-000059060000}"/>
    <hyperlink ref="B530" r:id="rId1627" xr:uid="{00000000-0004-0000-0000-00005A060000}"/>
    <hyperlink ref="D530" r:id="rId1628" xr:uid="{00000000-0004-0000-0000-00005B060000}"/>
    <hyperlink ref="E530" r:id="rId1629" xr:uid="{00000000-0004-0000-0000-00005C060000}"/>
    <hyperlink ref="B531" r:id="rId1630" xr:uid="{00000000-0004-0000-0000-00005D060000}"/>
    <hyperlink ref="D531" r:id="rId1631" xr:uid="{00000000-0004-0000-0000-00005E060000}"/>
    <hyperlink ref="E531" r:id="rId1632" xr:uid="{00000000-0004-0000-0000-00005F060000}"/>
    <hyperlink ref="B532" r:id="rId1633" xr:uid="{00000000-0004-0000-0000-000060060000}"/>
    <hyperlink ref="D532" r:id="rId1634" xr:uid="{00000000-0004-0000-0000-000061060000}"/>
    <hyperlink ref="E532" r:id="rId1635" xr:uid="{00000000-0004-0000-0000-000062060000}"/>
    <hyperlink ref="B533" r:id="rId1636" xr:uid="{00000000-0004-0000-0000-000063060000}"/>
    <hyperlink ref="D533" r:id="rId1637" xr:uid="{00000000-0004-0000-0000-000064060000}"/>
    <hyperlink ref="E533" r:id="rId1638" xr:uid="{00000000-0004-0000-0000-000065060000}"/>
    <hyperlink ref="B534" r:id="rId1639" xr:uid="{00000000-0004-0000-0000-000066060000}"/>
    <hyperlink ref="D534" r:id="rId1640" xr:uid="{00000000-0004-0000-0000-000067060000}"/>
    <hyperlink ref="E534" r:id="rId1641" xr:uid="{00000000-0004-0000-0000-000068060000}"/>
    <hyperlink ref="B535" r:id="rId1642" xr:uid="{00000000-0004-0000-0000-000069060000}"/>
    <hyperlink ref="D535" r:id="rId1643" xr:uid="{00000000-0004-0000-0000-00006A060000}"/>
    <hyperlink ref="E535" r:id="rId1644" xr:uid="{00000000-0004-0000-0000-00006B060000}"/>
    <hyperlink ref="B536" r:id="rId1645" xr:uid="{00000000-0004-0000-0000-00006C060000}"/>
    <hyperlink ref="D536" r:id="rId1646" xr:uid="{00000000-0004-0000-0000-00006D060000}"/>
    <hyperlink ref="E536" r:id="rId1647" xr:uid="{00000000-0004-0000-0000-00006E060000}"/>
    <hyperlink ref="B537" r:id="rId1648" xr:uid="{00000000-0004-0000-0000-00006F060000}"/>
    <hyperlink ref="D537" r:id="rId1649" xr:uid="{00000000-0004-0000-0000-000070060000}"/>
    <hyperlink ref="E537" r:id="rId1650" xr:uid="{00000000-0004-0000-0000-000071060000}"/>
    <hyperlink ref="B538" r:id="rId1651" xr:uid="{00000000-0004-0000-0000-000072060000}"/>
    <hyperlink ref="D538" r:id="rId1652" xr:uid="{00000000-0004-0000-0000-000073060000}"/>
    <hyperlink ref="E538" r:id="rId1653" xr:uid="{00000000-0004-0000-0000-000074060000}"/>
    <hyperlink ref="B539" r:id="rId1654" xr:uid="{00000000-0004-0000-0000-000075060000}"/>
    <hyperlink ref="D539" r:id="rId1655" xr:uid="{00000000-0004-0000-0000-000076060000}"/>
    <hyperlink ref="E539" r:id="rId1656" xr:uid="{00000000-0004-0000-0000-000077060000}"/>
    <hyperlink ref="B540" r:id="rId1657" xr:uid="{00000000-0004-0000-0000-000078060000}"/>
    <hyperlink ref="D540" r:id="rId1658" xr:uid="{00000000-0004-0000-0000-000079060000}"/>
    <hyperlink ref="E540" r:id="rId1659" xr:uid="{00000000-0004-0000-0000-00007A060000}"/>
    <hyperlink ref="B541" r:id="rId1660" xr:uid="{00000000-0004-0000-0000-00007B060000}"/>
    <hyperlink ref="D541" r:id="rId1661" xr:uid="{00000000-0004-0000-0000-00007C060000}"/>
    <hyperlink ref="E541" r:id="rId1662" xr:uid="{00000000-0004-0000-0000-00007D060000}"/>
    <hyperlink ref="B542" r:id="rId1663" xr:uid="{00000000-0004-0000-0000-00007E060000}"/>
    <hyperlink ref="D542" r:id="rId1664" xr:uid="{00000000-0004-0000-0000-00007F060000}"/>
    <hyperlink ref="E542" r:id="rId1665" xr:uid="{00000000-0004-0000-0000-000080060000}"/>
    <hyperlink ref="B543" r:id="rId1666" xr:uid="{00000000-0004-0000-0000-000081060000}"/>
    <hyperlink ref="D543" r:id="rId1667" xr:uid="{00000000-0004-0000-0000-000082060000}"/>
    <hyperlink ref="E543" r:id="rId1668" xr:uid="{00000000-0004-0000-0000-000083060000}"/>
    <hyperlink ref="B544" r:id="rId1669" xr:uid="{00000000-0004-0000-0000-000084060000}"/>
    <hyperlink ref="D544" r:id="rId1670" xr:uid="{00000000-0004-0000-0000-000085060000}"/>
    <hyperlink ref="E544" r:id="rId1671" xr:uid="{00000000-0004-0000-0000-000086060000}"/>
    <hyperlink ref="B545" r:id="rId1672" xr:uid="{00000000-0004-0000-0000-000087060000}"/>
    <hyperlink ref="D545" r:id="rId1673" xr:uid="{00000000-0004-0000-0000-000088060000}"/>
    <hyperlink ref="E545" r:id="rId1674" xr:uid="{00000000-0004-0000-0000-000089060000}"/>
    <hyperlink ref="B546" r:id="rId1675" xr:uid="{00000000-0004-0000-0000-00008A060000}"/>
    <hyperlink ref="D546" r:id="rId1676" xr:uid="{00000000-0004-0000-0000-00008B060000}"/>
    <hyperlink ref="E546" r:id="rId1677" xr:uid="{00000000-0004-0000-0000-00008C060000}"/>
    <hyperlink ref="B547" r:id="rId1678" xr:uid="{00000000-0004-0000-0000-00008D060000}"/>
    <hyperlink ref="D547" r:id="rId1679" xr:uid="{00000000-0004-0000-0000-00008E060000}"/>
    <hyperlink ref="E547" r:id="rId1680" xr:uid="{00000000-0004-0000-0000-00008F060000}"/>
    <hyperlink ref="B548" r:id="rId1681" xr:uid="{00000000-0004-0000-0000-000090060000}"/>
    <hyperlink ref="D548" r:id="rId1682" xr:uid="{00000000-0004-0000-0000-000091060000}"/>
    <hyperlink ref="E548" r:id="rId1683" xr:uid="{00000000-0004-0000-0000-000092060000}"/>
    <hyperlink ref="B549" r:id="rId1684" xr:uid="{00000000-0004-0000-0000-000093060000}"/>
    <hyperlink ref="D549" r:id="rId1685" xr:uid="{00000000-0004-0000-0000-000094060000}"/>
    <hyperlink ref="E549" r:id="rId1686" xr:uid="{00000000-0004-0000-0000-000095060000}"/>
    <hyperlink ref="B550" r:id="rId1687" xr:uid="{00000000-0004-0000-0000-000096060000}"/>
    <hyperlink ref="D550" r:id="rId1688" xr:uid="{00000000-0004-0000-0000-000097060000}"/>
    <hyperlink ref="E550" r:id="rId1689" xr:uid="{00000000-0004-0000-0000-000098060000}"/>
    <hyperlink ref="B551" r:id="rId1690" xr:uid="{00000000-0004-0000-0000-000099060000}"/>
    <hyperlink ref="D551" r:id="rId1691" xr:uid="{00000000-0004-0000-0000-00009A060000}"/>
    <hyperlink ref="E551" r:id="rId1692" xr:uid="{00000000-0004-0000-0000-00009B060000}"/>
    <hyperlink ref="B552" r:id="rId1693" xr:uid="{00000000-0004-0000-0000-00009C060000}"/>
    <hyperlink ref="D552" r:id="rId1694" xr:uid="{00000000-0004-0000-0000-00009D060000}"/>
    <hyperlink ref="E552" r:id="rId1695" xr:uid="{00000000-0004-0000-0000-00009E060000}"/>
    <hyperlink ref="B553" r:id="rId1696" xr:uid="{00000000-0004-0000-0000-00009F060000}"/>
    <hyperlink ref="D553" r:id="rId1697" xr:uid="{00000000-0004-0000-0000-0000A0060000}"/>
    <hyperlink ref="E553" r:id="rId1698" xr:uid="{00000000-0004-0000-0000-0000A1060000}"/>
    <hyperlink ref="B554" r:id="rId1699" xr:uid="{00000000-0004-0000-0000-0000A2060000}"/>
    <hyperlink ref="D554" r:id="rId1700" xr:uid="{00000000-0004-0000-0000-0000A3060000}"/>
    <hyperlink ref="E554" r:id="rId1701" xr:uid="{00000000-0004-0000-0000-0000A4060000}"/>
    <hyperlink ref="B555" r:id="rId1702" xr:uid="{00000000-0004-0000-0000-0000A5060000}"/>
    <hyperlink ref="D555" r:id="rId1703" xr:uid="{00000000-0004-0000-0000-0000A6060000}"/>
    <hyperlink ref="E555" r:id="rId1704" xr:uid="{00000000-0004-0000-0000-0000A7060000}"/>
    <hyperlink ref="B556" r:id="rId1705" xr:uid="{00000000-0004-0000-0000-0000A8060000}"/>
    <hyperlink ref="D556" r:id="rId1706" xr:uid="{00000000-0004-0000-0000-0000A9060000}"/>
    <hyperlink ref="E556" r:id="rId1707" xr:uid="{00000000-0004-0000-0000-0000AA060000}"/>
    <hyperlink ref="B557" r:id="rId1708" xr:uid="{00000000-0004-0000-0000-0000AB060000}"/>
    <hyperlink ref="D557" r:id="rId1709" xr:uid="{00000000-0004-0000-0000-0000AC060000}"/>
    <hyperlink ref="E557" r:id="rId1710" xr:uid="{00000000-0004-0000-0000-0000AD060000}"/>
    <hyperlink ref="B558" r:id="rId1711" xr:uid="{00000000-0004-0000-0000-0000AE060000}"/>
    <hyperlink ref="D558" r:id="rId1712" xr:uid="{00000000-0004-0000-0000-0000AF060000}"/>
    <hyperlink ref="E558" r:id="rId1713" xr:uid="{00000000-0004-0000-0000-0000B0060000}"/>
    <hyperlink ref="B559" r:id="rId1714" xr:uid="{00000000-0004-0000-0000-0000B1060000}"/>
    <hyperlink ref="D559" r:id="rId1715" xr:uid="{00000000-0004-0000-0000-0000B2060000}"/>
    <hyperlink ref="E559" r:id="rId1716" xr:uid="{00000000-0004-0000-0000-0000B3060000}"/>
    <hyperlink ref="B560" r:id="rId1717" xr:uid="{00000000-0004-0000-0000-0000B4060000}"/>
    <hyperlink ref="D560" r:id="rId1718" xr:uid="{00000000-0004-0000-0000-0000B5060000}"/>
    <hyperlink ref="E560" r:id="rId1719" xr:uid="{00000000-0004-0000-0000-0000B6060000}"/>
    <hyperlink ref="B561" r:id="rId1720" xr:uid="{00000000-0004-0000-0000-0000B7060000}"/>
    <hyperlink ref="D561" r:id="rId1721" xr:uid="{00000000-0004-0000-0000-0000B8060000}"/>
    <hyperlink ref="E561" r:id="rId1722" xr:uid="{00000000-0004-0000-0000-0000B9060000}"/>
    <hyperlink ref="B562" r:id="rId1723" xr:uid="{00000000-0004-0000-0000-0000BA060000}"/>
    <hyperlink ref="D562" r:id="rId1724" xr:uid="{00000000-0004-0000-0000-0000BB060000}"/>
    <hyperlink ref="E562" r:id="rId1725" xr:uid="{00000000-0004-0000-0000-0000BC060000}"/>
    <hyperlink ref="B563" r:id="rId1726" xr:uid="{00000000-0004-0000-0000-0000BD060000}"/>
    <hyperlink ref="D563" r:id="rId1727" xr:uid="{00000000-0004-0000-0000-0000BE060000}"/>
    <hyperlink ref="E563" r:id="rId1728" xr:uid="{00000000-0004-0000-0000-0000BF060000}"/>
    <hyperlink ref="B564" r:id="rId1729" xr:uid="{00000000-0004-0000-0000-0000C0060000}"/>
    <hyperlink ref="D564" r:id="rId1730" xr:uid="{00000000-0004-0000-0000-0000C1060000}"/>
    <hyperlink ref="E564" r:id="rId1731" xr:uid="{00000000-0004-0000-0000-0000C2060000}"/>
    <hyperlink ref="B565" r:id="rId1732" xr:uid="{00000000-0004-0000-0000-0000C3060000}"/>
    <hyperlink ref="D565" r:id="rId1733" xr:uid="{00000000-0004-0000-0000-0000C4060000}"/>
    <hyperlink ref="E565" r:id="rId1734" xr:uid="{00000000-0004-0000-0000-0000C5060000}"/>
    <hyperlink ref="B566" r:id="rId1735" xr:uid="{00000000-0004-0000-0000-0000C6060000}"/>
    <hyperlink ref="D566" r:id="rId1736" xr:uid="{00000000-0004-0000-0000-0000C7060000}"/>
    <hyperlink ref="E566" r:id="rId1737" xr:uid="{00000000-0004-0000-0000-0000C8060000}"/>
    <hyperlink ref="B567" r:id="rId1738" xr:uid="{00000000-0004-0000-0000-0000C9060000}"/>
    <hyperlink ref="D567" r:id="rId1739" xr:uid="{00000000-0004-0000-0000-0000CA060000}"/>
    <hyperlink ref="E567" r:id="rId1740" xr:uid="{00000000-0004-0000-0000-0000CB060000}"/>
    <hyperlink ref="B568" r:id="rId1741" xr:uid="{00000000-0004-0000-0000-0000CC060000}"/>
    <hyperlink ref="D568" r:id="rId1742" xr:uid="{00000000-0004-0000-0000-0000CD060000}"/>
    <hyperlink ref="E568" r:id="rId1743" xr:uid="{00000000-0004-0000-0000-0000CE060000}"/>
    <hyperlink ref="B569" r:id="rId1744" xr:uid="{00000000-0004-0000-0000-0000CF060000}"/>
    <hyperlink ref="D569" r:id="rId1745" xr:uid="{00000000-0004-0000-0000-0000D0060000}"/>
    <hyperlink ref="E569" r:id="rId1746" xr:uid="{00000000-0004-0000-0000-0000D1060000}"/>
    <hyperlink ref="B570" r:id="rId1747" xr:uid="{00000000-0004-0000-0000-0000D2060000}"/>
    <hyperlink ref="D570" r:id="rId1748" xr:uid="{00000000-0004-0000-0000-0000D3060000}"/>
    <hyperlink ref="E570" r:id="rId1749" xr:uid="{00000000-0004-0000-0000-0000D4060000}"/>
    <hyperlink ref="B571" r:id="rId1750" xr:uid="{00000000-0004-0000-0000-0000D5060000}"/>
    <hyperlink ref="D571" r:id="rId1751" xr:uid="{00000000-0004-0000-0000-0000D6060000}"/>
    <hyperlink ref="E571" r:id="rId1752" xr:uid="{00000000-0004-0000-0000-0000D7060000}"/>
    <hyperlink ref="B572" r:id="rId1753" xr:uid="{00000000-0004-0000-0000-0000D8060000}"/>
    <hyperlink ref="D572" r:id="rId1754" xr:uid="{00000000-0004-0000-0000-0000D9060000}"/>
    <hyperlink ref="E572" r:id="rId1755" xr:uid="{00000000-0004-0000-0000-0000DA060000}"/>
    <hyperlink ref="B573" r:id="rId1756" xr:uid="{00000000-0004-0000-0000-0000DB060000}"/>
    <hyperlink ref="D573" r:id="rId1757" xr:uid="{00000000-0004-0000-0000-0000DC060000}"/>
    <hyperlink ref="E573" r:id="rId1758" xr:uid="{00000000-0004-0000-0000-0000DD060000}"/>
    <hyperlink ref="B574" r:id="rId1759" xr:uid="{00000000-0004-0000-0000-0000DE060000}"/>
    <hyperlink ref="D574" r:id="rId1760" xr:uid="{00000000-0004-0000-0000-0000DF060000}"/>
    <hyperlink ref="E574" r:id="rId1761" xr:uid="{00000000-0004-0000-0000-0000E0060000}"/>
    <hyperlink ref="B575" r:id="rId1762" xr:uid="{00000000-0004-0000-0000-0000E1060000}"/>
    <hyperlink ref="D575" r:id="rId1763" xr:uid="{00000000-0004-0000-0000-0000E2060000}"/>
    <hyperlink ref="E575" r:id="rId1764" xr:uid="{00000000-0004-0000-0000-0000E3060000}"/>
    <hyperlink ref="B576" r:id="rId1765" xr:uid="{00000000-0004-0000-0000-0000E4060000}"/>
    <hyperlink ref="D576" r:id="rId1766" xr:uid="{00000000-0004-0000-0000-0000E5060000}"/>
    <hyperlink ref="E576" r:id="rId1767" xr:uid="{00000000-0004-0000-0000-0000E6060000}"/>
    <hyperlink ref="B577" r:id="rId1768" xr:uid="{00000000-0004-0000-0000-0000E7060000}"/>
    <hyperlink ref="D577" r:id="rId1769" xr:uid="{00000000-0004-0000-0000-0000E8060000}"/>
    <hyperlink ref="E577" r:id="rId1770" xr:uid="{00000000-0004-0000-0000-0000E9060000}"/>
    <hyperlink ref="B578" r:id="rId1771" xr:uid="{00000000-0004-0000-0000-0000EA060000}"/>
    <hyperlink ref="D578" r:id="rId1772" xr:uid="{00000000-0004-0000-0000-0000EB060000}"/>
    <hyperlink ref="E578" r:id="rId1773" xr:uid="{00000000-0004-0000-0000-0000EC060000}"/>
    <hyperlink ref="B579" r:id="rId1774" xr:uid="{00000000-0004-0000-0000-0000ED060000}"/>
    <hyperlink ref="D579" r:id="rId1775" xr:uid="{00000000-0004-0000-0000-0000EE060000}"/>
    <hyperlink ref="E579" r:id="rId1776" xr:uid="{00000000-0004-0000-0000-0000EF060000}"/>
    <hyperlink ref="B580" r:id="rId1777" xr:uid="{00000000-0004-0000-0000-0000F0060000}"/>
    <hyperlink ref="D580" r:id="rId1778" xr:uid="{00000000-0004-0000-0000-0000F1060000}"/>
    <hyperlink ref="E580" r:id="rId1779" xr:uid="{00000000-0004-0000-0000-0000F2060000}"/>
    <hyperlink ref="B581" r:id="rId1780" xr:uid="{00000000-0004-0000-0000-0000F3060000}"/>
    <hyperlink ref="D581" r:id="rId1781" xr:uid="{00000000-0004-0000-0000-0000F4060000}"/>
    <hyperlink ref="E581" r:id="rId1782" xr:uid="{00000000-0004-0000-0000-0000F5060000}"/>
    <hyperlink ref="B582" r:id="rId1783" xr:uid="{00000000-0004-0000-0000-0000F6060000}"/>
    <hyperlink ref="D582" r:id="rId1784" xr:uid="{00000000-0004-0000-0000-0000F7060000}"/>
    <hyperlink ref="E582" r:id="rId1785" xr:uid="{00000000-0004-0000-0000-0000F8060000}"/>
    <hyperlink ref="B583" r:id="rId1786" xr:uid="{00000000-0004-0000-0000-0000F9060000}"/>
    <hyperlink ref="D583" r:id="rId1787" xr:uid="{00000000-0004-0000-0000-0000FA060000}"/>
    <hyperlink ref="E583" r:id="rId1788" xr:uid="{00000000-0004-0000-0000-0000FB060000}"/>
    <hyperlink ref="B584" r:id="rId1789" xr:uid="{00000000-0004-0000-0000-0000FC060000}"/>
    <hyperlink ref="D584" r:id="rId1790" xr:uid="{00000000-0004-0000-0000-0000FD060000}"/>
    <hyperlink ref="E584" r:id="rId1791" xr:uid="{00000000-0004-0000-0000-0000FE060000}"/>
    <hyperlink ref="B585" r:id="rId1792" xr:uid="{00000000-0004-0000-0000-0000FF060000}"/>
    <hyperlink ref="D585" r:id="rId1793" xr:uid="{00000000-0004-0000-0000-000000070000}"/>
    <hyperlink ref="E585" r:id="rId1794" xr:uid="{00000000-0004-0000-0000-000001070000}"/>
    <hyperlink ref="B586" r:id="rId1795" xr:uid="{00000000-0004-0000-0000-000002070000}"/>
    <hyperlink ref="D586" r:id="rId1796" xr:uid="{00000000-0004-0000-0000-000003070000}"/>
    <hyperlink ref="E586" r:id="rId1797" xr:uid="{00000000-0004-0000-0000-000004070000}"/>
    <hyperlink ref="B587" r:id="rId1798" xr:uid="{00000000-0004-0000-0000-000005070000}"/>
    <hyperlink ref="D587" r:id="rId1799" xr:uid="{00000000-0004-0000-0000-000006070000}"/>
    <hyperlink ref="E587" r:id="rId1800" xr:uid="{00000000-0004-0000-0000-000007070000}"/>
    <hyperlink ref="B588" r:id="rId1801" xr:uid="{00000000-0004-0000-0000-000008070000}"/>
    <hyperlink ref="D588" r:id="rId1802" xr:uid="{00000000-0004-0000-0000-000009070000}"/>
    <hyperlink ref="E588" r:id="rId1803" xr:uid="{00000000-0004-0000-0000-00000A070000}"/>
    <hyperlink ref="B589" r:id="rId1804" xr:uid="{00000000-0004-0000-0000-00000B070000}"/>
    <hyperlink ref="D589" r:id="rId1805" xr:uid="{00000000-0004-0000-0000-00000C070000}"/>
    <hyperlink ref="E589" r:id="rId1806" xr:uid="{00000000-0004-0000-0000-00000D070000}"/>
    <hyperlink ref="B590" r:id="rId1807" xr:uid="{00000000-0004-0000-0000-00000E070000}"/>
    <hyperlink ref="D590" r:id="rId1808" xr:uid="{00000000-0004-0000-0000-00000F070000}"/>
    <hyperlink ref="E590" r:id="rId1809" xr:uid="{00000000-0004-0000-0000-000010070000}"/>
    <hyperlink ref="B591" r:id="rId1810" xr:uid="{00000000-0004-0000-0000-000011070000}"/>
    <hyperlink ref="D591" r:id="rId1811" xr:uid="{00000000-0004-0000-0000-000012070000}"/>
    <hyperlink ref="E591" r:id="rId1812" xr:uid="{00000000-0004-0000-0000-000013070000}"/>
    <hyperlink ref="B592" r:id="rId1813" xr:uid="{00000000-0004-0000-0000-000014070000}"/>
    <hyperlink ref="D592" r:id="rId1814" xr:uid="{00000000-0004-0000-0000-000015070000}"/>
    <hyperlink ref="E592" r:id="rId1815" xr:uid="{00000000-0004-0000-0000-000016070000}"/>
    <hyperlink ref="B593" r:id="rId1816" xr:uid="{00000000-0004-0000-0000-000017070000}"/>
    <hyperlink ref="D593" r:id="rId1817" xr:uid="{00000000-0004-0000-0000-000018070000}"/>
    <hyperlink ref="E593" r:id="rId1818" xr:uid="{00000000-0004-0000-0000-000019070000}"/>
    <hyperlink ref="B594" r:id="rId1819" xr:uid="{00000000-0004-0000-0000-00001A070000}"/>
    <hyperlink ref="D594" r:id="rId1820" xr:uid="{00000000-0004-0000-0000-00001B070000}"/>
    <hyperlink ref="E594" r:id="rId1821" xr:uid="{00000000-0004-0000-0000-00001C070000}"/>
    <hyperlink ref="B595" r:id="rId1822" xr:uid="{00000000-0004-0000-0000-00001D070000}"/>
    <hyperlink ref="D595" r:id="rId1823" xr:uid="{00000000-0004-0000-0000-00001E070000}"/>
    <hyperlink ref="E595" r:id="rId1824" xr:uid="{00000000-0004-0000-0000-00001F070000}"/>
    <hyperlink ref="B596" r:id="rId1825" xr:uid="{00000000-0004-0000-0000-000020070000}"/>
    <hyperlink ref="D596" r:id="rId1826" xr:uid="{00000000-0004-0000-0000-000021070000}"/>
    <hyperlink ref="E596" r:id="rId1827" xr:uid="{00000000-0004-0000-0000-000022070000}"/>
    <hyperlink ref="B597" r:id="rId1828" xr:uid="{00000000-0004-0000-0000-000023070000}"/>
    <hyperlink ref="D597" r:id="rId1829" xr:uid="{00000000-0004-0000-0000-000024070000}"/>
    <hyperlink ref="E597" r:id="rId1830" xr:uid="{00000000-0004-0000-0000-000025070000}"/>
    <hyperlink ref="B598" r:id="rId1831" xr:uid="{00000000-0004-0000-0000-000026070000}"/>
    <hyperlink ref="D598" r:id="rId1832" xr:uid="{00000000-0004-0000-0000-000027070000}"/>
    <hyperlink ref="E598" r:id="rId1833" xr:uid="{00000000-0004-0000-0000-000028070000}"/>
    <hyperlink ref="B599" r:id="rId1834" xr:uid="{00000000-0004-0000-0000-000029070000}"/>
    <hyperlink ref="D599" r:id="rId1835" xr:uid="{00000000-0004-0000-0000-00002A070000}"/>
    <hyperlink ref="E599" r:id="rId1836" xr:uid="{00000000-0004-0000-0000-00002B070000}"/>
    <hyperlink ref="B600" r:id="rId1837" xr:uid="{00000000-0004-0000-0000-00002C070000}"/>
    <hyperlink ref="D600" r:id="rId1838" xr:uid="{00000000-0004-0000-0000-00002D070000}"/>
    <hyperlink ref="E600" r:id="rId1839" xr:uid="{00000000-0004-0000-0000-00002E070000}"/>
    <hyperlink ref="B601" r:id="rId1840" xr:uid="{00000000-0004-0000-0000-00002F070000}"/>
    <hyperlink ref="D601" r:id="rId1841" xr:uid="{00000000-0004-0000-0000-000030070000}"/>
    <hyperlink ref="E601" r:id="rId1842" xr:uid="{00000000-0004-0000-0000-000031070000}"/>
    <hyperlink ref="B602" r:id="rId1843" xr:uid="{00000000-0004-0000-0000-000032070000}"/>
    <hyperlink ref="D602" r:id="rId1844" xr:uid="{00000000-0004-0000-0000-000033070000}"/>
    <hyperlink ref="E602" r:id="rId1845" xr:uid="{00000000-0004-0000-0000-000034070000}"/>
    <hyperlink ref="B603" r:id="rId1846" xr:uid="{00000000-0004-0000-0000-000035070000}"/>
    <hyperlink ref="D603" r:id="rId1847" xr:uid="{00000000-0004-0000-0000-000036070000}"/>
    <hyperlink ref="E603" r:id="rId1848" xr:uid="{00000000-0004-0000-0000-000037070000}"/>
    <hyperlink ref="B604" r:id="rId1849" xr:uid="{00000000-0004-0000-0000-000038070000}"/>
    <hyperlink ref="D604" r:id="rId1850" xr:uid="{00000000-0004-0000-0000-000039070000}"/>
    <hyperlink ref="E604" r:id="rId1851" xr:uid="{00000000-0004-0000-0000-00003A070000}"/>
    <hyperlink ref="B605" r:id="rId1852" xr:uid="{00000000-0004-0000-0000-00003B070000}"/>
    <hyperlink ref="D605" r:id="rId1853" xr:uid="{00000000-0004-0000-0000-00003C070000}"/>
    <hyperlink ref="E605" r:id="rId1854" xr:uid="{00000000-0004-0000-0000-00003D070000}"/>
    <hyperlink ref="B606" r:id="rId1855" xr:uid="{00000000-0004-0000-0000-00003E070000}"/>
    <hyperlink ref="D606" r:id="rId1856" xr:uid="{00000000-0004-0000-0000-00003F070000}"/>
    <hyperlink ref="E606" r:id="rId1857" xr:uid="{00000000-0004-0000-0000-000040070000}"/>
    <hyperlink ref="B607" r:id="rId1858" xr:uid="{00000000-0004-0000-0000-000041070000}"/>
    <hyperlink ref="D607" r:id="rId1859" xr:uid="{00000000-0004-0000-0000-000042070000}"/>
    <hyperlink ref="E607" r:id="rId1860" xr:uid="{00000000-0004-0000-0000-000043070000}"/>
    <hyperlink ref="B608" r:id="rId1861" xr:uid="{00000000-0004-0000-0000-000044070000}"/>
    <hyperlink ref="D608" r:id="rId1862" xr:uid="{00000000-0004-0000-0000-000045070000}"/>
    <hyperlink ref="E608" r:id="rId1863" xr:uid="{00000000-0004-0000-0000-000046070000}"/>
    <hyperlink ref="B609" r:id="rId1864" xr:uid="{00000000-0004-0000-0000-000047070000}"/>
    <hyperlink ref="D609" r:id="rId1865" xr:uid="{00000000-0004-0000-0000-000048070000}"/>
    <hyperlink ref="E609" r:id="rId1866" xr:uid="{00000000-0004-0000-0000-000049070000}"/>
    <hyperlink ref="B610" r:id="rId1867" xr:uid="{00000000-0004-0000-0000-00004A070000}"/>
    <hyperlink ref="D610" r:id="rId1868" xr:uid="{00000000-0004-0000-0000-00004B070000}"/>
    <hyperlink ref="E610" r:id="rId1869" xr:uid="{00000000-0004-0000-0000-00004C070000}"/>
    <hyperlink ref="B611" r:id="rId1870" xr:uid="{00000000-0004-0000-0000-00004D070000}"/>
    <hyperlink ref="D611" r:id="rId1871" xr:uid="{00000000-0004-0000-0000-00004E070000}"/>
    <hyperlink ref="E611" r:id="rId1872" xr:uid="{00000000-0004-0000-0000-00004F070000}"/>
    <hyperlink ref="B612" r:id="rId1873" xr:uid="{00000000-0004-0000-0000-000050070000}"/>
    <hyperlink ref="D612" r:id="rId1874" xr:uid="{00000000-0004-0000-0000-000051070000}"/>
    <hyperlink ref="E612" r:id="rId1875" xr:uid="{00000000-0004-0000-0000-000052070000}"/>
    <hyperlink ref="B613" r:id="rId1876" xr:uid="{00000000-0004-0000-0000-000053070000}"/>
    <hyperlink ref="D613" r:id="rId1877" xr:uid="{00000000-0004-0000-0000-000054070000}"/>
    <hyperlink ref="E613" r:id="rId1878" xr:uid="{00000000-0004-0000-0000-000055070000}"/>
    <hyperlink ref="B614" r:id="rId1879" xr:uid="{00000000-0004-0000-0000-000056070000}"/>
    <hyperlink ref="D614" r:id="rId1880" xr:uid="{00000000-0004-0000-0000-000057070000}"/>
    <hyperlink ref="E614" r:id="rId1881" xr:uid="{00000000-0004-0000-0000-000058070000}"/>
    <hyperlink ref="B615" r:id="rId1882" xr:uid="{00000000-0004-0000-0000-000059070000}"/>
    <hyperlink ref="D615" r:id="rId1883" xr:uid="{00000000-0004-0000-0000-00005A070000}"/>
    <hyperlink ref="E615" r:id="rId1884" xr:uid="{00000000-0004-0000-0000-00005B070000}"/>
    <hyperlink ref="B616" r:id="rId1885" xr:uid="{00000000-0004-0000-0000-00005C070000}"/>
    <hyperlink ref="D616" r:id="rId1886" xr:uid="{00000000-0004-0000-0000-00005D070000}"/>
    <hyperlink ref="E616" r:id="rId1887" xr:uid="{00000000-0004-0000-0000-00005E070000}"/>
    <hyperlink ref="B617" r:id="rId1888" xr:uid="{00000000-0004-0000-0000-00005F070000}"/>
    <hyperlink ref="D617" r:id="rId1889" xr:uid="{00000000-0004-0000-0000-000060070000}"/>
    <hyperlink ref="E617" r:id="rId1890" xr:uid="{00000000-0004-0000-0000-000061070000}"/>
    <hyperlink ref="B618" r:id="rId1891" xr:uid="{00000000-0004-0000-0000-000062070000}"/>
    <hyperlink ref="D618" r:id="rId1892" xr:uid="{00000000-0004-0000-0000-000063070000}"/>
    <hyperlink ref="E618" r:id="rId1893" xr:uid="{00000000-0004-0000-0000-000064070000}"/>
    <hyperlink ref="B619" r:id="rId1894" xr:uid="{00000000-0004-0000-0000-000065070000}"/>
    <hyperlink ref="D619" r:id="rId1895" xr:uid="{00000000-0004-0000-0000-000066070000}"/>
    <hyperlink ref="E619" r:id="rId1896" xr:uid="{00000000-0004-0000-0000-000067070000}"/>
    <hyperlink ref="B620" r:id="rId1897" xr:uid="{00000000-0004-0000-0000-000068070000}"/>
    <hyperlink ref="D620" r:id="rId1898" xr:uid="{00000000-0004-0000-0000-000069070000}"/>
    <hyperlink ref="E620" r:id="rId1899" xr:uid="{00000000-0004-0000-0000-00006A070000}"/>
    <hyperlink ref="B621" r:id="rId1900" xr:uid="{00000000-0004-0000-0000-00006B070000}"/>
    <hyperlink ref="D621" r:id="rId1901" xr:uid="{00000000-0004-0000-0000-00006C070000}"/>
    <hyperlink ref="E621" r:id="rId1902" xr:uid="{00000000-0004-0000-0000-00006D070000}"/>
    <hyperlink ref="B622" r:id="rId1903" xr:uid="{00000000-0004-0000-0000-00006E070000}"/>
    <hyperlink ref="D622" r:id="rId1904" xr:uid="{00000000-0004-0000-0000-00006F070000}"/>
    <hyperlink ref="E622" r:id="rId1905" xr:uid="{00000000-0004-0000-0000-000070070000}"/>
    <hyperlink ref="B623" r:id="rId1906" xr:uid="{00000000-0004-0000-0000-000071070000}"/>
    <hyperlink ref="D623" r:id="rId1907" xr:uid="{00000000-0004-0000-0000-000072070000}"/>
    <hyperlink ref="E623" r:id="rId1908" xr:uid="{00000000-0004-0000-0000-000073070000}"/>
    <hyperlink ref="B624" r:id="rId1909" xr:uid="{00000000-0004-0000-0000-000074070000}"/>
    <hyperlink ref="D624" r:id="rId1910" xr:uid="{00000000-0004-0000-0000-000075070000}"/>
    <hyperlink ref="E624" r:id="rId1911" xr:uid="{00000000-0004-0000-0000-000076070000}"/>
    <hyperlink ref="B625" r:id="rId1912" xr:uid="{00000000-0004-0000-0000-000077070000}"/>
    <hyperlink ref="D625" r:id="rId1913" xr:uid="{00000000-0004-0000-0000-000078070000}"/>
    <hyperlink ref="E625" r:id="rId1914" xr:uid="{00000000-0004-0000-0000-000079070000}"/>
    <hyperlink ref="B626" r:id="rId1915" xr:uid="{00000000-0004-0000-0000-00007A070000}"/>
    <hyperlink ref="D626" r:id="rId1916" xr:uid="{00000000-0004-0000-0000-00007B070000}"/>
    <hyperlink ref="E626" r:id="rId1917" xr:uid="{00000000-0004-0000-0000-00007C070000}"/>
    <hyperlink ref="B627" r:id="rId1918" xr:uid="{00000000-0004-0000-0000-00007D070000}"/>
    <hyperlink ref="D627" r:id="rId1919" xr:uid="{00000000-0004-0000-0000-00007E070000}"/>
    <hyperlink ref="E627" r:id="rId1920" xr:uid="{00000000-0004-0000-0000-00007F070000}"/>
    <hyperlink ref="B628" r:id="rId1921" xr:uid="{00000000-0004-0000-0000-000080070000}"/>
    <hyperlink ref="D628" r:id="rId1922" xr:uid="{00000000-0004-0000-0000-000081070000}"/>
    <hyperlink ref="E628" r:id="rId1923" xr:uid="{00000000-0004-0000-0000-000082070000}"/>
    <hyperlink ref="B629" r:id="rId1924" xr:uid="{00000000-0004-0000-0000-000083070000}"/>
    <hyperlink ref="D629" r:id="rId1925" xr:uid="{00000000-0004-0000-0000-000084070000}"/>
    <hyperlink ref="E629" r:id="rId1926" xr:uid="{00000000-0004-0000-0000-000085070000}"/>
    <hyperlink ref="B630" r:id="rId1927" xr:uid="{00000000-0004-0000-0000-000086070000}"/>
    <hyperlink ref="D630" r:id="rId1928" xr:uid="{00000000-0004-0000-0000-000087070000}"/>
    <hyperlink ref="E630" r:id="rId1929" xr:uid="{00000000-0004-0000-0000-000088070000}"/>
    <hyperlink ref="B631" r:id="rId1930" xr:uid="{00000000-0004-0000-0000-000089070000}"/>
    <hyperlink ref="D631" r:id="rId1931" xr:uid="{00000000-0004-0000-0000-00008A070000}"/>
    <hyperlink ref="E631" r:id="rId1932" xr:uid="{00000000-0004-0000-0000-00008B070000}"/>
    <hyperlink ref="V631" r:id="rId1933" xr:uid="{00000000-0004-0000-0000-00008C070000}"/>
    <hyperlink ref="W631" r:id="rId1934" xr:uid="{00000000-0004-0000-0000-00008D070000}"/>
    <hyperlink ref="X631" r:id="rId1935" xr:uid="{00000000-0004-0000-0000-00008E070000}"/>
    <hyperlink ref="Y631" r:id="rId1936" xr:uid="{00000000-0004-0000-0000-00008F070000}"/>
    <hyperlink ref="Z631" r:id="rId1937" xr:uid="{00000000-0004-0000-0000-000090070000}"/>
    <hyperlink ref="AA631" r:id="rId1938" xr:uid="{00000000-0004-0000-0000-000091070000}"/>
    <hyperlink ref="AB631" r:id="rId1939" xr:uid="{00000000-0004-0000-0000-000092070000}"/>
    <hyperlink ref="AC631" r:id="rId1940" xr:uid="{00000000-0004-0000-0000-000093070000}"/>
    <hyperlink ref="AD631" r:id="rId1941" xr:uid="{00000000-0004-0000-0000-000094070000}"/>
    <hyperlink ref="B632" r:id="rId1942" xr:uid="{00000000-0004-0000-0000-000095070000}"/>
    <hyperlink ref="D632" r:id="rId1943" xr:uid="{00000000-0004-0000-0000-000096070000}"/>
    <hyperlink ref="E632" r:id="rId1944" xr:uid="{00000000-0004-0000-0000-000097070000}"/>
    <hyperlink ref="B633" r:id="rId1945" xr:uid="{00000000-0004-0000-0000-000098070000}"/>
    <hyperlink ref="D633" r:id="rId1946" xr:uid="{00000000-0004-0000-0000-000099070000}"/>
    <hyperlink ref="E633" r:id="rId1947" xr:uid="{00000000-0004-0000-0000-00009A070000}"/>
    <hyperlink ref="B634" r:id="rId1948" xr:uid="{00000000-0004-0000-0000-00009B070000}"/>
    <hyperlink ref="D634" r:id="rId1949" xr:uid="{00000000-0004-0000-0000-00009C070000}"/>
    <hyperlink ref="E634" r:id="rId1950" xr:uid="{00000000-0004-0000-0000-00009D070000}"/>
    <hyperlink ref="B635" r:id="rId1951" xr:uid="{00000000-0004-0000-0000-00009E070000}"/>
    <hyperlink ref="D635" r:id="rId1952" xr:uid="{00000000-0004-0000-0000-00009F070000}"/>
    <hyperlink ref="E635" r:id="rId1953" xr:uid="{00000000-0004-0000-0000-0000A0070000}"/>
    <hyperlink ref="B636" r:id="rId1954" xr:uid="{00000000-0004-0000-0000-0000A1070000}"/>
    <hyperlink ref="D636" r:id="rId1955" xr:uid="{00000000-0004-0000-0000-0000A2070000}"/>
    <hyperlink ref="E636" r:id="rId1956" xr:uid="{00000000-0004-0000-0000-0000A3070000}"/>
    <hyperlink ref="B637" r:id="rId1957" xr:uid="{00000000-0004-0000-0000-0000A4070000}"/>
    <hyperlink ref="D637" r:id="rId1958" xr:uid="{00000000-0004-0000-0000-0000A5070000}"/>
    <hyperlink ref="E637" r:id="rId1959" xr:uid="{00000000-0004-0000-0000-0000A6070000}"/>
    <hyperlink ref="B638" r:id="rId1960" xr:uid="{00000000-0004-0000-0000-0000A7070000}"/>
    <hyperlink ref="D638" r:id="rId1961" xr:uid="{00000000-0004-0000-0000-0000A8070000}"/>
    <hyperlink ref="E638" r:id="rId1962" xr:uid="{00000000-0004-0000-0000-0000A9070000}"/>
    <hyperlink ref="B639" r:id="rId1963" xr:uid="{00000000-0004-0000-0000-0000AA070000}"/>
    <hyperlink ref="D639" r:id="rId1964" xr:uid="{00000000-0004-0000-0000-0000AB070000}"/>
    <hyperlink ref="E639" r:id="rId1965" xr:uid="{00000000-0004-0000-0000-0000AC070000}"/>
    <hyperlink ref="B640" r:id="rId1966" xr:uid="{00000000-0004-0000-0000-0000AD070000}"/>
    <hyperlink ref="D640" r:id="rId1967" xr:uid="{00000000-0004-0000-0000-0000AE070000}"/>
    <hyperlink ref="E640" r:id="rId1968" xr:uid="{00000000-0004-0000-0000-0000AF070000}"/>
    <hyperlink ref="B641" r:id="rId1969" xr:uid="{00000000-0004-0000-0000-0000B0070000}"/>
    <hyperlink ref="D641" r:id="rId1970" xr:uid="{00000000-0004-0000-0000-0000B1070000}"/>
    <hyperlink ref="E641" r:id="rId1971" xr:uid="{00000000-0004-0000-0000-0000B2070000}"/>
    <hyperlink ref="B642" r:id="rId1972" xr:uid="{00000000-0004-0000-0000-0000B3070000}"/>
    <hyperlink ref="D642" r:id="rId1973" xr:uid="{00000000-0004-0000-0000-0000B4070000}"/>
    <hyperlink ref="E642" r:id="rId1974" xr:uid="{00000000-0004-0000-0000-0000B5070000}"/>
    <hyperlink ref="B643" r:id="rId1975" xr:uid="{00000000-0004-0000-0000-0000B6070000}"/>
    <hyperlink ref="D643" r:id="rId1976" xr:uid="{00000000-0004-0000-0000-0000B7070000}"/>
    <hyperlink ref="E643" r:id="rId1977" xr:uid="{00000000-0004-0000-0000-0000B8070000}"/>
    <hyperlink ref="B644" r:id="rId1978" xr:uid="{00000000-0004-0000-0000-0000B9070000}"/>
    <hyperlink ref="D644" r:id="rId1979" xr:uid="{00000000-0004-0000-0000-0000BA070000}"/>
    <hyperlink ref="E644" r:id="rId1980" xr:uid="{00000000-0004-0000-0000-0000BB070000}"/>
    <hyperlink ref="B645" r:id="rId1981" xr:uid="{00000000-0004-0000-0000-0000BC070000}"/>
    <hyperlink ref="D645" r:id="rId1982" xr:uid="{00000000-0004-0000-0000-0000BD070000}"/>
    <hyperlink ref="E645" r:id="rId1983" xr:uid="{00000000-0004-0000-0000-0000BE070000}"/>
    <hyperlink ref="B646" r:id="rId1984" xr:uid="{00000000-0004-0000-0000-0000BF070000}"/>
    <hyperlink ref="D646" r:id="rId1985" xr:uid="{00000000-0004-0000-0000-0000C0070000}"/>
    <hyperlink ref="E646" r:id="rId1986" xr:uid="{00000000-0004-0000-0000-0000C1070000}"/>
    <hyperlink ref="B647" r:id="rId1987" xr:uid="{00000000-0004-0000-0000-0000C2070000}"/>
    <hyperlink ref="D647" r:id="rId1988" xr:uid="{00000000-0004-0000-0000-0000C3070000}"/>
    <hyperlink ref="E647" r:id="rId1989" xr:uid="{00000000-0004-0000-0000-0000C4070000}"/>
    <hyperlink ref="B648" r:id="rId1990" xr:uid="{00000000-0004-0000-0000-0000C5070000}"/>
    <hyperlink ref="D648" r:id="rId1991" xr:uid="{00000000-0004-0000-0000-0000C6070000}"/>
    <hyperlink ref="E648" r:id="rId1992" xr:uid="{00000000-0004-0000-0000-0000C7070000}"/>
    <hyperlink ref="B649" r:id="rId1993" xr:uid="{00000000-0004-0000-0000-0000C8070000}"/>
    <hyperlink ref="D649" r:id="rId1994" xr:uid="{00000000-0004-0000-0000-0000C9070000}"/>
    <hyperlink ref="E649" r:id="rId1995" xr:uid="{00000000-0004-0000-0000-0000CA070000}"/>
    <hyperlink ref="B650" r:id="rId1996" xr:uid="{00000000-0004-0000-0000-0000CB070000}"/>
    <hyperlink ref="D650" r:id="rId1997" xr:uid="{00000000-0004-0000-0000-0000CC070000}"/>
    <hyperlink ref="E650" r:id="rId1998" xr:uid="{00000000-0004-0000-0000-0000CD070000}"/>
    <hyperlink ref="B651" r:id="rId1999" xr:uid="{00000000-0004-0000-0000-0000CE070000}"/>
    <hyperlink ref="D651" r:id="rId2000" xr:uid="{00000000-0004-0000-0000-0000CF070000}"/>
    <hyperlink ref="E651" r:id="rId2001" xr:uid="{00000000-0004-0000-0000-0000D0070000}"/>
    <hyperlink ref="B652" r:id="rId2002" xr:uid="{00000000-0004-0000-0000-0000D1070000}"/>
    <hyperlink ref="D652" r:id="rId2003" xr:uid="{00000000-0004-0000-0000-0000D2070000}"/>
    <hyperlink ref="E652" r:id="rId2004" xr:uid="{00000000-0004-0000-0000-0000D3070000}"/>
    <hyperlink ref="B653" r:id="rId2005" xr:uid="{00000000-0004-0000-0000-0000D4070000}"/>
    <hyperlink ref="D653" r:id="rId2006" xr:uid="{00000000-0004-0000-0000-0000D5070000}"/>
    <hyperlink ref="E653" r:id="rId2007" xr:uid="{00000000-0004-0000-0000-0000D6070000}"/>
    <hyperlink ref="B654" r:id="rId2008" xr:uid="{00000000-0004-0000-0000-0000D7070000}"/>
    <hyperlink ref="D654" r:id="rId2009" xr:uid="{00000000-0004-0000-0000-0000D8070000}"/>
    <hyperlink ref="E654" r:id="rId2010" xr:uid="{00000000-0004-0000-0000-0000D9070000}"/>
    <hyperlink ref="B655" r:id="rId2011" xr:uid="{00000000-0004-0000-0000-0000DA070000}"/>
    <hyperlink ref="D655" r:id="rId2012" xr:uid="{00000000-0004-0000-0000-0000DB070000}"/>
    <hyperlink ref="E655" r:id="rId2013" xr:uid="{00000000-0004-0000-0000-0000DC070000}"/>
    <hyperlink ref="B656" r:id="rId2014" xr:uid="{00000000-0004-0000-0000-0000DD070000}"/>
    <hyperlink ref="D656" r:id="rId2015" xr:uid="{00000000-0004-0000-0000-0000DE070000}"/>
    <hyperlink ref="E656" r:id="rId2016" xr:uid="{00000000-0004-0000-0000-0000DF070000}"/>
    <hyperlink ref="B657" r:id="rId2017" xr:uid="{00000000-0004-0000-0000-0000E0070000}"/>
    <hyperlink ref="D657" r:id="rId2018" xr:uid="{00000000-0004-0000-0000-0000E1070000}"/>
    <hyperlink ref="E657" r:id="rId2019" xr:uid="{00000000-0004-0000-0000-0000E2070000}"/>
    <hyperlink ref="B658" r:id="rId2020" xr:uid="{00000000-0004-0000-0000-0000E3070000}"/>
    <hyperlink ref="D658" r:id="rId2021" xr:uid="{00000000-0004-0000-0000-0000E4070000}"/>
    <hyperlink ref="E658" r:id="rId2022" xr:uid="{00000000-0004-0000-0000-0000E5070000}"/>
    <hyperlink ref="B659" r:id="rId2023" xr:uid="{00000000-0004-0000-0000-0000E6070000}"/>
    <hyperlink ref="D659" r:id="rId2024" xr:uid="{00000000-0004-0000-0000-0000E7070000}"/>
    <hyperlink ref="E659" r:id="rId2025" xr:uid="{00000000-0004-0000-0000-0000E8070000}"/>
    <hyperlink ref="B660" r:id="rId2026" xr:uid="{00000000-0004-0000-0000-0000E9070000}"/>
    <hyperlink ref="D660" r:id="rId2027" xr:uid="{00000000-0004-0000-0000-0000EA070000}"/>
    <hyperlink ref="B661" r:id="rId2028" xr:uid="{00000000-0004-0000-0000-0000EB070000}"/>
    <hyperlink ref="D661" r:id="rId2029" xr:uid="{00000000-0004-0000-0000-0000EC070000}"/>
    <hyperlink ref="E661" r:id="rId2030" xr:uid="{00000000-0004-0000-0000-0000ED070000}"/>
    <hyperlink ref="B662" r:id="rId2031" xr:uid="{00000000-0004-0000-0000-0000EE070000}"/>
    <hyperlink ref="D662" r:id="rId2032" xr:uid="{00000000-0004-0000-0000-0000EF070000}"/>
    <hyperlink ref="E662" r:id="rId2033" xr:uid="{00000000-0004-0000-0000-0000F0070000}"/>
    <hyperlink ref="B663" r:id="rId2034" xr:uid="{00000000-0004-0000-0000-0000F1070000}"/>
    <hyperlink ref="D663" r:id="rId2035" xr:uid="{00000000-0004-0000-0000-0000F2070000}"/>
    <hyperlink ref="B664" r:id="rId2036" xr:uid="{00000000-0004-0000-0000-0000F3070000}"/>
    <hyperlink ref="D664" r:id="rId2037" xr:uid="{00000000-0004-0000-0000-0000F4070000}"/>
    <hyperlink ref="B665" r:id="rId2038" xr:uid="{00000000-0004-0000-0000-0000F5070000}"/>
    <hyperlink ref="D665" r:id="rId2039" xr:uid="{00000000-0004-0000-0000-0000F6070000}"/>
    <hyperlink ref="E665" r:id="rId2040" xr:uid="{00000000-0004-0000-0000-0000F7070000}"/>
    <hyperlink ref="B666" r:id="rId2041" xr:uid="{00000000-0004-0000-0000-0000F8070000}"/>
    <hyperlink ref="D666" r:id="rId2042" xr:uid="{00000000-0004-0000-0000-0000F9070000}"/>
    <hyperlink ref="B667" r:id="rId2043" xr:uid="{00000000-0004-0000-0000-0000FA070000}"/>
    <hyperlink ref="D667" r:id="rId2044" xr:uid="{00000000-0004-0000-0000-0000FB070000}"/>
    <hyperlink ref="E667" r:id="rId2045" xr:uid="{00000000-0004-0000-0000-0000FC070000}"/>
    <hyperlink ref="B668" r:id="rId2046" xr:uid="{00000000-0004-0000-0000-0000FD070000}"/>
    <hyperlink ref="D668" r:id="rId2047" xr:uid="{00000000-0004-0000-0000-0000FE070000}"/>
    <hyperlink ref="B669" r:id="rId2048" xr:uid="{00000000-0004-0000-0000-0000FF070000}"/>
    <hyperlink ref="D669" r:id="rId2049" xr:uid="{00000000-0004-0000-0000-000000080000}"/>
    <hyperlink ref="E669" r:id="rId2050" xr:uid="{00000000-0004-0000-0000-000001080000}"/>
    <hyperlink ref="B670" r:id="rId2051" xr:uid="{00000000-0004-0000-0000-000002080000}"/>
    <hyperlink ref="D670" r:id="rId2052" xr:uid="{00000000-0004-0000-0000-000003080000}"/>
    <hyperlink ref="B671" r:id="rId2053" xr:uid="{00000000-0004-0000-0000-000004080000}"/>
    <hyperlink ref="D671" r:id="rId2054" xr:uid="{00000000-0004-0000-0000-000005080000}"/>
    <hyperlink ref="E671" r:id="rId2055" xr:uid="{00000000-0004-0000-0000-000006080000}"/>
    <hyperlink ref="B672" r:id="rId2056" xr:uid="{00000000-0004-0000-0000-000007080000}"/>
    <hyperlink ref="D672" r:id="rId2057" xr:uid="{00000000-0004-0000-0000-000008080000}"/>
    <hyperlink ref="E672" r:id="rId2058" xr:uid="{00000000-0004-0000-0000-000009080000}"/>
    <hyperlink ref="B673" r:id="rId2059" xr:uid="{00000000-0004-0000-0000-00000A080000}"/>
    <hyperlink ref="D673" r:id="rId2060" xr:uid="{00000000-0004-0000-0000-00000B080000}"/>
    <hyperlink ref="E673" r:id="rId2061" xr:uid="{00000000-0004-0000-0000-00000C080000}"/>
    <hyperlink ref="B674" r:id="rId2062" xr:uid="{00000000-0004-0000-0000-00000D080000}"/>
    <hyperlink ref="D674" r:id="rId2063" xr:uid="{00000000-0004-0000-0000-00000E080000}"/>
    <hyperlink ref="E674" r:id="rId2064" xr:uid="{00000000-0004-0000-0000-00000F080000}"/>
    <hyperlink ref="B675" r:id="rId2065" xr:uid="{00000000-0004-0000-0000-000010080000}"/>
    <hyperlink ref="D675" r:id="rId2066" xr:uid="{00000000-0004-0000-0000-000011080000}"/>
    <hyperlink ref="B676" r:id="rId2067" xr:uid="{00000000-0004-0000-0000-000012080000}"/>
    <hyperlink ref="D676" r:id="rId2068" xr:uid="{00000000-0004-0000-0000-000013080000}"/>
    <hyperlink ref="E676" r:id="rId2069" xr:uid="{00000000-0004-0000-0000-000014080000}"/>
    <hyperlink ref="B677" r:id="rId2070" xr:uid="{00000000-0004-0000-0000-000015080000}"/>
    <hyperlink ref="D677" r:id="rId2071" xr:uid="{00000000-0004-0000-0000-000016080000}"/>
    <hyperlink ref="B678" r:id="rId2072" xr:uid="{00000000-0004-0000-0000-000017080000}"/>
    <hyperlink ref="D678" r:id="rId2073" xr:uid="{00000000-0004-0000-0000-000018080000}"/>
    <hyperlink ref="B679" r:id="rId2074" xr:uid="{00000000-0004-0000-0000-000019080000}"/>
    <hyperlink ref="D679" r:id="rId2075" xr:uid="{00000000-0004-0000-0000-00001A080000}"/>
    <hyperlink ref="E679" r:id="rId2076" xr:uid="{00000000-0004-0000-0000-00001B080000}"/>
    <hyperlink ref="B680" r:id="rId2077" xr:uid="{00000000-0004-0000-0000-00001C080000}"/>
    <hyperlink ref="D680" r:id="rId2078" xr:uid="{00000000-0004-0000-0000-00001D080000}"/>
    <hyperlink ref="E680" r:id="rId2079" xr:uid="{00000000-0004-0000-0000-00001E080000}"/>
    <hyperlink ref="B681" r:id="rId2080" xr:uid="{00000000-0004-0000-0000-00001F080000}"/>
    <hyperlink ref="D681" r:id="rId2081" xr:uid="{00000000-0004-0000-0000-000020080000}"/>
    <hyperlink ref="B682" r:id="rId2082" xr:uid="{00000000-0004-0000-0000-000021080000}"/>
    <hyperlink ref="D682" r:id="rId2083" xr:uid="{00000000-0004-0000-0000-000022080000}"/>
    <hyperlink ref="B683" r:id="rId2084" xr:uid="{00000000-0004-0000-0000-000023080000}"/>
    <hyperlink ref="D683" r:id="rId2085" xr:uid="{00000000-0004-0000-0000-000024080000}"/>
    <hyperlink ref="B684" r:id="rId2086" xr:uid="{00000000-0004-0000-0000-000025080000}"/>
    <hyperlink ref="D684" r:id="rId2087" xr:uid="{00000000-0004-0000-0000-000026080000}"/>
    <hyperlink ref="B685" r:id="rId2088" xr:uid="{00000000-0004-0000-0000-000027080000}"/>
    <hyperlink ref="D685" r:id="rId2089" xr:uid="{00000000-0004-0000-0000-000028080000}"/>
    <hyperlink ref="B686" r:id="rId2090" xr:uid="{00000000-0004-0000-0000-000029080000}"/>
    <hyperlink ref="D686" r:id="rId2091" xr:uid="{00000000-0004-0000-0000-00002A080000}"/>
    <hyperlink ref="F686" r:id="rId2092" xr:uid="{00000000-0004-0000-0000-00002B080000}"/>
    <hyperlink ref="B687" r:id="rId2093" xr:uid="{00000000-0004-0000-0000-00002C080000}"/>
    <hyperlink ref="D687" r:id="rId2094" xr:uid="{00000000-0004-0000-0000-00002D080000}"/>
    <hyperlink ref="B688" r:id="rId2095" xr:uid="{00000000-0004-0000-0000-00002E080000}"/>
    <hyperlink ref="D688" r:id="rId2096" xr:uid="{00000000-0004-0000-0000-00002F080000}"/>
    <hyperlink ref="B689" r:id="rId2097" xr:uid="{00000000-0004-0000-0000-000030080000}"/>
    <hyperlink ref="D689" r:id="rId2098" xr:uid="{00000000-0004-0000-0000-000031080000}"/>
    <hyperlink ref="B690" r:id="rId2099" xr:uid="{00000000-0004-0000-0000-000032080000}"/>
    <hyperlink ref="D690" r:id="rId2100" xr:uid="{00000000-0004-0000-0000-000033080000}"/>
    <hyperlink ref="B691" r:id="rId2101" xr:uid="{00000000-0004-0000-0000-000034080000}"/>
    <hyperlink ref="D691" r:id="rId2102" xr:uid="{00000000-0004-0000-0000-000035080000}"/>
    <hyperlink ref="B692" r:id="rId2103" xr:uid="{00000000-0004-0000-0000-000036080000}"/>
    <hyperlink ref="D692" r:id="rId2104" xr:uid="{00000000-0004-0000-0000-000037080000}"/>
    <hyperlink ref="B693" r:id="rId2105" xr:uid="{00000000-0004-0000-0000-000038080000}"/>
    <hyperlink ref="D693" r:id="rId2106" xr:uid="{00000000-0004-0000-0000-000039080000}"/>
    <hyperlink ref="B694" r:id="rId2107" xr:uid="{00000000-0004-0000-0000-00003A080000}"/>
    <hyperlink ref="D694" r:id="rId2108" xr:uid="{00000000-0004-0000-0000-00003B080000}"/>
    <hyperlink ref="B695" r:id="rId2109" xr:uid="{00000000-0004-0000-0000-00003C080000}"/>
    <hyperlink ref="D695" r:id="rId2110" xr:uid="{00000000-0004-0000-0000-00003D080000}"/>
    <hyperlink ref="E695" r:id="rId2111" xr:uid="{00000000-0004-0000-0000-00003E080000}"/>
    <hyperlink ref="B696" r:id="rId2112" xr:uid="{00000000-0004-0000-0000-00003F080000}"/>
    <hyperlink ref="D696" r:id="rId2113" xr:uid="{00000000-0004-0000-0000-000040080000}"/>
    <hyperlink ref="B697" r:id="rId2114" xr:uid="{00000000-0004-0000-0000-000041080000}"/>
    <hyperlink ref="D697" r:id="rId2115" xr:uid="{00000000-0004-0000-0000-000042080000}"/>
    <hyperlink ref="B698" r:id="rId2116" xr:uid="{00000000-0004-0000-0000-000043080000}"/>
    <hyperlink ref="D698" r:id="rId2117" xr:uid="{00000000-0004-0000-0000-000044080000}"/>
    <hyperlink ref="E698" r:id="rId2118" xr:uid="{00000000-0004-0000-0000-000045080000}"/>
    <hyperlink ref="B699" r:id="rId2119" xr:uid="{00000000-0004-0000-0000-000046080000}"/>
    <hyperlink ref="D699" r:id="rId2120" xr:uid="{00000000-0004-0000-0000-000047080000}"/>
    <hyperlink ref="B700" r:id="rId2121" xr:uid="{00000000-0004-0000-0000-000048080000}"/>
    <hyperlink ref="D700" r:id="rId2122" xr:uid="{00000000-0004-0000-0000-000049080000}"/>
    <hyperlink ref="B701" r:id="rId2123" xr:uid="{00000000-0004-0000-0000-00004A080000}"/>
    <hyperlink ref="D701" r:id="rId2124" xr:uid="{00000000-0004-0000-0000-00004B080000}"/>
    <hyperlink ref="B702" r:id="rId2125" xr:uid="{00000000-0004-0000-0000-00004C080000}"/>
    <hyperlink ref="D702" r:id="rId2126" xr:uid="{00000000-0004-0000-0000-00004D080000}"/>
    <hyperlink ref="B703" r:id="rId2127" xr:uid="{00000000-0004-0000-0000-00004E080000}"/>
    <hyperlink ref="D703" r:id="rId2128" xr:uid="{00000000-0004-0000-0000-00004F080000}"/>
    <hyperlink ref="B704" r:id="rId2129" xr:uid="{00000000-0004-0000-0000-000050080000}"/>
    <hyperlink ref="D704" r:id="rId2130" xr:uid="{00000000-0004-0000-0000-000051080000}"/>
    <hyperlink ref="E704" r:id="rId2131" xr:uid="{00000000-0004-0000-0000-000052080000}"/>
    <hyperlink ref="B705" r:id="rId2132" xr:uid="{00000000-0004-0000-0000-000053080000}"/>
    <hyperlink ref="D705" r:id="rId2133" xr:uid="{00000000-0004-0000-0000-000054080000}"/>
    <hyperlink ref="B706" r:id="rId2134" xr:uid="{00000000-0004-0000-0000-000055080000}"/>
    <hyperlink ref="D706" r:id="rId2135" xr:uid="{00000000-0004-0000-0000-000056080000}"/>
    <hyperlink ref="B707" r:id="rId2136" xr:uid="{00000000-0004-0000-0000-000057080000}"/>
    <hyperlink ref="D707" r:id="rId2137" xr:uid="{00000000-0004-0000-0000-000058080000}"/>
    <hyperlink ref="F707" r:id="rId2138" xr:uid="{00000000-0004-0000-0000-000059080000}"/>
    <hyperlink ref="B708" r:id="rId2139" xr:uid="{00000000-0004-0000-0000-00005A080000}"/>
    <hyperlink ref="D708" r:id="rId2140" xr:uid="{00000000-0004-0000-0000-00005B080000}"/>
    <hyperlink ref="B709" r:id="rId2141" xr:uid="{00000000-0004-0000-0000-00005C080000}"/>
    <hyperlink ref="D709" r:id="rId2142" xr:uid="{00000000-0004-0000-0000-00005D080000}"/>
    <hyperlink ref="B710" r:id="rId2143" xr:uid="{00000000-0004-0000-0000-00005E080000}"/>
    <hyperlink ref="D710" r:id="rId2144" xr:uid="{00000000-0004-0000-0000-00005F080000}"/>
    <hyperlink ref="F710" r:id="rId2145" xr:uid="{00000000-0004-0000-0000-000060080000}"/>
    <hyperlink ref="B711" r:id="rId2146" xr:uid="{00000000-0004-0000-0000-000061080000}"/>
    <hyperlink ref="D711" r:id="rId2147" xr:uid="{00000000-0004-0000-0000-000062080000}"/>
    <hyperlink ref="B712" r:id="rId2148" xr:uid="{00000000-0004-0000-0000-000063080000}"/>
    <hyperlink ref="D712" r:id="rId2149" xr:uid="{00000000-0004-0000-0000-000064080000}"/>
    <hyperlink ref="F712" r:id="rId2150" xr:uid="{00000000-0004-0000-0000-000065080000}"/>
    <hyperlink ref="B713" r:id="rId2151" xr:uid="{00000000-0004-0000-0000-000066080000}"/>
    <hyperlink ref="D713" r:id="rId2152" xr:uid="{00000000-0004-0000-0000-000067080000}"/>
    <hyperlink ref="E713" r:id="rId2153" xr:uid="{00000000-0004-0000-0000-000068080000}"/>
    <hyperlink ref="B714" r:id="rId2154" xr:uid="{00000000-0004-0000-0000-000069080000}"/>
    <hyperlink ref="D714" r:id="rId2155" xr:uid="{00000000-0004-0000-0000-00006A080000}"/>
    <hyperlink ref="B715" r:id="rId2156" xr:uid="{00000000-0004-0000-0000-00006B080000}"/>
    <hyperlink ref="D715" r:id="rId2157" xr:uid="{00000000-0004-0000-0000-00006C080000}"/>
    <hyperlink ref="B716" r:id="rId2158" xr:uid="{00000000-0004-0000-0000-00006D080000}"/>
    <hyperlink ref="D716" r:id="rId2159" xr:uid="{00000000-0004-0000-0000-00006E080000}"/>
    <hyperlink ref="B717" r:id="rId2160" xr:uid="{00000000-0004-0000-0000-00006F080000}"/>
    <hyperlink ref="D717" r:id="rId2161" xr:uid="{00000000-0004-0000-0000-000070080000}"/>
    <hyperlink ref="B718" r:id="rId2162" xr:uid="{00000000-0004-0000-0000-000071080000}"/>
    <hyperlink ref="D718" r:id="rId2163" xr:uid="{00000000-0004-0000-0000-000072080000}"/>
    <hyperlink ref="B719" r:id="rId2164" xr:uid="{00000000-0004-0000-0000-000073080000}"/>
    <hyperlink ref="D719" r:id="rId2165" xr:uid="{00000000-0004-0000-0000-000074080000}"/>
    <hyperlink ref="B720" r:id="rId2166" xr:uid="{00000000-0004-0000-0000-000075080000}"/>
    <hyperlink ref="D720" r:id="rId2167" xr:uid="{00000000-0004-0000-0000-000076080000}"/>
    <hyperlink ref="B721" r:id="rId2168" xr:uid="{00000000-0004-0000-0000-000077080000}"/>
    <hyperlink ref="D721" r:id="rId2169" xr:uid="{00000000-0004-0000-0000-000078080000}"/>
    <hyperlink ref="B722" r:id="rId2170" xr:uid="{00000000-0004-0000-0000-000079080000}"/>
    <hyperlink ref="D722" r:id="rId2171" xr:uid="{00000000-0004-0000-0000-00007A080000}"/>
    <hyperlink ref="B723" r:id="rId2172" xr:uid="{00000000-0004-0000-0000-00007B080000}"/>
    <hyperlink ref="D723" r:id="rId2173" xr:uid="{00000000-0004-0000-0000-00007C080000}"/>
    <hyperlink ref="B724" r:id="rId2174" xr:uid="{00000000-0004-0000-0000-00007D080000}"/>
    <hyperlink ref="D724" r:id="rId2175" xr:uid="{00000000-0004-0000-0000-00007E080000}"/>
    <hyperlink ref="B725" r:id="rId2176" xr:uid="{00000000-0004-0000-0000-00007F080000}"/>
    <hyperlink ref="D725" r:id="rId2177" xr:uid="{00000000-0004-0000-0000-000080080000}"/>
    <hyperlink ref="B726" r:id="rId2178" xr:uid="{00000000-0004-0000-0000-000081080000}"/>
    <hyperlink ref="D726" r:id="rId2179" xr:uid="{00000000-0004-0000-0000-000082080000}"/>
    <hyperlink ref="B727" r:id="rId2180" xr:uid="{00000000-0004-0000-0000-000083080000}"/>
    <hyperlink ref="D727" r:id="rId2181" xr:uid="{00000000-0004-0000-0000-000084080000}"/>
    <hyperlink ref="B728" r:id="rId2182" xr:uid="{00000000-0004-0000-0000-000085080000}"/>
    <hyperlink ref="D728" r:id="rId2183" xr:uid="{00000000-0004-0000-0000-000086080000}"/>
    <hyperlink ref="B729" r:id="rId2184" xr:uid="{00000000-0004-0000-0000-000087080000}"/>
    <hyperlink ref="D729" r:id="rId2185" xr:uid="{00000000-0004-0000-0000-000088080000}"/>
    <hyperlink ref="B730" r:id="rId2186" xr:uid="{00000000-0004-0000-0000-000089080000}"/>
    <hyperlink ref="D730" r:id="rId2187" xr:uid="{00000000-0004-0000-0000-00008A080000}"/>
    <hyperlink ref="B731" r:id="rId2188" xr:uid="{00000000-0004-0000-0000-00008B080000}"/>
    <hyperlink ref="D731" r:id="rId2189" xr:uid="{00000000-0004-0000-0000-00008C080000}"/>
    <hyperlink ref="B732" r:id="rId2190" xr:uid="{00000000-0004-0000-0000-00008D080000}"/>
    <hyperlink ref="D732" r:id="rId2191" xr:uid="{00000000-0004-0000-0000-00008E080000}"/>
    <hyperlink ref="B733" r:id="rId2192" xr:uid="{00000000-0004-0000-0000-00008F080000}"/>
    <hyperlink ref="D733" r:id="rId2193" xr:uid="{00000000-0004-0000-0000-000090080000}"/>
    <hyperlink ref="B734" r:id="rId2194" xr:uid="{00000000-0004-0000-0000-000091080000}"/>
    <hyperlink ref="D734" r:id="rId2195" xr:uid="{00000000-0004-0000-0000-000092080000}"/>
    <hyperlink ref="B735" r:id="rId2196" xr:uid="{00000000-0004-0000-0000-000093080000}"/>
    <hyperlink ref="D735" r:id="rId2197" xr:uid="{00000000-0004-0000-0000-000094080000}"/>
    <hyperlink ref="B736" r:id="rId2198" xr:uid="{00000000-0004-0000-0000-000095080000}"/>
    <hyperlink ref="D736" r:id="rId2199" xr:uid="{00000000-0004-0000-0000-000096080000}"/>
    <hyperlink ref="B737" r:id="rId2200" xr:uid="{00000000-0004-0000-0000-000097080000}"/>
    <hyperlink ref="D737" r:id="rId2201" xr:uid="{00000000-0004-0000-0000-000098080000}"/>
    <hyperlink ref="F737" r:id="rId2202" xr:uid="{00000000-0004-0000-0000-000099080000}"/>
    <hyperlink ref="B738" r:id="rId2203" xr:uid="{00000000-0004-0000-0000-00009A080000}"/>
    <hyperlink ref="D738" r:id="rId2204" xr:uid="{00000000-0004-0000-0000-00009B080000}"/>
    <hyperlink ref="B739" r:id="rId2205" xr:uid="{00000000-0004-0000-0000-00009C080000}"/>
    <hyperlink ref="D739" r:id="rId2206" xr:uid="{00000000-0004-0000-0000-00009D080000}"/>
    <hyperlink ref="B740" r:id="rId2207" xr:uid="{00000000-0004-0000-0000-00009E080000}"/>
    <hyperlink ref="D740" r:id="rId2208" xr:uid="{00000000-0004-0000-0000-00009F080000}"/>
    <hyperlink ref="B741" r:id="rId2209" xr:uid="{00000000-0004-0000-0000-0000A0080000}"/>
    <hyperlink ref="D741" r:id="rId2210" xr:uid="{00000000-0004-0000-0000-0000A1080000}"/>
    <hyperlink ref="F741" r:id="rId2211" xr:uid="{00000000-0004-0000-0000-0000A2080000}"/>
    <hyperlink ref="B742" r:id="rId2212" xr:uid="{00000000-0004-0000-0000-0000A3080000}"/>
    <hyperlink ref="D742" r:id="rId2213" xr:uid="{00000000-0004-0000-0000-0000A4080000}"/>
    <hyperlink ref="B743" r:id="rId2214" xr:uid="{00000000-0004-0000-0000-0000A5080000}"/>
    <hyperlink ref="D743" r:id="rId2215" xr:uid="{00000000-0004-0000-0000-0000A6080000}"/>
    <hyperlink ref="B744" r:id="rId2216" xr:uid="{00000000-0004-0000-0000-0000A7080000}"/>
    <hyperlink ref="D744" r:id="rId2217" xr:uid="{00000000-0004-0000-0000-0000A8080000}"/>
    <hyperlink ref="B745" r:id="rId2218" xr:uid="{00000000-0004-0000-0000-0000A9080000}"/>
    <hyperlink ref="D745" r:id="rId2219" xr:uid="{00000000-0004-0000-0000-0000AA080000}"/>
    <hyperlink ref="B746" r:id="rId2220" xr:uid="{00000000-0004-0000-0000-0000AB080000}"/>
    <hyperlink ref="D746" r:id="rId2221" xr:uid="{00000000-0004-0000-0000-0000AC080000}"/>
    <hyperlink ref="B747" r:id="rId2222" xr:uid="{00000000-0004-0000-0000-0000AD080000}"/>
    <hyperlink ref="D747" r:id="rId2223" xr:uid="{00000000-0004-0000-0000-0000AE080000}"/>
    <hyperlink ref="B748" r:id="rId2224" xr:uid="{00000000-0004-0000-0000-0000AF080000}"/>
    <hyperlink ref="D748" r:id="rId2225" xr:uid="{00000000-0004-0000-0000-0000B0080000}"/>
    <hyperlink ref="E748" r:id="rId2226" xr:uid="{00000000-0004-0000-0000-0000B1080000}"/>
    <hyperlink ref="B749" r:id="rId2227" xr:uid="{00000000-0004-0000-0000-0000B2080000}"/>
    <hyperlink ref="D749" r:id="rId2228" xr:uid="{00000000-0004-0000-0000-0000B3080000}"/>
    <hyperlink ref="E749" r:id="rId2229" xr:uid="{00000000-0004-0000-0000-0000B4080000}"/>
    <hyperlink ref="B750" r:id="rId2230" xr:uid="{00000000-0004-0000-0000-0000B5080000}"/>
    <hyperlink ref="D750" r:id="rId2231" xr:uid="{00000000-0004-0000-0000-0000B6080000}"/>
    <hyperlink ref="B751" r:id="rId2232" xr:uid="{00000000-0004-0000-0000-0000B7080000}"/>
    <hyperlink ref="D751" r:id="rId2233" xr:uid="{00000000-0004-0000-0000-0000B8080000}"/>
    <hyperlink ref="E751" r:id="rId2234" xr:uid="{00000000-0004-0000-0000-0000B9080000}"/>
    <hyperlink ref="B752" r:id="rId2235" xr:uid="{00000000-0004-0000-0000-0000BA080000}"/>
    <hyperlink ref="D752" r:id="rId2236" xr:uid="{00000000-0004-0000-0000-0000BB080000}"/>
    <hyperlink ref="E752" r:id="rId2237" xr:uid="{00000000-0004-0000-0000-0000BC080000}"/>
    <hyperlink ref="B753" r:id="rId2238" xr:uid="{00000000-0004-0000-0000-0000BD080000}"/>
    <hyperlink ref="D753" r:id="rId2239" xr:uid="{00000000-0004-0000-0000-0000BE080000}"/>
    <hyperlink ref="E753" r:id="rId2240" xr:uid="{00000000-0004-0000-0000-0000BF080000}"/>
    <hyperlink ref="B754" r:id="rId2241" xr:uid="{00000000-0004-0000-0000-0000C0080000}"/>
    <hyperlink ref="D754" r:id="rId2242" xr:uid="{00000000-0004-0000-0000-0000C1080000}"/>
    <hyperlink ref="E754" r:id="rId2243" xr:uid="{00000000-0004-0000-0000-0000C2080000}"/>
    <hyperlink ref="B755" r:id="rId2244" xr:uid="{00000000-0004-0000-0000-0000C3080000}"/>
    <hyperlink ref="D755" r:id="rId2245" xr:uid="{00000000-0004-0000-0000-0000C4080000}"/>
    <hyperlink ref="E755" r:id="rId2246" xr:uid="{00000000-0004-0000-0000-0000C5080000}"/>
    <hyperlink ref="B756" r:id="rId2247" xr:uid="{00000000-0004-0000-0000-0000C6080000}"/>
    <hyperlink ref="D756" r:id="rId2248" xr:uid="{00000000-0004-0000-0000-0000C7080000}"/>
    <hyperlink ref="E756" r:id="rId2249" xr:uid="{00000000-0004-0000-0000-0000C8080000}"/>
    <hyperlink ref="B757" r:id="rId2250" xr:uid="{00000000-0004-0000-0000-0000C9080000}"/>
    <hyperlink ref="D757" r:id="rId2251" xr:uid="{00000000-0004-0000-0000-0000CA080000}"/>
    <hyperlink ref="E757" r:id="rId2252" xr:uid="{00000000-0004-0000-0000-0000CB080000}"/>
    <hyperlink ref="B758" r:id="rId2253" xr:uid="{00000000-0004-0000-0000-0000CC080000}"/>
    <hyperlink ref="D758" r:id="rId2254" xr:uid="{00000000-0004-0000-0000-0000CD080000}"/>
    <hyperlink ref="E758" r:id="rId2255" xr:uid="{00000000-0004-0000-0000-0000CE080000}"/>
    <hyperlink ref="B759" r:id="rId2256" xr:uid="{00000000-0004-0000-0000-0000CF080000}"/>
    <hyperlink ref="D759" r:id="rId2257" xr:uid="{00000000-0004-0000-0000-0000D0080000}"/>
    <hyperlink ref="E759" r:id="rId2258" xr:uid="{00000000-0004-0000-0000-0000D1080000}"/>
    <hyperlink ref="B760" r:id="rId2259" xr:uid="{00000000-0004-0000-0000-0000D2080000}"/>
    <hyperlink ref="D760" r:id="rId2260" xr:uid="{00000000-0004-0000-0000-0000D3080000}"/>
    <hyperlink ref="E760" r:id="rId2261" xr:uid="{00000000-0004-0000-0000-0000D4080000}"/>
    <hyperlink ref="V760" r:id="rId2262" xr:uid="{00000000-0004-0000-0000-0000D5080000}"/>
    <hyperlink ref="W760" r:id="rId2263" xr:uid="{00000000-0004-0000-0000-0000D6080000}"/>
    <hyperlink ref="X760" r:id="rId2264" xr:uid="{00000000-0004-0000-0000-0000D7080000}"/>
    <hyperlink ref="Y760" r:id="rId2265" xr:uid="{00000000-0004-0000-0000-0000D8080000}"/>
    <hyperlink ref="Z760" r:id="rId2266" xr:uid="{00000000-0004-0000-0000-0000D9080000}"/>
    <hyperlink ref="AA760" r:id="rId2267" xr:uid="{00000000-0004-0000-0000-0000DA080000}"/>
    <hyperlink ref="AB760" r:id="rId2268" xr:uid="{00000000-0004-0000-0000-0000DB080000}"/>
    <hyperlink ref="AC760" r:id="rId2269" xr:uid="{00000000-0004-0000-0000-0000DC080000}"/>
    <hyperlink ref="AD760" r:id="rId2270" xr:uid="{00000000-0004-0000-0000-0000DD080000}"/>
    <hyperlink ref="B761" r:id="rId2271" xr:uid="{00000000-0004-0000-0000-0000DE080000}"/>
    <hyperlink ref="D761" r:id="rId2272" xr:uid="{00000000-0004-0000-0000-0000DF080000}"/>
    <hyperlink ref="E761" r:id="rId2273" xr:uid="{00000000-0004-0000-0000-0000E0080000}"/>
    <hyperlink ref="V761" r:id="rId2274" xr:uid="{00000000-0004-0000-0000-0000E1080000}"/>
    <hyperlink ref="W761" r:id="rId2275" xr:uid="{00000000-0004-0000-0000-0000E2080000}"/>
    <hyperlink ref="X761" r:id="rId2276" xr:uid="{00000000-0004-0000-0000-0000E3080000}"/>
    <hyperlink ref="Y761" r:id="rId2277" xr:uid="{00000000-0004-0000-0000-0000E4080000}"/>
    <hyperlink ref="Z761" r:id="rId2278" xr:uid="{00000000-0004-0000-0000-0000E5080000}"/>
    <hyperlink ref="AA761" r:id="rId2279" xr:uid="{00000000-0004-0000-0000-0000E6080000}"/>
    <hyperlink ref="AB761" r:id="rId2280" xr:uid="{00000000-0004-0000-0000-0000E7080000}"/>
    <hyperlink ref="AC761" r:id="rId2281" xr:uid="{00000000-0004-0000-0000-0000E8080000}"/>
    <hyperlink ref="AD761" r:id="rId2282" xr:uid="{00000000-0004-0000-0000-0000E9080000}"/>
    <hyperlink ref="B762" r:id="rId2283" xr:uid="{00000000-0004-0000-0000-0000EA080000}"/>
    <hyperlink ref="D762" r:id="rId2284" xr:uid="{00000000-0004-0000-0000-0000EB080000}"/>
    <hyperlink ref="E762" r:id="rId2285" xr:uid="{00000000-0004-0000-0000-0000EC080000}"/>
    <hyperlink ref="V762" r:id="rId2286" xr:uid="{00000000-0004-0000-0000-0000ED080000}"/>
    <hyperlink ref="W762" r:id="rId2287" xr:uid="{00000000-0004-0000-0000-0000EE080000}"/>
    <hyperlink ref="X762" r:id="rId2288" xr:uid="{00000000-0004-0000-0000-0000EF080000}"/>
    <hyperlink ref="Y762" r:id="rId2289" xr:uid="{00000000-0004-0000-0000-0000F0080000}"/>
    <hyperlink ref="Z762" r:id="rId2290" xr:uid="{00000000-0004-0000-0000-0000F1080000}"/>
    <hyperlink ref="AA762" r:id="rId2291" xr:uid="{00000000-0004-0000-0000-0000F2080000}"/>
    <hyperlink ref="AB762" r:id="rId2292" xr:uid="{00000000-0004-0000-0000-0000F3080000}"/>
    <hyperlink ref="AC762" r:id="rId2293" xr:uid="{00000000-0004-0000-0000-0000F4080000}"/>
    <hyperlink ref="AD762" r:id="rId2294" xr:uid="{00000000-0004-0000-0000-0000F5080000}"/>
    <hyperlink ref="B763" r:id="rId2295" xr:uid="{00000000-0004-0000-0000-0000F6080000}"/>
    <hyperlink ref="D763" r:id="rId2296" xr:uid="{00000000-0004-0000-0000-0000F7080000}"/>
    <hyperlink ref="E763" r:id="rId2297" xr:uid="{00000000-0004-0000-0000-0000F8080000}"/>
    <hyperlink ref="V763" r:id="rId2298" xr:uid="{00000000-0004-0000-0000-0000F9080000}"/>
    <hyperlink ref="W763" r:id="rId2299" xr:uid="{00000000-0004-0000-0000-0000FA080000}"/>
    <hyperlink ref="X763" r:id="rId2300" xr:uid="{00000000-0004-0000-0000-0000FB080000}"/>
    <hyperlink ref="Y763" r:id="rId2301" xr:uid="{00000000-0004-0000-0000-0000FC080000}"/>
    <hyperlink ref="Z763" r:id="rId2302" xr:uid="{00000000-0004-0000-0000-0000FD080000}"/>
    <hyperlink ref="AA763" r:id="rId2303" xr:uid="{00000000-0004-0000-0000-0000FE080000}"/>
    <hyperlink ref="AB763" r:id="rId2304" xr:uid="{00000000-0004-0000-0000-0000FF080000}"/>
    <hyperlink ref="AC763" r:id="rId2305" xr:uid="{00000000-0004-0000-0000-000000090000}"/>
    <hyperlink ref="AD763" r:id="rId2306" xr:uid="{00000000-0004-0000-0000-000001090000}"/>
    <hyperlink ref="B764" r:id="rId2307" xr:uid="{00000000-0004-0000-0000-000002090000}"/>
    <hyperlink ref="D764" r:id="rId2308" xr:uid="{00000000-0004-0000-0000-000003090000}"/>
    <hyperlink ref="E764" r:id="rId2309" xr:uid="{00000000-0004-0000-0000-000004090000}"/>
    <hyperlink ref="V764" r:id="rId2310" xr:uid="{00000000-0004-0000-0000-000005090000}"/>
    <hyperlink ref="W764" r:id="rId2311" xr:uid="{00000000-0004-0000-0000-000006090000}"/>
    <hyperlink ref="X764" r:id="rId2312" xr:uid="{00000000-0004-0000-0000-000007090000}"/>
    <hyperlink ref="Y764" r:id="rId2313" xr:uid="{00000000-0004-0000-0000-000008090000}"/>
    <hyperlink ref="Z764" r:id="rId2314" xr:uid="{00000000-0004-0000-0000-000009090000}"/>
    <hyperlink ref="AA764" r:id="rId2315" xr:uid="{00000000-0004-0000-0000-00000A090000}"/>
    <hyperlink ref="AB764" r:id="rId2316" xr:uid="{00000000-0004-0000-0000-00000B090000}"/>
    <hyperlink ref="AC764" r:id="rId2317" xr:uid="{00000000-0004-0000-0000-00000C090000}"/>
    <hyperlink ref="AD764" r:id="rId2318" xr:uid="{00000000-0004-0000-0000-00000D090000}"/>
    <hyperlink ref="B765" r:id="rId2319" xr:uid="{00000000-0004-0000-0000-00000E090000}"/>
    <hyperlink ref="D765" r:id="rId2320" xr:uid="{00000000-0004-0000-0000-00000F090000}"/>
    <hyperlink ref="E765" r:id="rId2321" xr:uid="{00000000-0004-0000-0000-000010090000}"/>
    <hyperlink ref="V765" r:id="rId2322" xr:uid="{00000000-0004-0000-0000-000011090000}"/>
    <hyperlink ref="W765" r:id="rId2323" xr:uid="{00000000-0004-0000-0000-000012090000}"/>
    <hyperlink ref="X765" r:id="rId2324" xr:uid="{00000000-0004-0000-0000-000013090000}"/>
    <hyperlink ref="Y765" r:id="rId2325" xr:uid="{00000000-0004-0000-0000-000014090000}"/>
    <hyperlink ref="Z765" r:id="rId2326" xr:uid="{00000000-0004-0000-0000-000015090000}"/>
    <hyperlink ref="AA765" r:id="rId2327" xr:uid="{00000000-0004-0000-0000-000016090000}"/>
    <hyperlink ref="AB765" r:id="rId2328" xr:uid="{00000000-0004-0000-0000-000017090000}"/>
    <hyperlink ref="AC765" r:id="rId2329" xr:uid="{00000000-0004-0000-0000-000018090000}"/>
    <hyperlink ref="AD765" r:id="rId2330" xr:uid="{00000000-0004-0000-0000-000019090000}"/>
    <hyperlink ref="B766" r:id="rId2331" xr:uid="{00000000-0004-0000-0000-00001A090000}"/>
    <hyperlink ref="D766" r:id="rId2332" xr:uid="{00000000-0004-0000-0000-00001B090000}"/>
    <hyperlink ref="E766" r:id="rId2333" xr:uid="{00000000-0004-0000-0000-00001C090000}"/>
    <hyperlink ref="V766" r:id="rId2334" xr:uid="{00000000-0004-0000-0000-00001D090000}"/>
    <hyperlink ref="W766" r:id="rId2335" xr:uid="{00000000-0004-0000-0000-00001E090000}"/>
    <hyperlink ref="X766" r:id="rId2336" xr:uid="{00000000-0004-0000-0000-00001F090000}"/>
    <hyperlink ref="Y766" r:id="rId2337" xr:uid="{00000000-0004-0000-0000-000020090000}"/>
    <hyperlink ref="Z766" r:id="rId2338" xr:uid="{00000000-0004-0000-0000-000021090000}"/>
    <hyperlink ref="AA766" r:id="rId2339" xr:uid="{00000000-0004-0000-0000-000022090000}"/>
    <hyperlink ref="AB766" r:id="rId2340" xr:uid="{00000000-0004-0000-0000-000023090000}"/>
    <hyperlink ref="AC766" r:id="rId2341" xr:uid="{00000000-0004-0000-0000-000024090000}"/>
    <hyperlink ref="AD766" r:id="rId2342" xr:uid="{00000000-0004-0000-0000-000025090000}"/>
    <hyperlink ref="B767" r:id="rId2343" xr:uid="{00000000-0004-0000-0000-000026090000}"/>
    <hyperlink ref="D767" r:id="rId2344" xr:uid="{00000000-0004-0000-0000-000027090000}"/>
    <hyperlink ref="E767" r:id="rId2345" xr:uid="{00000000-0004-0000-0000-000028090000}"/>
    <hyperlink ref="V767" r:id="rId2346" xr:uid="{00000000-0004-0000-0000-000029090000}"/>
    <hyperlink ref="W767" r:id="rId2347" xr:uid="{00000000-0004-0000-0000-00002A090000}"/>
    <hyperlink ref="X767" r:id="rId2348" xr:uid="{00000000-0004-0000-0000-00002B090000}"/>
    <hyperlink ref="Y767" r:id="rId2349" xr:uid="{00000000-0004-0000-0000-00002C090000}"/>
    <hyperlink ref="Z767" r:id="rId2350" xr:uid="{00000000-0004-0000-0000-00002D090000}"/>
    <hyperlink ref="AA767" r:id="rId2351" xr:uid="{00000000-0004-0000-0000-00002E090000}"/>
    <hyperlink ref="AB767" r:id="rId2352" xr:uid="{00000000-0004-0000-0000-00002F090000}"/>
    <hyperlink ref="AC767" r:id="rId2353" xr:uid="{00000000-0004-0000-0000-000030090000}"/>
    <hyperlink ref="AD767" r:id="rId2354" xr:uid="{00000000-0004-0000-0000-000031090000}"/>
    <hyperlink ref="B768" r:id="rId2355" xr:uid="{00000000-0004-0000-0000-000032090000}"/>
    <hyperlink ref="D768" r:id="rId2356" xr:uid="{00000000-0004-0000-0000-000033090000}"/>
    <hyperlink ref="E768" r:id="rId2357" xr:uid="{00000000-0004-0000-0000-000034090000}"/>
    <hyperlink ref="V768" r:id="rId2358" xr:uid="{00000000-0004-0000-0000-000035090000}"/>
    <hyperlink ref="W768" r:id="rId2359" xr:uid="{00000000-0004-0000-0000-000036090000}"/>
    <hyperlink ref="X768" r:id="rId2360" xr:uid="{00000000-0004-0000-0000-000037090000}"/>
    <hyperlink ref="Y768" r:id="rId2361" xr:uid="{00000000-0004-0000-0000-000038090000}"/>
    <hyperlink ref="Z768" r:id="rId2362" xr:uid="{00000000-0004-0000-0000-000039090000}"/>
    <hyperlink ref="AA768" r:id="rId2363" xr:uid="{00000000-0004-0000-0000-00003A090000}"/>
    <hyperlink ref="AB768" r:id="rId2364" xr:uid="{00000000-0004-0000-0000-00003B090000}"/>
    <hyperlink ref="AC768" r:id="rId2365" xr:uid="{00000000-0004-0000-0000-00003C090000}"/>
    <hyperlink ref="AD768" r:id="rId2366" xr:uid="{00000000-0004-0000-0000-00003D090000}"/>
    <hyperlink ref="B769" r:id="rId2367" xr:uid="{00000000-0004-0000-0000-00003E090000}"/>
    <hyperlink ref="D769" r:id="rId2368" xr:uid="{00000000-0004-0000-0000-00003F090000}"/>
    <hyperlink ref="E769" r:id="rId2369" xr:uid="{00000000-0004-0000-0000-000040090000}"/>
    <hyperlink ref="V769" r:id="rId2370" xr:uid="{00000000-0004-0000-0000-000041090000}"/>
    <hyperlink ref="W769" r:id="rId2371" xr:uid="{00000000-0004-0000-0000-000042090000}"/>
    <hyperlink ref="X769" r:id="rId2372" xr:uid="{00000000-0004-0000-0000-000043090000}"/>
    <hyperlink ref="Y769" r:id="rId2373" xr:uid="{00000000-0004-0000-0000-000044090000}"/>
    <hyperlink ref="Z769" r:id="rId2374" xr:uid="{00000000-0004-0000-0000-000045090000}"/>
    <hyperlink ref="AA769" r:id="rId2375" xr:uid="{00000000-0004-0000-0000-000046090000}"/>
    <hyperlink ref="AB769" r:id="rId2376" xr:uid="{00000000-0004-0000-0000-000047090000}"/>
    <hyperlink ref="AC769" r:id="rId2377" xr:uid="{00000000-0004-0000-0000-000048090000}"/>
    <hyperlink ref="AD769" r:id="rId2378" xr:uid="{00000000-0004-0000-0000-000049090000}"/>
    <hyperlink ref="B770" r:id="rId2379" xr:uid="{00000000-0004-0000-0000-00004A090000}"/>
    <hyperlink ref="D770" r:id="rId2380" xr:uid="{00000000-0004-0000-0000-00004B090000}"/>
    <hyperlink ref="E770" r:id="rId2381" xr:uid="{00000000-0004-0000-0000-00004C090000}"/>
    <hyperlink ref="V770" r:id="rId2382" xr:uid="{00000000-0004-0000-0000-00004D090000}"/>
    <hyperlink ref="W770" r:id="rId2383" xr:uid="{00000000-0004-0000-0000-00004E090000}"/>
    <hyperlink ref="X770" r:id="rId2384" xr:uid="{00000000-0004-0000-0000-00004F090000}"/>
    <hyperlink ref="Y770" r:id="rId2385" xr:uid="{00000000-0004-0000-0000-000050090000}"/>
    <hyperlink ref="Z770" r:id="rId2386" xr:uid="{00000000-0004-0000-0000-000051090000}"/>
    <hyperlink ref="AA770" r:id="rId2387" xr:uid="{00000000-0004-0000-0000-000052090000}"/>
    <hyperlink ref="AB770" r:id="rId2388" xr:uid="{00000000-0004-0000-0000-000053090000}"/>
    <hyperlink ref="AC770" r:id="rId2389" xr:uid="{00000000-0004-0000-0000-000054090000}"/>
    <hyperlink ref="AD770" r:id="rId2390" xr:uid="{00000000-0004-0000-0000-000055090000}"/>
    <hyperlink ref="B771" r:id="rId2391" xr:uid="{00000000-0004-0000-0000-000056090000}"/>
    <hyperlink ref="D771" r:id="rId2392" xr:uid="{00000000-0004-0000-0000-000057090000}"/>
    <hyperlink ref="E771" r:id="rId2393" xr:uid="{00000000-0004-0000-0000-000058090000}"/>
    <hyperlink ref="V771" r:id="rId2394" xr:uid="{00000000-0004-0000-0000-000059090000}"/>
    <hyperlink ref="W771" r:id="rId2395" xr:uid="{00000000-0004-0000-0000-00005A090000}"/>
    <hyperlink ref="X771" r:id="rId2396" xr:uid="{00000000-0004-0000-0000-00005B090000}"/>
    <hyperlink ref="Y771" r:id="rId2397" xr:uid="{00000000-0004-0000-0000-00005C090000}"/>
    <hyperlink ref="Z771" r:id="rId2398" xr:uid="{00000000-0004-0000-0000-00005D090000}"/>
    <hyperlink ref="AA771" r:id="rId2399" xr:uid="{00000000-0004-0000-0000-00005E090000}"/>
    <hyperlink ref="AB771" r:id="rId2400" xr:uid="{00000000-0004-0000-0000-00005F090000}"/>
    <hyperlink ref="AC771" r:id="rId2401" xr:uid="{00000000-0004-0000-0000-000060090000}"/>
    <hyperlink ref="AD771" r:id="rId2402" xr:uid="{00000000-0004-0000-0000-000061090000}"/>
    <hyperlink ref="B772" r:id="rId2403" xr:uid="{00000000-0004-0000-0000-000062090000}"/>
    <hyperlink ref="D772" r:id="rId2404" xr:uid="{00000000-0004-0000-0000-000063090000}"/>
    <hyperlink ref="E772" r:id="rId2405" xr:uid="{00000000-0004-0000-0000-000064090000}"/>
    <hyperlink ref="V772" r:id="rId2406" xr:uid="{00000000-0004-0000-0000-000065090000}"/>
    <hyperlink ref="W772" r:id="rId2407" xr:uid="{00000000-0004-0000-0000-000066090000}"/>
    <hyperlink ref="X772" r:id="rId2408" xr:uid="{00000000-0004-0000-0000-000067090000}"/>
    <hyperlink ref="Y772" r:id="rId2409" xr:uid="{00000000-0004-0000-0000-000068090000}"/>
    <hyperlink ref="Z772" r:id="rId2410" xr:uid="{00000000-0004-0000-0000-000069090000}"/>
    <hyperlink ref="AA772" r:id="rId2411" xr:uid="{00000000-0004-0000-0000-00006A090000}"/>
    <hyperlink ref="AB772" r:id="rId2412" xr:uid="{00000000-0004-0000-0000-00006B090000}"/>
    <hyperlink ref="AC772" r:id="rId2413" xr:uid="{00000000-0004-0000-0000-00006C090000}"/>
    <hyperlink ref="AD772" r:id="rId2414" xr:uid="{00000000-0004-0000-0000-00006D090000}"/>
    <hyperlink ref="B773" r:id="rId2415" xr:uid="{00000000-0004-0000-0000-00006E090000}"/>
    <hyperlink ref="D773" r:id="rId2416" xr:uid="{00000000-0004-0000-0000-00006F090000}"/>
    <hyperlink ref="E773" r:id="rId2417" xr:uid="{00000000-0004-0000-0000-000070090000}"/>
    <hyperlink ref="V773" r:id="rId2418" xr:uid="{00000000-0004-0000-0000-000071090000}"/>
    <hyperlink ref="W773" r:id="rId2419" xr:uid="{00000000-0004-0000-0000-000072090000}"/>
    <hyperlink ref="X773" r:id="rId2420" xr:uid="{00000000-0004-0000-0000-000073090000}"/>
    <hyperlink ref="Y773" r:id="rId2421" xr:uid="{00000000-0004-0000-0000-000074090000}"/>
    <hyperlink ref="Z773" r:id="rId2422" xr:uid="{00000000-0004-0000-0000-000075090000}"/>
    <hyperlink ref="AA773" r:id="rId2423" xr:uid="{00000000-0004-0000-0000-000076090000}"/>
    <hyperlink ref="AB773" r:id="rId2424" xr:uid="{00000000-0004-0000-0000-000077090000}"/>
    <hyperlink ref="AC773" r:id="rId2425" xr:uid="{00000000-0004-0000-0000-000078090000}"/>
    <hyperlink ref="AD773" r:id="rId2426" xr:uid="{00000000-0004-0000-0000-000079090000}"/>
    <hyperlink ref="B774" r:id="rId2427" xr:uid="{00000000-0004-0000-0000-00007A090000}"/>
    <hyperlink ref="D774" r:id="rId2428" xr:uid="{00000000-0004-0000-0000-00007B090000}"/>
    <hyperlink ref="E774" r:id="rId2429" xr:uid="{00000000-0004-0000-0000-00007C090000}"/>
    <hyperlink ref="V774" r:id="rId2430" xr:uid="{00000000-0004-0000-0000-00007D090000}"/>
    <hyperlink ref="W774" r:id="rId2431" xr:uid="{00000000-0004-0000-0000-00007E090000}"/>
    <hyperlink ref="X774" r:id="rId2432" xr:uid="{00000000-0004-0000-0000-00007F090000}"/>
    <hyperlink ref="Y774" r:id="rId2433" xr:uid="{00000000-0004-0000-0000-000080090000}"/>
    <hyperlink ref="Z774" r:id="rId2434" xr:uid="{00000000-0004-0000-0000-000081090000}"/>
    <hyperlink ref="AA774" r:id="rId2435" xr:uid="{00000000-0004-0000-0000-000082090000}"/>
    <hyperlink ref="AB774" r:id="rId2436" xr:uid="{00000000-0004-0000-0000-000083090000}"/>
    <hyperlink ref="AC774" r:id="rId2437" xr:uid="{00000000-0004-0000-0000-000084090000}"/>
    <hyperlink ref="AD774" r:id="rId2438" xr:uid="{00000000-0004-0000-0000-000085090000}"/>
    <hyperlink ref="B775" r:id="rId2439" xr:uid="{00000000-0004-0000-0000-000086090000}"/>
    <hyperlink ref="D775" r:id="rId2440" xr:uid="{00000000-0004-0000-0000-000087090000}"/>
    <hyperlink ref="E775" r:id="rId2441" xr:uid="{00000000-0004-0000-0000-000088090000}"/>
    <hyperlink ref="V775" r:id="rId2442" xr:uid="{00000000-0004-0000-0000-000089090000}"/>
    <hyperlink ref="W775" r:id="rId2443" xr:uid="{00000000-0004-0000-0000-00008A090000}"/>
    <hyperlink ref="X775" r:id="rId2444" xr:uid="{00000000-0004-0000-0000-00008B090000}"/>
    <hyperlink ref="Y775" r:id="rId2445" xr:uid="{00000000-0004-0000-0000-00008C090000}"/>
    <hyperlink ref="Z775" r:id="rId2446" xr:uid="{00000000-0004-0000-0000-00008D090000}"/>
    <hyperlink ref="AA775" r:id="rId2447" xr:uid="{00000000-0004-0000-0000-00008E090000}"/>
    <hyperlink ref="AB775" r:id="rId2448" xr:uid="{00000000-0004-0000-0000-00008F090000}"/>
    <hyperlink ref="AC775" r:id="rId2449" xr:uid="{00000000-0004-0000-0000-000090090000}"/>
    <hyperlink ref="AD775" r:id="rId2450" xr:uid="{00000000-0004-0000-0000-000091090000}"/>
    <hyperlink ref="B776" r:id="rId2451" xr:uid="{00000000-0004-0000-0000-000092090000}"/>
    <hyperlink ref="D776" r:id="rId2452" xr:uid="{00000000-0004-0000-0000-000093090000}"/>
    <hyperlink ref="E776" r:id="rId2453" xr:uid="{00000000-0004-0000-0000-000094090000}"/>
    <hyperlink ref="V776" r:id="rId2454" xr:uid="{00000000-0004-0000-0000-000095090000}"/>
    <hyperlink ref="W776" r:id="rId2455" xr:uid="{00000000-0004-0000-0000-000096090000}"/>
    <hyperlink ref="X776" r:id="rId2456" xr:uid="{00000000-0004-0000-0000-000097090000}"/>
    <hyperlink ref="Y776" r:id="rId2457" xr:uid="{00000000-0004-0000-0000-000098090000}"/>
    <hyperlink ref="Z776" r:id="rId2458" xr:uid="{00000000-0004-0000-0000-000099090000}"/>
    <hyperlink ref="AA776" r:id="rId2459" xr:uid="{00000000-0004-0000-0000-00009A090000}"/>
    <hyperlink ref="AB776" r:id="rId2460" xr:uid="{00000000-0004-0000-0000-00009B090000}"/>
    <hyperlink ref="AC776" r:id="rId2461" xr:uid="{00000000-0004-0000-0000-00009C090000}"/>
    <hyperlink ref="AD776" r:id="rId2462" xr:uid="{00000000-0004-0000-0000-00009D090000}"/>
    <hyperlink ref="B777" r:id="rId2463" xr:uid="{00000000-0004-0000-0000-00009E090000}"/>
    <hyperlink ref="D777" r:id="rId2464" xr:uid="{00000000-0004-0000-0000-00009F090000}"/>
    <hyperlink ref="E777" r:id="rId2465" xr:uid="{00000000-0004-0000-0000-0000A0090000}"/>
    <hyperlink ref="V777" r:id="rId2466" xr:uid="{00000000-0004-0000-0000-0000A1090000}"/>
    <hyperlink ref="W777" r:id="rId2467" xr:uid="{00000000-0004-0000-0000-0000A2090000}"/>
    <hyperlink ref="X777" r:id="rId2468" xr:uid="{00000000-0004-0000-0000-0000A3090000}"/>
    <hyperlink ref="Y777" r:id="rId2469" xr:uid="{00000000-0004-0000-0000-0000A4090000}"/>
    <hyperlink ref="Z777" r:id="rId2470" xr:uid="{00000000-0004-0000-0000-0000A5090000}"/>
    <hyperlink ref="AA777" r:id="rId2471" xr:uid="{00000000-0004-0000-0000-0000A6090000}"/>
    <hyperlink ref="AB777" r:id="rId2472" xr:uid="{00000000-0004-0000-0000-0000A7090000}"/>
    <hyperlink ref="AC777" r:id="rId2473" xr:uid="{00000000-0004-0000-0000-0000A8090000}"/>
    <hyperlink ref="AD777" r:id="rId2474" xr:uid="{00000000-0004-0000-0000-0000A9090000}"/>
    <hyperlink ref="B778" r:id="rId2475" xr:uid="{00000000-0004-0000-0000-0000AA090000}"/>
    <hyperlink ref="D778" r:id="rId2476" xr:uid="{00000000-0004-0000-0000-0000AB090000}"/>
    <hyperlink ref="E778" r:id="rId2477" xr:uid="{00000000-0004-0000-0000-0000AC090000}"/>
    <hyperlink ref="V778" r:id="rId2478" xr:uid="{00000000-0004-0000-0000-0000AD090000}"/>
    <hyperlink ref="W778" r:id="rId2479" xr:uid="{00000000-0004-0000-0000-0000AE090000}"/>
    <hyperlink ref="X778" r:id="rId2480" xr:uid="{00000000-0004-0000-0000-0000AF090000}"/>
    <hyperlink ref="Y778" r:id="rId2481" xr:uid="{00000000-0004-0000-0000-0000B0090000}"/>
    <hyperlink ref="Z778" r:id="rId2482" xr:uid="{00000000-0004-0000-0000-0000B1090000}"/>
    <hyperlink ref="AA778" r:id="rId2483" xr:uid="{00000000-0004-0000-0000-0000B2090000}"/>
    <hyperlink ref="AB778" r:id="rId2484" xr:uid="{00000000-0004-0000-0000-0000B3090000}"/>
    <hyperlink ref="AC778" r:id="rId2485" xr:uid="{00000000-0004-0000-0000-0000B4090000}"/>
    <hyperlink ref="AD778" r:id="rId2486" xr:uid="{00000000-0004-0000-0000-0000B5090000}"/>
    <hyperlink ref="B779" r:id="rId2487" xr:uid="{00000000-0004-0000-0000-0000B6090000}"/>
    <hyperlink ref="D779" r:id="rId2488" xr:uid="{00000000-0004-0000-0000-0000B7090000}"/>
    <hyperlink ref="E779" r:id="rId2489" xr:uid="{00000000-0004-0000-0000-0000B8090000}"/>
    <hyperlink ref="V779" r:id="rId2490" xr:uid="{00000000-0004-0000-0000-0000B9090000}"/>
    <hyperlink ref="W779" r:id="rId2491" xr:uid="{00000000-0004-0000-0000-0000BA090000}"/>
    <hyperlink ref="X779" r:id="rId2492" xr:uid="{00000000-0004-0000-0000-0000BB090000}"/>
    <hyperlink ref="Y779" r:id="rId2493" xr:uid="{00000000-0004-0000-0000-0000BC090000}"/>
    <hyperlink ref="Z779" r:id="rId2494" xr:uid="{00000000-0004-0000-0000-0000BD090000}"/>
    <hyperlink ref="AA779" r:id="rId2495" xr:uid="{00000000-0004-0000-0000-0000BE090000}"/>
    <hyperlink ref="AB779" r:id="rId2496" xr:uid="{00000000-0004-0000-0000-0000BF090000}"/>
    <hyperlink ref="AC779" r:id="rId2497" xr:uid="{00000000-0004-0000-0000-0000C0090000}"/>
    <hyperlink ref="AD779" r:id="rId2498" xr:uid="{00000000-0004-0000-0000-0000C1090000}"/>
    <hyperlink ref="B780" r:id="rId2499" xr:uid="{00000000-0004-0000-0000-0000C2090000}"/>
    <hyperlink ref="D780" r:id="rId2500" xr:uid="{00000000-0004-0000-0000-0000C3090000}"/>
    <hyperlink ref="E780" r:id="rId2501" xr:uid="{00000000-0004-0000-0000-0000C4090000}"/>
    <hyperlink ref="V780" r:id="rId2502" xr:uid="{00000000-0004-0000-0000-0000C5090000}"/>
    <hyperlink ref="W780" r:id="rId2503" xr:uid="{00000000-0004-0000-0000-0000C6090000}"/>
    <hyperlink ref="X780" r:id="rId2504" xr:uid="{00000000-0004-0000-0000-0000C7090000}"/>
    <hyperlink ref="Y780" r:id="rId2505" xr:uid="{00000000-0004-0000-0000-0000C8090000}"/>
    <hyperlink ref="Z780" r:id="rId2506" xr:uid="{00000000-0004-0000-0000-0000C9090000}"/>
    <hyperlink ref="AA780" r:id="rId2507" xr:uid="{00000000-0004-0000-0000-0000CA090000}"/>
    <hyperlink ref="AB780" r:id="rId2508" xr:uid="{00000000-0004-0000-0000-0000CB090000}"/>
    <hyperlink ref="AC780" r:id="rId2509" xr:uid="{00000000-0004-0000-0000-0000CC090000}"/>
    <hyperlink ref="AD780" r:id="rId2510" xr:uid="{00000000-0004-0000-0000-0000CD090000}"/>
    <hyperlink ref="B781" r:id="rId2511" xr:uid="{00000000-0004-0000-0000-0000CE090000}"/>
    <hyperlink ref="D781" r:id="rId2512" xr:uid="{00000000-0004-0000-0000-0000CF090000}"/>
    <hyperlink ref="E781" r:id="rId2513" xr:uid="{00000000-0004-0000-0000-0000D0090000}"/>
    <hyperlink ref="V781" r:id="rId2514" xr:uid="{00000000-0004-0000-0000-0000D1090000}"/>
    <hyperlink ref="W781" r:id="rId2515" xr:uid="{00000000-0004-0000-0000-0000D2090000}"/>
    <hyperlink ref="X781" r:id="rId2516" xr:uid="{00000000-0004-0000-0000-0000D3090000}"/>
    <hyperlink ref="Y781" r:id="rId2517" xr:uid="{00000000-0004-0000-0000-0000D4090000}"/>
    <hyperlink ref="Z781" r:id="rId2518" xr:uid="{00000000-0004-0000-0000-0000D5090000}"/>
    <hyperlink ref="AA781" r:id="rId2519" xr:uid="{00000000-0004-0000-0000-0000D6090000}"/>
    <hyperlink ref="AB781" r:id="rId2520" xr:uid="{00000000-0004-0000-0000-0000D7090000}"/>
    <hyperlink ref="AC781" r:id="rId2521" xr:uid="{00000000-0004-0000-0000-0000D8090000}"/>
    <hyperlink ref="AD781" r:id="rId2522" xr:uid="{00000000-0004-0000-0000-0000D9090000}"/>
    <hyperlink ref="B782" r:id="rId2523" xr:uid="{00000000-0004-0000-0000-0000DA090000}"/>
    <hyperlink ref="D782" r:id="rId2524" xr:uid="{00000000-0004-0000-0000-0000DB090000}"/>
    <hyperlink ref="E782" r:id="rId2525" xr:uid="{00000000-0004-0000-0000-0000DC090000}"/>
    <hyperlink ref="V782" r:id="rId2526" xr:uid="{00000000-0004-0000-0000-0000DD090000}"/>
    <hyperlink ref="W782" r:id="rId2527" xr:uid="{00000000-0004-0000-0000-0000DE090000}"/>
    <hyperlink ref="X782" r:id="rId2528" xr:uid="{00000000-0004-0000-0000-0000DF090000}"/>
    <hyperlink ref="Y782" r:id="rId2529" xr:uid="{00000000-0004-0000-0000-0000E0090000}"/>
    <hyperlink ref="Z782" r:id="rId2530" xr:uid="{00000000-0004-0000-0000-0000E1090000}"/>
    <hyperlink ref="AA782" r:id="rId2531" xr:uid="{00000000-0004-0000-0000-0000E2090000}"/>
    <hyperlink ref="AB782" r:id="rId2532" xr:uid="{00000000-0004-0000-0000-0000E3090000}"/>
    <hyperlink ref="AC782" r:id="rId2533" xr:uid="{00000000-0004-0000-0000-0000E4090000}"/>
    <hyperlink ref="AD782" r:id="rId2534" xr:uid="{00000000-0004-0000-0000-0000E5090000}"/>
    <hyperlink ref="B783" r:id="rId2535" xr:uid="{00000000-0004-0000-0000-0000E6090000}"/>
    <hyperlink ref="D783" r:id="rId2536" xr:uid="{00000000-0004-0000-0000-0000E7090000}"/>
    <hyperlink ref="E783" r:id="rId2537" xr:uid="{00000000-0004-0000-0000-0000E8090000}"/>
    <hyperlink ref="V783" r:id="rId2538" xr:uid="{00000000-0004-0000-0000-0000E9090000}"/>
    <hyperlink ref="W783" r:id="rId2539" xr:uid="{00000000-0004-0000-0000-0000EA090000}"/>
    <hyperlink ref="X783" r:id="rId2540" xr:uid="{00000000-0004-0000-0000-0000EB090000}"/>
    <hyperlink ref="Y783" r:id="rId2541" xr:uid="{00000000-0004-0000-0000-0000EC090000}"/>
    <hyperlink ref="Z783" r:id="rId2542" xr:uid="{00000000-0004-0000-0000-0000ED090000}"/>
    <hyperlink ref="AA783" r:id="rId2543" xr:uid="{00000000-0004-0000-0000-0000EE090000}"/>
    <hyperlink ref="AB783" r:id="rId2544" xr:uid="{00000000-0004-0000-0000-0000EF090000}"/>
    <hyperlink ref="AC783" r:id="rId2545" xr:uid="{00000000-0004-0000-0000-0000F0090000}"/>
    <hyperlink ref="AD783" r:id="rId2546" xr:uid="{00000000-0004-0000-0000-0000F1090000}"/>
    <hyperlink ref="B784" r:id="rId2547" xr:uid="{00000000-0004-0000-0000-0000F2090000}"/>
    <hyperlink ref="D784" r:id="rId2548" xr:uid="{00000000-0004-0000-0000-0000F3090000}"/>
    <hyperlink ref="E784" r:id="rId2549" xr:uid="{00000000-0004-0000-0000-0000F4090000}"/>
    <hyperlink ref="V784" r:id="rId2550" xr:uid="{00000000-0004-0000-0000-0000F5090000}"/>
    <hyperlink ref="W784" r:id="rId2551" xr:uid="{00000000-0004-0000-0000-0000F6090000}"/>
    <hyperlink ref="X784" r:id="rId2552" xr:uid="{00000000-0004-0000-0000-0000F7090000}"/>
    <hyperlink ref="Y784" r:id="rId2553" xr:uid="{00000000-0004-0000-0000-0000F8090000}"/>
    <hyperlink ref="Z784" r:id="rId2554" xr:uid="{00000000-0004-0000-0000-0000F9090000}"/>
    <hyperlink ref="AA784" r:id="rId2555" xr:uid="{00000000-0004-0000-0000-0000FA090000}"/>
    <hyperlink ref="AB784" r:id="rId2556" xr:uid="{00000000-0004-0000-0000-0000FB090000}"/>
    <hyperlink ref="AC784" r:id="rId2557" xr:uid="{00000000-0004-0000-0000-0000FC090000}"/>
    <hyperlink ref="AD784" r:id="rId2558" xr:uid="{00000000-0004-0000-0000-0000FD090000}"/>
    <hyperlink ref="B785" r:id="rId2559" xr:uid="{00000000-0004-0000-0000-0000FE090000}"/>
    <hyperlink ref="D785" r:id="rId2560" xr:uid="{00000000-0004-0000-0000-0000FF090000}"/>
    <hyperlink ref="E785" r:id="rId2561" xr:uid="{00000000-0004-0000-0000-0000000A0000}"/>
    <hyperlink ref="V785" r:id="rId2562" xr:uid="{00000000-0004-0000-0000-0000010A0000}"/>
    <hyperlink ref="W785" r:id="rId2563" xr:uid="{00000000-0004-0000-0000-0000020A0000}"/>
    <hyperlink ref="X785" r:id="rId2564" xr:uid="{00000000-0004-0000-0000-0000030A0000}"/>
    <hyperlink ref="Y785" r:id="rId2565" xr:uid="{00000000-0004-0000-0000-0000040A0000}"/>
    <hyperlink ref="Z785" r:id="rId2566" xr:uid="{00000000-0004-0000-0000-0000050A0000}"/>
    <hyperlink ref="AA785" r:id="rId2567" xr:uid="{00000000-0004-0000-0000-0000060A0000}"/>
    <hyperlink ref="AB785" r:id="rId2568" xr:uid="{00000000-0004-0000-0000-0000070A0000}"/>
    <hyperlink ref="AC785" r:id="rId2569" xr:uid="{00000000-0004-0000-0000-0000080A0000}"/>
    <hyperlink ref="AD785" r:id="rId2570" xr:uid="{00000000-0004-0000-0000-0000090A0000}"/>
    <hyperlink ref="B786" r:id="rId2571" xr:uid="{00000000-0004-0000-0000-00000A0A0000}"/>
    <hyperlink ref="D786" r:id="rId2572" xr:uid="{00000000-0004-0000-0000-00000B0A0000}"/>
    <hyperlink ref="E786" r:id="rId2573" xr:uid="{00000000-0004-0000-0000-00000C0A0000}"/>
    <hyperlink ref="V786" r:id="rId2574" xr:uid="{00000000-0004-0000-0000-00000D0A0000}"/>
    <hyperlink ref="W786" r:id="rId2575" xr:uid="{00000000-0004-0000-0000-00000E0A0000}"/>
    <hyperlink ref="X786" r:id="rId2576" xr:uid="{00000000-0004-0000-0000-00000F0A0000}"/>
    <hyperlink ref="Y786" r:id="rId2577" xr:uid="{00000000-0004-0000-0000-0000100A0000}"/>
    <hyperlink ref="Z786" r:id="rId2578" xr:uid="{00000000-0004-0000-0000-0000110A0000}"/>
    <hyperlink ref="AA786" r:id="rId2579" xr:uid="{00000000-0004-0000-0000-0000120A0000}"/>
    <hyperlink ref="AB786" r:id="rId2580" xr:uid="{00000000-0004-0000-0000-0000130A0000}"/>
    <hyperlink ref="AC786" r:id="rId2581" xr:uid="{00000000-0004-0000-0000-0000140A0000}"/>
    <hyperlink ref="AD786" r:id="rId2582" xr:uid="{00000000-0004-0000-0000-0000150A0000}"/>
    <hyperlink ref="B787" r:id="rId2583" xr:uid="{00000000-0004-0000-0000-0000160A0000}"/>
    <hyperlink ref="D787" r:id="rId2584" xr:uid="{00000000-0004-0000-0000-0000170A0000}"/>
    <hyperlink ref="E787" r:id="rId2585" xr:uid="{00000000-0004-0000-0000-0000180A0000}"/>
    <hyperlink ref="V787" r:id="rId2586" xr:uid="{00000000-0004-0000-0000-0000190A0000}"/>
    <hyperlink ref="W787" r:id="rId2587" xr:uid="{00000000-0004-0000-0000-00001A0A0000}"/>
    <hyperlink ref="X787" r:id="rId2588" xr:uid="{00000000-0004-0000-0000-00001B0A0000}"/>
    <hyperlink ref="Y787" r:id="rId2589" xr:uid="{00000000-0004-0000-0000-00001C0A0000}"/>
    <hyperlink ref="Z787" r:id="rId2590" xr:uid="{00000000-0004-0000-0000-00001D0A0000}"/>
    <hyperlink ref="AA787" r:id="rId2591" xr:uid="{00000000-0004-0000-0000-00001E0A0000}"/>
    <hyperlink ref="AB787" r:id="rId2592" xr:uid="{00000000-0004-0000-0000-00001F0A0000}"/>
    <hyperlink ref="AC787" r:id="rId2593" xr:uid="{00000000-0004-0000-0000-0000200A0000}"/>
    <hyperlink ref="AD787" r:id="rId2594" xr:uid="{00000000-0004-0000-0000-0000210A0000}"/>
    <hyperlink ref="B788" r:id="rId2595" xr:uid="{00000000-0004-0000-0000-0000220A0000}"/>
    <hyperlink ref="D788" r:id="rId2596" xr:uid="{00000000-0004-0000-0000-0000230A0000}"/>
    <hyperlink ref="E788" r:id="rId2597" xr:uid="{00000000-0004-0000-0000-0000240A0000}"/>
    <hyperlink ref="V788" r:id="rId2598" xr:uid="{00000000-0004-0000-0000-0000250A0000}"/>
    <hyperlink ref="W788" r:id="rId2599" xr:uid="{00000000-0004-0000-0000-0000260A0000}"/>
    <hyperlink ref="X788" r:id="rId2600" xr:uid="{00000000-0004-0000-0000-0000270A0000}"/>
    <hyperlink ref="Y788" r:id="rId2601" xr:uid="{00000000-0004-0000-0000-0000280A0000}"/>
    <hyperlink ref="Z788" r:id="rId2602" xr:uid="{00000000-0004-0000-0000-0000290A0000}"/>
    <hyperlink ref="AA788" r:id="rId2603" xr:uid="{00000000-0004-0000-0000-00002A0A0000}"/>
    <hyperlink ref="AB788" r:id="rId2604" xr:uid="{00000000-0004-0000-0000-00002B0A0000}"/>
    <hyperlink ref="AC788" r:id="rId2605" xr:uid="{00000000-0004-0000-0000-00002C0A0000}"/>
    <hyperlink ref="AD788" r:id="rId2606" xr:uid="{00000000-0004-0000-0000-00002D0A0000}"/>
    <hyperlink ref="B789" r:id="rId2607" xr:uid="{00000000-0004-0000-0000-00002E0A0000}"/>
    <hyperlink ref="D789" r:id="rId2608" xr:uid="{00000000-0004-0000-0000-00002F0A0000}"/>
    <hyperlink ref="E789" r:id="rId2609" xr:uid="{00000000-0004-0000-0000-0000300A0000}"/>
    <hyperlink ref="V789" r:id="rId2610" xr:uid="{00000000-0004-0000-0000-0000310A0000}"/>
    <hyperlink ref="W789" r:id="rId2611" xr:uid="{00000000-0004-0000-0000-0000320A0000}"/>
    <hyperlink ref="X789" r:id="rId2612" xr:uid="{00000000-0004-0000-0000-0000330A0000}"/>
    <hyperlink ref="Y789" r:id="rId2613" xr:uid="{00000000-0004-0000-0000-0000340A0000}"/>
    <hyperlink ref="Z789" r:id="rId2614" xr:uid="{00000000-0004-0000-0000-0000350A0000}"/>
    <hyperlink ref="AA789" r:id="rId2615" xr:uid="{00000000-0004-0000-0000-0000360A0000}"/>
    <hyperlink ref="AB789" r:id="rId2616" xr:uid="{00000000-0004-0000-0000-0000370A0000}"/>
    <hyperlink ref="AC789" r:id="rId2617" xr:uid="{00000000-0004-0000-0000-0000380A0000}"/>
    <hyperlink ref="AD789" r:id="rId2618" xr:uid="{00000000-0004-0000-0000-0000390A0000}"/>
    <hyperlink ref="B790" r:id="rId2619" xr:uid="{00000000-0004-0000-0000-00003A0A0000}"/>
    <hyperlink ref="D790" r:id="rId2620" xr:uid="{00000000-0004-0000-0000-00003B0A0000}"/>
    <hyperlink ref="E790" r:id="rId2621" xr:uid="{00000000-0004-0000-0000-00003C0A0000}"/>
    <hyperlink ref="V790" r:id="rId2622" xr:uid="{00000000-0004-0000-0000-00003D0A0000}"/>
    <hyperlink ref="W790" r:id="rId2623" xr:uid="{00000000-0004-0000-0000-00003E0A0000}"/>
    <hyperlink ref="X790" r:id="rId2624" xr:uid="{00000000-0004-0000-0000-00003F0A0000}"/>
    <hyperlink ref="Y790" r:id="rId2625" xr:uid="{00000000-0004-0000-0000-0000400A0000}"/>
    <hyperlink ref="Z790" r:id="rId2626" xr:uid="{00000000-0004-0000-0000-0000410A0000}"/>
    <hyperlink ref="AA790" r:id="rId2627" xr:uid="{00000000-0004-0000-0000-0000420A0000}"/>
    <hyperlink ref="AB790" r:id="rId2628" xr:uid="{00000000-0004-0000-0000-0000430A0000}"/>
    <hyperlink ref="AC790" r:id="rId2629" xr:uid="{00000000-0004-0000-0000-0000440A0000}"/>
    <hyperlink ref="AD790" r:id="rId2630" xr:uid="{00000000-0004-0000-0000-0000450A0000}"/>
    <hyperlink ref="B791" r:id="rId2631" xr:uid="{00000000-0004-0000-0000-0000460A0000}"/>
    <hyperlink ref="D791" r:id="rId2632" xr:uid="{00000000-0004-0000-0000-0000470A0000}"/>
    <hyperlink ref="E791" r:id="rId2633" xr:uid="{00000000-0004-0000-0000-0000480A0000}"/>
    <hyperlink ref="V791" r:id="rId2634" xr:uid="{00000000-0004-0000-0000-0000490A0000}"/>
    <hyperlink ref="W791" r:id="rId2635" xr:uid="{00000000-0004-0000-0000-00004A0A0000}"/>
    <hyperlink ref="X791" r:id="rId2636" xr:uid="{00000000-0004-0000-0000-00004B0A0000}"/>
    <hyperlink ref="Y791" r:id="rId2637" xr:uid="{00000000-0004-0000-0000-00004C0A0000}"/>
    <hyperlink ref="Z791" r:id="rId2638" xr:uid="{00000000-0004-0000-0000-00004D0A0000}"/>
    <hyperlink ref="AA791" r:id="rId2639" xr:uid="{00000000-0004-0000-0000-00004E0A0000}"/>
    <hyperlink ref="AB791" r:id="rId2640" xr:uid="{00000000-0004-0000-0000-00004F0A0000}"/>
    <hyperlink ref="AC791" r:id="rId2641" xr:uid="{00000000-0004-0000-0000-0000500A0000}"/>
    <hyperlink ref="AD791" r:id="rId2642" xr:uid="{00000000-0004-0000-0000-0000510A0000}"/>
    <hyperlink ref="B792" r:id="rId2643" xr:uid="{00000000-0004-0000-0000-0000520A0000}"/>
    <hyperlink ref="D792" r:id="rId2644" xr:uid="{00000000-0004-0000-0000-0000530A0000}"/>
    <hyperlink ref="E792" r:id="rId2645" xr:uid="{00000000-0004-0000-0000-0000540A0000}"/>
    <hyperlink ref="V792" r:id="rId2646" xr:uid="{00000000-0004-0000-0000-0000550A0000}"/>
    <hyperlink ref="W792" r:id="rId2647" xr:uid="{00000000-0004-0000-0000-0000560A0000}"/>
    <hyperlink ref="X792" r:id="rId2648" xr:uid="{00000000-0004-0000-0000-0000570A0000}"/>
    <hyperlink ref="Y792" r:id="rId2649" xr:uid="{00000000-0004-0000-0000-0000580A0000}"/>
    <hyperlink ref="Z792" r:id="rId2650" xr:uid="{00000000-0004-0000-0000-0000590A0000}"/>
    <hyperlink ref="AA792" r:id="rId2651" xr:uid="{00000000-0004-0000-0000-00005A0A0000}"/>
    <hyperlink ref="AB792" r:id="rId2652" xr:uid="{00000000-0004-0000-0000-00005B0A0000}"/>
    <hyperlink ref="AC792" r:id="rId2653" xr:uid="{00000000-0004-0000-0000-00005C0A0000}"/>
    <hyperlink ref="AD792" r:id="rId2654" xr:uid="{00000000-0004-0000-0000-00005D0A0000}"/>
    <hyperlink ref="B793" r:id="rId2655" xr:uid="{00000000-0004-0000-0000-00005E0A0000}"/>
    <hyperlink ref="D793" r:id="rId2656" xr:uid="{00000000-0004-0000-0000-00005F0A0000}"/>
    <hyperlink ref="E793" r:id="rId2657" xr:uid="{00000000-0004-0000-0000-0000600A0000}"/>
    <hyperlink ref="V793" r:id="rId2658" xr:uid="{00000000-0004-0000-0000-0000610A0000}"/>
    <hyperlink ref="W793" r:id="rId2659" xr:uid="{00000000-0004-0000-0000-0000620A0000}"/>
    <hyperlink ref="X793" r:id="rId2660" xr:uid="{00000000-0004-0000-0000-0000630A0000}"/>
    <hyperlink ref="Y793" r:id="rId2661" xr:uid="{00000000-0004-0000-0000-0000640A0000}"/>
    <hyperlink ref="Z793" r:id="rId2662" xr:uid="{00000000-0004-0000-0000-0000650A0000}"/>
    <hyperlink ref="AA793" r:id="rId2663" xr:uid="{00000000-0004-0000-0000-0000660A0000}"/>
    <hyperlink ref="AB793" r:id="rId2664" xr:uid="{00000000-0004-0000-0000-0000670A0000}"/>
    <hyperlink ref="AC793" r:id="rId2665" xr:uid="{00000000-0004-0000-0000-0000680A0000}"/>
    <hyperlink ref="AD793" r:id="rId2666" xr:uid="{00000000-0004-0000-0000-0000690A0000}"/>
    <hyperlink ref="B794" r:id="rId2667" xr:uid="{00000000-0004-0000-0000-00006A0A0000}"/>
    <hyperlink ref="D794" r:id="rId2668" xr:uid="{00000000-0004-0000-0000-00006B0A0000}"/>
    <hyperlink ref="E794" r:id="rId2669" xr:uid="{00000000-0004-0000-0000-00006C0A0000}"/>
    <hyperlink ref="V794" r:id="rId2670" xr:uid="{00000000-0004-0000-0000-00006D0A0000}"/>
    <hyperlink ref="W794" r:id="rId2671" xr:uid="{00000000-0004-0000-0000-00006E0A0000}"/>
    <hyperlink ref="X794" r:id="rId2672" xr:uid="{00000000-0004-0000-0000-00006F0A0000}"/>
    <hyperlink ref="Y794" r:id="rId2673" xr:uid="{00000000-0004-0000-0000-0000700A0000}"/>
    <hyperlink ref="Z794" r:id="rId2674" xr:uid="{00000000-0004-0000-0000-0000710A0000}"/>
    <hyperlink ref="AA794" r:id="rId2675" xr:uid="{00000000-0004-0000-0000-0000720A0000}"/>
    <hyperlink ref="AB794" r:id="rId2676" xr:uid="{00000000-0004-0000-0000-0000730A0000}"/>
    <hyperlink ref="AC794" r:id="rId2677" xr:uid="{00000000-0004-0000-0000-0000740A0000}"/>
    <hyperlink ref="AD794" r:id="rId2678" xr:uid="{00000000-0004-0000-0000-0000750A0000}"/>
    <hyperlink ref="B795" r:id="rId2679" xr:uid="{00000000-0004-0000-0000-0000760A0000}"/>
    <hyperlink ref="D795" r:id="rId2680" xr:uid="{00000000-0004-0000-0000-0000770A0000}"/>
    <hyperlink ref="E795" r:id="rId2681" xr:uid="{00000000-0004-0000-0000-0000780A0000}"/>
    <hyperlink ref="V795" r:id="rId2682" xr:uid="{00000000-0004-0000-0000-0000790A0000}"/>
    <hyperlink ref="W795" r:id="rId2683" xr:uid="{00000000-0004-0000-0000-00007A0A0000}"/>
    <hyperlink ref="X795" r:id="rId2684" xr:uid="{00000000-0004-0000-0000-00007B0A0000}"/>
    <hyperlink ref="Y795" r:id="rId2685" xr:uid="{00000000-0004-0000-0000-00007C0A0000}"/>
    <hyperlink ref="Z795" r:id="rId2686" xr:uid="{00000000-0004-0000-0000-00007D0A0000}"/>
    <hyperlink ref="AA795" r:id="rId2687" xr:uid="{00000000-0004-0000-0000-00007E0A0000}"/>
    <hyperlink ref="AB795" r:id="rId2688" xr:uid="{00000000-0004-0000-0000-00007F0A0000}"/>
    <hyperlink ref="AC795" r:id="rId2689" xr:uid="{00000000-0004-0000-0000-0000800A0000}"/>
    <hyperlink ref="AD795" r:id="rId2690" xr:uid="{00000000-0004-0000-0000-0000810A0000}"/>
    <hyperlink ref="B796" r:id="rId2691" xr:uid="{00000000-0004-0000-0000-0000820A0000}"/>
    <hyperlink ref="D796" r:id="rId2692" xr:uid="{00000000-0004-0000-0000-0000830A0000}"/>
    <hyperlink ref="E796" r:id="rId2693" xr:uid="{00000000-0004-0000-0000-0000840A0000}"/>
    <hyperlink ref="V796" r:id="rId2694" xr:uid="{00000000-0004-0000-0000-0000850A0000}"/>
    <hyperlink ref="W796" r:id="rId2695" xr:uid="{00000000-0004-0000-0000-0000860A0000}"/>
    <hyperlink ref="X796" r:id="rId2696" xr:uid="{00000000-0004-0000-0000-0000870A0000}"/>
    <hyperlink ref="Y796" r:id="rId2697" xr:uid="{00000000-0004-0000-0000-0000880A0000}"/>
    <hyperlink ref="Z796" r:id="rId2698" xr:uid="{00000000-0004-0000-0000-0000890A0000}"/>
    <hyperlink ref="AA796" r:id="rId2699" xr:uid="{00000000-0004-0000-0000-00008A0A0000}"/>
    <hyperlink ref="AB796" r:id="rId2700" xr:uid="{00000000-0004-0000-0000-00008B0A0000}"/>
    <hyperlink ref="AC796" r:id="rId2701" xr:uid="{00000000-0004-0000-0000-00008C0A0000}"/>
    <hyperlink ref="AD796" r:id="rId2702" xr:uid="{00000000-0004-0000-0000-00008D0A0000}"/>
    <hyperlink ref="B797" r:id="rId2703" xr:uid="{00000000-0004-0000-0000-00008E0A0000}"/>
    <hyperlink ref="D797" r:id="rId2704" xr:uid="{00000000-0004-0000-0000-00008F0A0000}"/>
    <hyperlink ref="E797" r:id="rId2705" xr:uid="{00000000-0004-0000-0000-0000900A0000}"/>
    <hyperlink ref="V797" r:id="rId2706" xr:uid="{00000000-0004-0000-0000-0000910A0000}"/>
    <hyperlink ref="W797" r:id="rId2707" xr:uid="{00000000-0004-0000-0000-0000920A0000}"/>
    <hyperlink ref="X797" r:id="rId2708" xr:uid="{00000000-0004-0000-0000-0000930A0000}"/>
    <hyperlink ref="Y797" r:id="rId2709" xr:uid="{00000000-0004-0000-0000-0000940A0000}"/>
    <hyperlink ref="Z797" r:id="rId2710" xr:uid="{00000000-0004-0000-0000-0000950A0000}"/>
    <hyperlink ref="AA797" r:id="rId2711" xr:uid="{00000000-0004-0000-0000-0000960A0000}"/>
    <hyperlink ref="AB797" r:id="rId2712" xr:uid="{00000000-0004-0000-0000-0000970A0000}"/>
    <hyperlink ref="AC797" r:id="rId2713" xr:uid="{00000000-0004-0000-0000-0000980A0000}"/>
    <hyperlink ref="AD797" r:id="rId2714" xr:uid="{00000000-0004-0000-0000-0000990A0000}"/>
    <hyperlink ref="B798" r:id="rId2715" xr:uid="{00000000-0004-0000-0000-00009A0A0000}"/>
    <hyperlink ref="D798" r:id="rId2716" xr:uid="{00000000-0004-0000-0000-00009B0A0000}"/>
    <hyperlink ref="E798" r:id="rId2717" xr:uid="{00000000-0004-0000-0000-00009C0A0000}"/>
    <hyperlink ref="V798" r:id="rId2718" xr:uid="{00000000-0004-0000-0000-00009D0A0000}"/>
    <hyperlink ref="W798" r:id="rId2719" xr:uid="{00000000-0004-0000-0000-00009E0A0000}"/>
    <hyperlink ref="X798" r:id="rId2720" xr:uid="{00000000-0004-0000-0000-00009F0A0000}"/>
    <hyperlink ref="Y798" r:id="rId2721" xr:uid="{00000000-0004-0000-0000-0000A00A0000}"/>
    <hyperlink ref="Z798" r:id="rId2722" xr:uid="{00000000-0004-0000-0000-0000A10A0000}"/>
    <hyperlink ref="AA798" r:id="rId2723" xr:uid="{00000000-0004-0000-0000-0000A20A0000}"/>
    <hyperlink ref="AB798" r:id="rId2724" xr:uid="{00000000-0004-0000-0000-0000A30A0000}"/>
    <hyperlink ref="AC798" r:id="rId2725" xr:uid="{00000000-0004-0000-0000-0000A40A0000}"/>
    <hyperlink ref="AD798" r:id="rId2726" xr:uid="{00000000-0004-0000-0000-0000A50A0000}"/>
    <hyperlink ref="B799" r:id="rId2727" xr:uid="{00000000-0004-0000-0000-0000A60A0000}"/>
    <hyperlink ref="D799" r:id="rId2728" xr:uid="{00000000-0004-0000-0000-0000A70A0000}"/>
    <hyperlink ref="E799" r:id="rId2729" xr:uid="{00000000-0004-0000-0000-0000A80A0000}"/>
    <hyperlink ref="V799" r:id="rId2730" xr:uid="{00000000-0004-0000-0000-0000A90A0000}"/>
    <hyperlink ref="W799" r:id="rId2731" xr:uid="{00000000-0004-0000-0000-0000AA0A0000}"/>
    <hyperlink ref="X799" r:id="rId2732" xr:uid="{00000000-0004-0000-0000-0000AB0A0000}"/>
    <hyperlink ref="Y799" r:id="rId2733" xr:uid="{00000000-0004-0000-0000-0000AC0A0000}"/>
    <hyperlink ref="Z799" r:id="rId2734" xr:uid="{00000000-0004-0000-0000-0000AD0A0000}"/>
    <hyperlink ref="AA799" r:id="rId2735" xr:uid="{00000000-0004-0000-0000-0000AE0A0000}"/>
    <hyperlink ref="AB799" r:id="rId2736" xr:uid="{00000000-0004-0000-0000-0000AF0A0000}"/>
    <hyperlink ref="AC799" r:id="rId2737" xr:uid="{00000000-0004-0000-0000-0000B00A0000}"/>
    <hyperlink ref="AD799" r:id="rId2738" xr:uid="{00000000-0004-0000-0000-0000B10A0000}"/>
    <hyperlink ref="B800" r:id="rId2739" xr:uid="{00000000-0004-0000-0000-0000B20A0000}"/>
    <hyperlink ref="D800" r:id="rId2740" xr:uid="{00000000-0004-0000-0000-0000B30A0000}"/>
    <hyperlink ref="E800" r:id="rId2741" xr:uid="{00000000-0004-0000-0000-0000B40A0000}"/>
    <hyperlink ref="V800" r:id="rId2742" xr:uid="{00000000-0004-0000-0000-0000B50A0000}"/>
    <hyperlink ref="W800" r:id="rId2743" xr:uid="{00000000-0004-0000-0000-0000B60A0000}"/>
    <hyperlink ref="X800" r:id="rId2744" xr:uid="{00000000-0004-0000-0000-0000B70A0000}"/>
    <hyperlink ref="Y800" r:id="rId2745" xr:uid="{00000000-0004-0000-0000-0000B80A0000}"/>
    <hyperlink ref="Z800" r:id="rId2746" xr:uid="{00000000-0004-0000-0000-0000B90A0000}"/>
    <hyperlink ref="AA800" r:id="rId2747" xr:uid="{00000000-0004-0000-0000-0000BA0A0000}"/>
    <hyperlink ref="AB800" r:id="rId2748" xr:uid="{00000000-0004-0000-0000-0000BB0A0000}"/>
    <hyperlink ref="AC800" r:id="rId2749" xr:uid="{00000000-0004-0000-0000-0000BC0A0000}"/>
    <hyperlink ref="AD800" r:id="rId2750" xr:uid="{00000000-0004-0000-0000-0000BD0A0000}"/>
    <hyperlink ref="B801" r:id="rId2751" xr:uid="{00000000-0004-0000-0000-0000BE0A0000}"/>
    <hyperlink ref="D801" r:id="rId2752" xr:uid="{00000000-0004-0000-0000-0000BF0A0000}"/>
    <hyperlink ref="E801" r:id="rId2753" xr:uid="{00000000-0004-0000-0000-0000C00A0000}"/>
    <hyperlink ref="V801" r:id="rId2754" xr:uid="{00000000-0004-0000-0000-0000C10A0000}"/>
    <hyperlink ref="W801" r:id="rId2755" xr:uid="{00000000-0004-0000-0000-0000C20A0000}"/>
    <hyperlink ref="X801" r:id="rId2756" xr:uid="{00000000-0004-0000-0000-0000C30A0000}"/>
    <hyperlink ref="Y801" r:id="rId2757" xr:uid="{00000000-0004-0000-0000-0000C40A0000}"/>
    <hyperlink ref="Z801" r:id="rId2758" xr:uid="{00000000-0004-0000-0000-0000C50A0000}"/>
    <hyperlink ref="AA801" r:id="rId2759" xr:uid="{00000000-0004-0000-0000-0000C60A0000}"/>
    <hyperlink ref="AB801" r:id="rId2760" xr:uid="{00000000-0004-0000-0000-0000C70A0000}"/>
    <hyperlink ref="AC801" r:id="rId2761" xr:uid="{00000000-0004-0000-0000-0000C80A0000}"/>
    <hyperlink ref="AD801" r:id="rId2762" xr:uid="{00000000-0004-0000-0000-0000C90A0000}"/>
    <hyperlink ref="B802" r:id="rId2763" xr:uid="{00000000-0004-0000-0000-0000CA0A0000}"/>
    <hyperlink ref="D802" r:id="rId2764" xr:uid="{00000000-0004-0000-0000-0000CB0A0000}"/>
    <hyperlink ref="E802" r:id="rId2765" xr:uid="{00000000-0004-0000-0000-0000CC0A0000}"/>
    <hyperlink ref="V802" r:id="rId2766" xr:uid="{00000000-0004-0000-0000-0000CD0A0000}"/>
    <hyperlink ref="W802" r:id="rId2767" xr:uid="{00000000-0004-0000-0000-0000CE0A0000}"/>
    <hyperlink ref="X802" r:id="rId2768" xr:uid="{00000000-0004-0000-0000-0000CF0A0000}"/>
    <hyperlink ref="Y802" r:id="rId2769" xr:uid="{00000000-0004-0000-0000-0000D00A0000}"/>
    <hyperlink ref="Z802" r:id="rId2770" xr:uid="{00000000-0004-0000-0000-0000D10A0000}"/>
    <hyperlink ref="AA802" r:id="rId2771" xr:uid="{00000000-0004-0000-0000-0000D20A0000}"/>
    <hyperlink ref="AB802" r:id="rId2772" xr:uid="{00000000-0004-0000-0000-0000D30A0000}"/>
    <hyperlink ref="AC802" r:id="rId2773" xr:uid="{00000000-0004-0000-0000-0000D40A0000}"/>
    <hyperlink ref="B803" r:id="rId2774" xr:uid="{00000000-0004-0000-0000-0000D50A0000}"/>
    <hyperlink ref="D803" r:id="rId2775" xr:uid="{00000000-0004-0000-0000-0000D60A0000}"/>
    <hyperlink ref="E803" r:id="rId2776" xr:uid="{00000000-0004-0000-0000-0000D70A0000}"/>
    <hyperlink ref="V803" r:id="rId2777" xr:uid="{00000000-0004-0000-0000-0000D80A0000}"/>
    <hyperlink ref="W803" r:id="rId2778" xr:uid="{00000000-0004-0000-0000-0000D90A0000}"/>
    <hyperlink ref="X803" r:id="rId2779" xr:uid="{00000000-0004-0000-0000-0000DA0A0000}"/>
    <hyperlink ref="Y803" r:id="rId2780" xr:uid="{00000000-0004-0000-0000-0000DB0A0000}"/>
    <hyperlink ref="Z803" r:id="rId2781" xr:uid="{00000000-0004-0000-0000-0000DC0A0000}"/>
    <hyperlink ref="AA803" r:id="rId2782" xr:uid="{00000000-0004-0000-0000-0000DD0A0000}"/>
    <hyperlink ref="AB803" r:id="rId2783" xr:uid="{00000000-0004-0000-0000-0000DE0A0000}"/>
    <hyperlink ref="AC803" r:id="rId2784" xr:uid="{00000000-0004-0000-0000-0000DF0A0000}"/>
    <hyperlink ref="AD803" r:id="rId2785" xr:uid="{00000000-0004-0000-0000-0000E00A0000}"/>
    <hyperlink ref="B804" r:id="rId2786" xr:uid="{00000000-0004-0000-0000-0000E10A0000}"/>
    <hyperlink ref="D804" r:id="rId2787" xr:uid="{00000000-0004-0000-0000-0000E20A0000}"/>
    <hyperlink ref="E804" r:id="rId2788" xr:uid="{00000000-0004-0000-0000-0000E30A0000}"/>
    <hyperlink ref="V804" r:id="rId2789" xr:uid="{00000000-0004-0000-0000-0000E40A0000}"/>
    <hyperlink ref="W804" r:id="rId2790" xr:uid="{00000000-0004-0000-0000-0000E50A0000}"/>
    <hyperlink ref="X804" r:id="rId2791" xr:uid="{00000000-0004-0000-0000-0000E60A0000}"/>
    <hyperlink ref="Y804" r:id="rId2792" xr:uid="{00000000-0004-0000-0000-0000E70A0000}"/>
    <hyperlink ref="Z804" r:id="rId2793" xr:uid="{00000000-0004-0000-0000-0000E80A0000}"/>
    <hyperlink ref="AA804" r:id="rId2794" xr:uid="{00000000-0004-0000-0000-0000E90A0000}"/>
    <hyperlink ref="AB804" r:id="rId2795" xr:uid="{00000000-0004-0000-0000-0000EA0A0000}"/>
    <hyperlink ref="AC804" r:id="rId2796" xr:uid="{00000000-0004-0000-0000-0000EB0A0000}"/>
    <hyperlink ref="AD804" r:id="rId2797" xr:uid="{00000000-0004-0000-0000-0000EC0A0000}"/>
    <hyperlink ref="B805" r:id="rId2798" xr:uid="{00000000-0004-0000-0000-0000ED0A0000}"/>
    <hyperlink ref="D805" r:id="rId2799" xr:uid="{00000000-0004-0000-0000-0000EE0A0000}"/>
    <hyperlink ref="E805" r:id="rId2800" xr:uid="{00000000-0004-0000-0000-0000EF0A0000}"/>
    <hyperlink ref="V805" r:id="rId2801" xr:uid="{00000000-0004-0000-0000-0000F00A0000}"/>
    <hyperlink ref="W805" r:id="rId2802" xr:uid="{00000000-0004-0000-0000-0000F10A0000}"/>
    <hyperlink ref="X805" r:id="rId2803" xr:uid="{00000000-0004-0000-0000-0000F20A0000}"/>
    <hyperlink ref="Y805" r:id="rId2804" xr:uid="{00000000-0004-0000-0000-0000F30A0000}"/>
    <hyperlink ref="Z805" r:id="rId2805" xr:uid="{00000000-0004-0000-0000-0000F40A0000}"/>
    <hyperlink ref="AA805" r:id="rId2806" xr:uid="{00000000-0004-0000-0000-0000F50A0000}"/>
    <hyperlink ref="AB805" r:id="rId2807" xr:uid="{00000000-0004-0000-0000-0000F60A0000}"/>
    <hyperlink ref="AC805" r:id="rId2808" xr:uid="{00000000-0004-0000-0000-0000F70A0000}"/>
    <hyperlink ref="AD805" r:id="rId2809" xr:uid="{00000000-0004-0000-0000-0000F80A0000}"/>
    <hyperlink ref="B806" r:id="rId2810" xr:uid="{00000000-0004-0000-0000-0000F90A0000}"/>
    <hyperlink ref="D806" r:id="rId2811" xr:uid="{00000000-0004-0000-0000-0000FA0A0000}"/>
    <hyperlink ref="E806" r:id="rId2812" xr:uid="{00000000-0004-0000-0000-0000FB0A0000}"/>
    <hyperlink ref="V806" r:id="rId2813" xr:uid="{00000000-0004-0000-0000-0000FC0A0000}"/>
    <hyperlink ref="W806" r:id="rId2814" xr:uid="{00000000-0004-0000-0000-0000FD0A0000}"/>
    <hyperlink ref="X806" r:id="rId2815" xr:uid="{00000000-0004-0000-0000-0000FE0A0000}"/>
    <hyperlink ref="Y806" r:id="rId2816" xr:uid="{00000000-0004-0000-0000-0000FF0A0000}"/>
    <hyperlink ref="Z806" r:id="rId2817" xr:uid="{00000000-0004-0000-0000-0000000B0000}"/>
    <hyperlink ref="AA806" r:id="rId2818" xr:uid="{00000000-0004-0000-0000-0000010B0000}"/>
    <hyperlink ref="AB806" r:id="rId2819" xr:uid="{00000000-0004-0000-0000-0000020B0000}"/>
    <hyperlink ref="AC806" r:id="rId2820" xr:uid="{00000000-0004-0000-0000-0000030B0000}"/>
    <hyperlink ref="AD806" r:id="rId2821" xr:uid="{00000000-0004-0000-0000-0000040B0000}"/>
    <hyperlink ref="B807" r:id="rId2822" xr:uid="{00000000-0004-0000-0000-0000050B0000}"/>
    <hyperlink ref="D807" r:id="rId2823" xr:uid="{00000000-0004-0000-0000-0000060B0000}"/>
    <hyperlink ref="E807" r:id="rId2824" xr:uid="{00000000-0004-0000-0000-0000070B0000}"/>
    <hyperlink ref="V807" r:id="rId2825" xr:uid="{00000000-0004-0000-0000-0000080B0000}"/>
    <hyperlink ref="W807" r:id="rId2826" xr:uid="{00000000-0004-0000-0000-0000090B0000}"/>
    <hyperlink ref="X807" r:id="rId2827" xr:uid="{00000000-0004-0000-0000-00000A0B0000}"/>
    <hyperlink ref="Y807" r:id="rId2828" xr:uid="{00000000-0004-0000-0000-00000B0B0000}"/>
    <hyperlink ref="Z807" r:id="rId2829" xr:uid="{00000000-0004-0000-0000-00000C0B0000}"/>
    <hyperlink ref="AA807" r:id="rId2830" xr:uid="{00000000-0004-0000-0000-00000D0B0000}"/>
    <hyperlink ref="AB807" r:id="rId2831" xr:uid="{00000000-0004-0000-0000-00000E0B0000}"/>
    <hyperlink ref="AC807" r:id="rId2832" xr:uid="{00000000-0004-0000-0000-00000F0B0000}"/>
    <hyperlink ref="B808" r:id="rId2833" xr:uid="{00000000-0004-0000-0000-0000100B0000}"/>
    <hyperlink ref="D808" r:id="rId2834" xr:uid="{00000000-0004-0000-0000-0000110B0000}"/>
    <hyperlink ref="E808" r:id="rId2835" xr:uid="{00000000-0004-0000-0000-0000120B0000}"/>
    <hyperlink ref="V808" r:id="rId2836" xr:uid="{00000000-0004-0000-0000-0000130B0000}"/>
    <hyperlink ref="W808" r:id="rId2837" xr:uid="{00000000-0004-0000-0000-0000140B0000}"/>
    <hyperlink ref="X808" r:id="rId2838" xr:uid="{00000000-0004-0000-0000-0000150B0000}"/>
    <hyperlink ref="Y808" r:id="rId2839" xr:uid="{00000000-0004-0000-0000-0000160B0000}"/>
    <hyperlink ref="Z808" r:id="rId2840" xr:uid="{00000000-0004-0000-0000-0000170B0000}"/>
    <hyperlink ref="AA808" r:id="rId2841" xr:uid="{00000000-0004-0000-0000-0000180B0000}"/>
    <hyperlink ref="AB808" r:id="rId2842" xr:uid="{00000000-0004-0000-0000-0000190B0000}"/>
    <hyperlink ref="AC808" r:id="rId2843" xr:uid="{00000000-0004-0000-0000-00001A0B0000}"/>
    <hyperlink ref="AD808" r:id="rId2844" xr:uid="{00000000-0004-0000-0000-00001B0B0000}"/>
    <hyperlink ref="B809" r:id="rId2845" xr:uid="{00000000-0004-0000-0000-00001C0B0000}"/>
    <hyperlink ref="D809" r:id="rId2846" xr:uid="{00000000-0004-0000-0000-00001D0B0000}"/>
    <hyperlink ref="E809" r:id="rId2847" xr:uid="{00000000-0004-0000-0000-00001E0B0000}"/>
    <hyperlink ref="V809" r:id="rId2848" xr:uid="{00000000-0004-0000-0000-00001F0B0000}"/>
    <hyperlink ref="W809" r:id="rId2849" xr:uid="{00000000-0004-0000-0000-0000200B0000}"/>
    <hyperlink ref="X809" r:id="rId2850" xr:uid="{00000000-0004-0000-0000-0000210B0000}"/>
    <hyperlink ref="Y809" r:id="rId2851" xr:uid="{00000000-0004-0000-0000-0000220B0000}"/>
    <hyperlink ref="Z809" r:id="rId2852" xr:uid="{00000000-0004-0000-0000-0000230B0000}"/>
    <hyperlink ref="AA809" r:id="rId2853" xr:uid="{00000000-0004-0000-0000-0000240B0000}"/>
    <hyperlink ref="AB809" r:id="rId2854" xr:uid="{00000000-0004-0000-0000-0000250B0000}"/>
    <hyperlink ref="AC809" r:id="rId2855" xr:uid="{00000000-0004-0000-0000-0000260B0000}"/>
    <hyperlink ref="AD809" r:id="rId2856" xr:uid="{00000000-0004-0000-0000-0000270B0000}"/>
    <hyperlink ref="B810" r:id="rId2857" xr:uid="{00000000-0004-0000-0000-0000280B0000}"/>
    <hyperlink ref="D810" r:id="rId2858" xr:uid="{00000000-0004-0000-0000-0000290B0000}"/>
    <hyperlink ref="E810" r:id="rId2859" xr:uid="{00000000-0004-0000-0000-00002A0B0000}"/>
    <hyperlink ref="V810" r:id="rId2860" xr:uid="{00000000-0004-0000-0000-00002B0B0000}"/>
    <hyperlink ref="W810" r:id="rId2861" xr:uid="{00000000-0004-0000-0000-00002C0B0000}"/>
    <hyperlink ref="X810" r:id="rId2862" xr:uid="{00000000-0004-0000-0000-00002D0B0000}"/>
    <hyperlink ref="Y810" r:id="rId2863" xr:uid="{00000000-0004-0000-0000-00002E0B0000}"/>
    <hyperlink ref="Z810" r:id="rId2864" xr:uid="{00000000-0004-0000-0000-00002F0B0000}"/>
    <hyperlink ref="AA810" r:id="rId2865" xr:uid="{00000000-0004-0000-0000-0000300B0000}"/>
    <hyperlink ref="AB810" r:id="rId2866" xr:uid="{00000000-0004-0000-0000-0000310B0000}"/>
    <hyperlink ref="AC810" r:id="rId2867" xr:uid="{00000000-0004-0000-0000-0000320B0000}"/>
    <hyperlink ref="AD810" r:id="rId2868" xr:uid="{00000000-0004-0000-0000-0000330B0000}"/>
    <hyperlink ref="B811" r:id="rId2869" xr:uid="{00000000-0004-0000-0000-0000340B0000}"/>
    <hyperlink ref="D811" r:id="rId2870" xr:uid="{00000000-0004-0000-0000-0000350B0000}"/>
    <hyperlink ref="E811" r:id="rId2871" xr:uid="{00000000-0004-0000-0000-0000360B0000}"/>
    <hyperlink ref="V811" r:id="rId2872" xr:uid="{00000000-0004-0000-0000-0000370B0000}"/>
    <hyperlink ref="W811" r:id="rId2873" xr:uid="{00000000-0004-0000-0000-0000380B0000}"/>
    <hyperlink ref="X811" r:id="rId2874" xr:uid="{00000000-0004-0000-0000-0000390B0000}"/>
    <hyperlink ref="Y811" r:id="rId2875" xr:uid="{00000000-0004-0000-0000-00003A0B0000}"/>
    <hyperlink ref="Z811" r:id="rId2876" xr:uid="{00000000-0004-0000-0000-00003B0B0000}"/>
    <hyperlink ref="AA811" r:id="rId2877" xr:uid="{00000000-0004-0000-0000-00003C0B0000}"/>
    <hyperlink ref="AB811" r:id="rId2878" xr:uid="{00000000-0004-0000-0000-00003D0B0000}"/>
    <hyperlink ref="AC811" r:id="rId2879" xr:uid="{00000000-0004-0000-0000-00003E0B0000}"/>
    <hyperlink ref="AD811" r:id="rId2880" xr:uid="{00000000-0004-0000-0000-00003F0B0000}"/>
    <hyperlink ref="B812" r:id="rId2881" xr:uid="{00000000-0004-0000-0000-0000400B0000}"/>
    <hyperlink ref="D812" r:id="rId2882" xr:uid="{00000000-0004-0000-0000-0000410B0000}"/>
    <hyperlink ref="E812" r:id="rId2883" xr:uid="{00000000-0004-0000-0000-0000420B0000}"/>
    <hyperlink ref="V812" r:id="rId2884" xr:uid="{00000000-0004-0000-0000-0000430B0000}"/>
    <hyperlink ref="W812" r:id="rId2885" xr:uid="{00000000-0004-0000-0000-0000440B0000}"/>
    <hyperlink ref="X812" r:id="rId2886" xr:uid="{00000000-0004-0000-0000-0000450B0000}"/>
    <hyperlink ref="Y812" r:id="rId2887" xr:uid="{00000000-0004-0000-0000-0000460B0000}"/>
    <hyperlink ref="Z812" r:id="rId2888" xr:uid="{00000000-0004-0000-0000-0000470B0000}"/>
    <hyperlink ref="AA812" r:id="rId2889" xr:uid="{00000000-0004-0000-0000-0000480B0000}"/>
    <hyperlink ref="AB812" r:id="rId2890" xr:uid="{00000000-0004-0000-0000-0000490B0000}"/>
    <hyperlink ref="AC812" r:id="rId2891" xr:uid="{00000000-0004-0000-0000-00004A0B0000}"/>
    <hyperlink ref="B813" r:id="rId2892" xr:uid="{00000000-0004-0000-0000-00004B0B0000}"/>
    <hyperlink ref="D813" r:id="rId2893" xr:uid="{00000000-0004-0000-0000-00004C0B0000}"/>
    <hyperlink ref="E813" r:id="rId2894" xr:uid="{00000000-0004-0000-0000-00004D0B0000}"/>
    <hyperlink ref="V813" r:id="rId2895" xr:uid="{00000000-0004-0000-0000-00004E0B0000}"/>
    <hyperlink ref="W813" r:id="rId2896" xr:uid="{00000000-0004-0000-0000-00004F0B0000}"/>
    <hyperlink ref="X813" r:id="rId2897" xr:uid="{00000000-0004-0000-0000-0000500B0000}"/>
    <hyperlink ref="Y813" r:id="rId2898" xr:uid="{00000000-0004-0000-0000-0000510B0000}"/>
    <hyperlink ref="Z813" r:id="rId2899" xr:uid="{00000000-0004-0000-0000-0000520B0000}"/>
    <hyperlink ref="AA813" r:id="rId2900" xr:uid="{00000000-0004-0000-0000-0000530B0000}"/>
    <hyperlink ref="AB813" r:id="rId2901" xr:uid="{00000000-0004-0000-0000-0000540B0000}"/>
    <hyperlink ref="AC813" r:id="rId2902" xr:uid="{00000000-0004-0000-0000-0000550B0000}"/>
    <hyperlink ref="AD813" r:id="rId2903" xr:uid="{00000000-0004-0000-0000-0000560B0000}"/>
    <hyperlink ref="B814" r:id="rId2904" xr:uid="{00000000-0004-0000-0000-0000570B0000}"/>
    <hyperlink ref="D814" r:id="rId2905" xr:uid="{00000000-0004-0000-0000-0000580B0000}"/>
    <hyperlink ref="E814" r:id="rId2906" xr:uid="{00000000-0004-0000-0000-0000590B0000}"/>
    <hyperlink ref="V814" r:id="rId2907" xr:uid="{00000000-0004-0000-0000-00005A0B0000}"/>
    <hyperlink ref="W814" r:id="rId2908" xr:uid="{00000000-0004-0000-0000-00005B0B0000}"/>
    <hyperlink ref="X814" r:id="rId2909" xr:uid="{00000000-0004-0000-0000-00005C0B0000}"/>
    <hyperlink ref="Y814" r:id="rId2910" xr:uid="{00000000-0004-0000-0000-00005D0B0000}"/>
    <hyperlink ref="Z814" r:id="rId2911" xr:uid="{00000000-0004-0000-0000-00005E0B0000}"/>
    <hyperlink ref="AA814" r:id="rId2912" xr:uid="{00000000-0004-0000-0000-00005F0B0000}"/>
    <hyperlink ref="AB814" r:id="rId2913" xr:uid="{00000000-0004-0000-0000-0000600B0000}"/>
    <hyperlink ref="AC814" r:id="rId2914" xr:uid="{00000000-0004-0000-0000-0000610B0000}"/>
    <hyperlink ref="AD814" r:id="rId2915" xr:uid="{00000000-0004-0000-0000-0000620B0000}"/>
    <hyperlink ref="B815" r:id="rId2916" xr:uid="{00000000-0004-0000-0000-0000630B0000}"/>
    <hyperlink ref="D815" r:id="rId2917" xr:uid="{00000000-0004-0000-0000-0000640B0000}"/>
    <hyperlink ref="E815" r:id="rId2918" xr:uid="{00000000-0004-0000-0000-0000650B0000}"/>
    <hyperlink ref="B816" r:id="rId2919" xr:uid="{00000000-0004-0000-0000-0000660B0000}"/>
    <hyperlink ref="D816" r:id="rId2920" xr:uid="{00000000-0004-0000-0000-0000670B0000}"/>
    <hyperlink ref="E816" r:id="rId2921" xr:uid="{00000000-0004-0000-0000-0000680B0000}"/>
    <hyperlink ref="V816" r:id="rId2922" xr:uid="{00000000-0004-0000-0000-0000690B0000}"/>
    <hyperlink ref="W816" r:id="rId2923" xr:uid="{00000000-0004-0000-0000-00006A0B0000}"/>
    <hyperlink ref="X816" r:id="rId2924" xr:uid="{00000000-0004-0000-0000-00006B0B0000}"/>
    <hyperlink ref="Y816" r:id="rId2925" xr:uid="{00000000-0004-0000-0000-00006C0B0000}"/>
    <hyperlink ref="Z816" r:id="rId2926" xr:uid="{00000000-0004-0000-0000-00006D0B0000}"/>
    <hyperlink ref="AA816" r:id="rId2927" xr:uid="{00000000-0004-0000-0000-00006E0B0000}"/>
    <hyperlink ref="AB816" r:id="rId2928" xr:uid="{00000000-0004-0000-0000-00006F0B0000}"/>
    <hyperlink ref="AC816" r:id="rId2929" xr:uid="{00000000-0004-0000-0000-0000700B0000}"/>
    <hyperlink ref="AD816" r:id="rId2930" xr:uid="{00000000-0004-0000-0000-0000710B0000}"/>
    <hyperlink ref="B817" r:id="rId2931" xr:uid="{00000000-0004-0000-0000-0000720B0000}"/>
    <hyperlink ref="D817" r:id="rId2932" xr:uid="{00000000-0004-0000-0000-0000730B0000}"/>
    <hyperlink ref="E817" r:id="rId2933" xr:uid="{00000000-0004-0000-0000-0000740B0000}"/>
    <hyperlink ref="V817" r:id="rId2934" xr:uid="{00000000-0004-0000-0000-0000750B0000}"/>
    <hyperlink ref="W817" r:id="rId2935" xr:uid="{00000000-0004-0000-0000-0000760B0000}"/>
    <hyperlink ref="X817" r:id="rId2936" xr:uid="{00000000-0004-0000-0000-0000770B0000}"/>
    <hyperlink ref="Y817" r:id="rId2937" xr:uid="{00000000-0004-0000-0000-0000780B0000}"/>
    <hyperlink ref="Z817" r:id="rId2938" xr:uid="{00000000-0004-0000-0000-0000790B0000}"/>
    <hyperlink ref="AA817" r:id="rId2939" xr:uid="{00000000-0004-0000-0000-00007A0B0000}"/>
    <hyperlink ref="AB817" r:id="rId2940" xr:uid="{00000000-0004-0000-0000-00007B0B0000}"/>
    <hyperlink ref="AC817" r:id="rId2941" xr:uid="{00000000-0004-0000-0000-00007C0B0000}"/>
    <hyperlink ref="AD817" r:id="rId2942" xr:uid="{00000000-0004-0000-0000-00007D0B0000}"/>
    <hyperlink ref="B818" r:id="rId2943" xr:uid="{00000000-0004-0000-0000-00007E0B0000}"/>
    <hyperlink ref="D818" r:id="rId2944" xr:uid="{00000000-0004-0000-0000-00007F0B0000}"/>
    <hyperlink ref="E818" r:id="rId2945" xr:uid="{00000000-0004-0000-0000-0000800B0000}"/>
    <hyperlink ref="V818" r:id="rId2946" xr:uid="{00000000-0004-0000-0000-0000810B0000}"/>
    <hyperlink ref="W818" r:id="rId2947" xr:uid="{00000000-0004-0000-0000-0000820B0000}"/>
    <hyperlink ref="X818" r:id="rId2948" xr:uid="{00000000-0004-0000-0000-0000830B0000}"/>
    <hyperlink ref="Y818" r:id="rId2949" xr:uid="{00000000-0004-0000-0000-0000840B0000}"/>
    <hyperlink ref="Z818" r:id="rId2950" xr:uid="{00000000-0004-0000-0000-0000850B0000}"/>
    <hyperlink ref="AA818" r:id="rId2951" xr:uid="{00000000-0004-0000-0000-0000860B0000}"/>
    <hyperlink ref="AB818" r:id="rId2952" xr:uid="{00000000-0004-0000-0000-0000870B0000}"/>
    <hyperlink ref="AC818" r:id="rId2953" xr:uid="{00000000-0004-0000-0000-0000880B0000}"/>
    <hyperlink ref="AD818" r:id="rId2954" xr:uid="{00000000-0004-0000-0000-0000890B0000}"/>
    <hyperlink ref="B819" r:id="rId2955" xr:uid="{00000000-0004-0000-0000-00008A0B0000}"/>
    <hyperlink ref="D819" r:id="rId2956" xr:uid="{00000000-0004-0000-0000-00008B0B0000}"/>
    <hyperlink ref="E819" r:id="rId2957" xr:uid="{00000000-0004-0000-0000-00008C0B0000}"/>
    <hyperlink ref="V819" r:id="rId2958" xr:uid="{00000000-0004-0000-0000-00008D0B0000}"/>
    <hyperlink ref="W819" r:id="rId2959" xr:uid="{00000000-0004-0000-0000-00008E0B0000}"/>
    <hyperlink ref="X819" r:id="rId2960" xr:uid="{00000000-0004-0000-0000-00008F0B0000}"/>
    <hyperlink ref="Y819" r:id="rId2961" xr:uid="{00000000-0004-0000-0000-0000900B0000}"/>
    <hyperlink ref="Z819" r:id="rId2962" xr:uid="{00000000-0004-0000-0000-0000910B0000}"/>
    <hyperlink ref="AA819" r:id="rId2963" xr:uid="{00000000-0004-0000-0000-0000920B0000}"/>
    <hyperlink ref="B820" r:id="rId2964" xr:uid="{00000000-0004-0000-0000-0000930B0000}"/>
    <hyperlink ref="D820" r:id="rId2965" xr:uid="{00000000-0004-0000-0000-0000940B0000}"/>
    <hyperlink ref="E820" r:id="rId2966" xr:uid="{00000000-0004-0000-0000-0000950B0000}"/>
    <hyperlink ref="V820" r:id="rId2967" xr:uid="{00000000-0004-0000-0000-0000960B0000}"/>
    <hyperlink ref="W820" r:id="rId2968" xr:uid="{00000000-0004-0000-0000-0000970B0000}"/>
    <hyperlink ref="X820" r:id="rId2969" xr:uid="{00000000-0004-0000-0000-0000980B0000}"/>
    <hyperlink ref="Y820" r:id="rId2970" xr:uid="{00000000-0004-0000-0000-0000990B0000}"/>
    <hyperlink ref="Z820" r:id="rId2971" xr:uid="{00000000-0004-0000-0000-00009A0B0000}"/>
    <hyperlink ref="AA820" r:id="rId2972" xr:uid="{00000000-0004-0000-0000-00009B0B0000}"/>
    <hyperlink ref="AB820" r:id="rId2973" xr:uid="{00000000-0004-0000-0000-00009C0B0000}"/>
    <hyperlink ref="AC820" r:id="rId2974" xr:uid="{00000000-0004-0000-0000-00009D0B0000}"/>
    <hyperlink ref="AD820" r:id="rId2975" xr:uid="{00000000-0004-0000-0000-00009E0B0000}"/>
    <hyperlink ref="B821" r:id="rId2976" xr:uid="{00000000-0004-0000-0000-00009F0B0000}"/>
    <hyperlink ref="D821" r:id="rId2977" xr:uid="{00000000-0004-0000-0000-0000A00B0000}"/>
    <hyperlink ref="E821" r:id="rId2978" xr:uid="{00000000-0004-0000-0000-0000A10B0000}"/>
    <hyperlink ref="V821" r:id="rId2979" xr:uid="{00000000-0004-0000-0000-0000A20B0000}"/>
    <hyperlink ref="W821" r:id="rId2980" xr:uid="{00000000-0004-0000-0000-0000A30B0000}"/>
    <hyperlink ref="X821" r:id="rId2981" xr:uid="{00000000-0004-0000-0000-0000A40B0000}"/>
    <hyperlink ref="Y821" r:id="rId2982" xr:uid="{00000000-0004-0000-0000-0000A50B0000}"/>
    <hyperlink ref="Z821" r:id="rId2983" xr:uid="{00000000-0004-0000-0000-0000A60B0000}"/>
    <hyperlink ref="AA821" r:id="rId2984" xr:uid="{00000000-0004-0000-0000-0000A70B0000}"/>
    <hyperlink ref="AB821" r:id="rId2985" xr:uid="{00000000-0004-0000-0000-0000A80B0000}"/>
    <hyperlink ref="AC821" r:id="rId2986" xr:uid="{00000000-0004-0000-0000-0000A90B0000}"/>
    <hyperlink ref="AD821" r:id="rId2987" xr:uid="{00000000-0004-0000-0000-0000AA0B0000}"/>
    <hyperlink ref="B822" r:id="rId2988" xr:uid="{00000000-0004-0000-0000-0000AB0B0000}"/>
    <hyperlink ref="D822" r:id="rId2989" xr:uid="{00000000-0004-0000-0000-0000AC0B0000}"/>
    <hyperlink ref="E822" r:id="rId2990" xr:uid="{00000000-0004-0000-0000-0000AD0B0000}"/>
    <hyperlink ref="V822" r:id="rId2991" xr:uid="{00000000-0004-0000-0000-0000AE0B0000}"/>
    <hyperlink ref="W822" r:id="rId2992" xr:uid="{00000000-0004-0000-0000-0000AF0B0000}"/>
    <hyperlink ref="X822" r:id="rId2993" xr:uid="{00000000-0004-0000-0000-0000B00B0000}"/>
    <hyperlink ref="Y822" r:id="rId2994" xr:uid="{00000000-0004-0000-0000-0000B10B0000}"/>
    <hyperlink ref="Z822" r:id="rId2995" xr:uid="{00000000-0004-0000-0000-0000B20B0000}"/>
    <hyperlink ref="AA822" r:id="rId2996" xr:uid="{00000000-0004-0000-0000-0000B30B0000}"/>
    <hyperlink ref="AB822" r:id="rId2997" xr:uid="{00000000-0004-0000-0000-0000B40B0000}"/>
    <hyperlink ref="AC822" r:id="rId2998" xr:uid="{00000000-0004-0000-0000-0000B50B0000}"/>
    <hyperlink ref="AD822" r:id="rId2999" xr:uid="{00000000-0004-0000-0000-0000B60B0000}"/>
    <hyperlink ref="B823" r:id="rId3000" xr:uid="{00000000-0004-0000-0000-0000B70B0000}"/>
    <hyperlink ref="D823" r:id="rId3001" xr:uid="{00000000-0004-0000-0000-0000B80B0000}"/>
    <hyperlink ref="E823" r:id="rId3002" xr:uid="{00000000-0004-0000-0000-0000B90B0000}"/>
    <hyperlink ref="V823" r:id="rId3003" xr:uid="{00000000-0004-0000-0000-0000BA0B0000}"/>
    <hyperlink ref="W823" r:id="rId3004" xr:uid="{00000000-0004-0000-0000-0000BB0B0000}"/>
    <hyperlink ref="X823" r:id="rId3005" xr:uid="{00000000-0004-0000-0000-0000BC0B0000}"/>
    <hyperlink ref="Y823" r:id="rId3006" xr:uid="{00000000-0004-0000-0000-0000BD0B0000}"/>
    <hyperlink ref="Z823" r:id="rId3007" xr:uid="{00000000-0004-0000-0000-0000BE0B0000}"/>
    <hyperlink ref="AA823" r:id="rId3008" xr:uid="{00000000-0004-0000-0000-0000BF0B0000}"/>
    <hyperlink ref="AB823" r:id="rId3009" xr:uid="{00000000-0004-0000-0000-0000C00B0000}"/>
    <hyperlink ref="AC823" r:id="rId3010" xr:uid="{00000000-0004-0000-0000-0000C10B0000}"/>
    <hyperlink ref="AD823" r:id="rId3011" xr:uid="{00000000-0004-0000-0000-0000C20B0000}"/>
    <hyperlink ref="B824" r:id="rId3012" xr:uid="{00000000-0004-0000-0000-0000C30B0000}"/>
    <hyperlink ref="D824" r:id="rId3013" xr:uid="{00000000-0004-0000-0000-0000C40B0000}"/>
    <hyperlink ref="E824" r:id="rId3014" xr:uid="{00000000-0004-0000-0000-0000C50B0000}"/>
    <hyperlink ref="V824" r:id="rId3015" xr:uid="{00000000-0004-0000-0000-0000C60B0000}"/>
    <hyperlink ref="W824" r:id="rId3016" xr:uid="{00000000-0004-0000-0000-0000C70B0000}"/>
    <hyperlink ref="X824" r:id="rId3017" xr:uid="{00000000-0004-0000-0000-0000C80B0000}"/>
    <hyperlink ref="Y824" r:id="rId3018" xr:uid="{00000000-0004-0000-0000-0000C90B0000}"/>
    <hyperlink ref="Z824" r:id="rId3019" xr:uid="{00000000-0004-0000-0000-0000CA0B0000}"/>
    <hyperlink ref="AA824" r:id="rId3020" xr:uid="{00000000-0004-0000-0000-0000CB0B0000}"/>
    <hyperlink ref="B825" r:id="rId3021" xr:uid="{00000000-0004-0000-0000-0000CC0B0000}"/>
    <hyperlink ref="D825" r:id="rId3022" xr:uid="{00000000-0004-0000-0000-0000CD0B0000}"/>
    <hyperlink ref="E825" r:id="rId3023" xr:uid="{00000000-0004-0000-0000-0000CE0B0000}"/>
    <hyperlink ref="B826" r:id="rId3024" xr:uid="{00000000-0004-0000-0000-0000CF0B0000}"/>
    <hyperlink ref="D826" r:id="rId3025" xr:uid="{00000000-0004-0000-0000-0000D00B0000}"/>
    <hyperlink ref="E826" r:id="rId3026" xr:uid="{00000000-0004-0000-0000-0000D10B0000}"/>
    <hyperlink ref="V826" r:id="rId3027" xr:uid="{00000000-0004-0000-0000-0000D20B0000}"/>
    <hyperlink ref="W826" r:id="rId3028" xr:uid="{00000000-0004-0000-0000-0000D30B0000}"/>
    <hyperlink ref="X826" r:id="rId3029" xr:uid="{00000000-0004-0000-0000-0000D40B0000}"/>
    <hyperlink ref="Y826" r:id="rId3030" xr:uid="{00000000-0004-0000-0000-0000D50B0000}"/>
    <hyperlink ref="Z826" r:id="rId3031" xr:uid="{00000000-0004-0000-0000-0000D60B0000}"/>
    <hyperlink ref="AA826" r:id="rId3032" xr:uid="{00000000-0004-0000-0000-0000D70B0000}"/>
    <hyperlink ref="AB826" r:id="rId3033" xr:uid="{00000000-0004-0000-0000-0000D80B0000}"/>
    <hyperlink ref="AC826" r:id="rId3034" xr:uid="{00000000-0004-0000-0000-0000D90B0000}"/>
    <hyperlink ref="AD826" r:id="rId3035" xr:uid="{00000000-0004-0000-0000-0000DA0B0000}"/>
    <hyperlink ref="B827" r:id="rId3036" xr:uid="{00000000-0004-0000-0000-0000DB0B0000}"/>
    <hyperlink ref="D827" r:id="rId3037" xr:uid="{00000000-0004-0000-0000-0000DC0B0000}"/>
    <hyperlink ref="E827" r:id="rId3038" xr:uid="{00000000-0004-0000-0000-0000DD0B0000}"/>
    <hyperlink ref="V827" r:id="rId3039" xr:uid="{00000000-0004-0000-0000-0000DE0B0000}"/>
    <hyperlink ref="W827" r:id="rId3040" xr:uid="{00000000-0004-0000-0000-0000DF0B0000}"/>
    <hyperlink ref="X827" r:id="rId3041" xr:uid="{00000000-0004-0000-0000-0000E00B0000}"/>
    <hyperlink ref="Y827" r:id="rId3042" xr:uid="{00000000-0004-0000-0000-0000E10B0000}"/>
    <hyperlink ref="Z827" r:id="rId3043" xr:uid="{00000000-0004-0000-0000-0000E20B0000}"/>
    <hyperlink ref="AA827" r:id="rId3044" xr:uid="{00000000-0004-0000-0000-0000E30B0000}"/>
    <hyperlink ref="AB827" r:id="rId3045" xr:uid="{00000000-0004-0000-0000-0000E40B0000}"/>
    <hyperlink ref="AC827" r:id="rId3046" xr:uid="{00000000-0004-0000-0000-0000E50B0000}"/>
    <hyperlink ref="AD827" r:id="rId3047" xr:uid="{00000000-0004-0000-0000-0000E60B0000}"/>
    <hyperlink ref="B828" r:id="rId3048" xr:uid="{00000000-0004-0000-0000-0000E70B0000}"/>
    <hyperlink ref="D828" r:id="rId3049" xr:uid="{00000000-0004-0000-0000-0000E80B0000}"/>
    <hyperlink ref="E828" r:id="rId3050" xr:uid="{00000000-0004-0000-0000-0000E90B0000}"/>
    <hyperlink ref="V828" r:id="rId3051" xr:uid="{00000000-0004-0000-0000-0000EA0B0000}"/>
    <hyperlink ref="W828" r:id="rId3052" xr:uid="{00000000-0004-0000-0000-0000EB0B0000}"/>
    <hyperlink ref="X828" r:id="rId3053" xr:uid="{00000000-0004-0000-0000-0000EC0B0000}"/>
    <hyperlink ref="Y828" r:id="rId3054" xr:uid="{00000000-0004-0000-0000-0000ED0B0000}"/>
    <hyperlink ref="Z828" r:id="rId3055" xr:uid="{00000000-0004-0000-0000-0000EE0B0000}"/>
    <hyperlink ref="AA828" r:id="rId3056" xr:uid="{00000000-0004-0000-0000-0000EF0B0000}"/>
    <hyperlink ref="AB828" r:id="rId3057" xr:uid="{00000000-0004-0000-0000-0000F00B0000}"/>
    <hyperlink ref="AC828" r:id="rId3058" xr:uid="{00000000-0004-0000-0000-0000F10B0000}"/>
    <hyperlink ref="B829" r:id="rId3059" xr:uid="{00000000-0004-0000-0000-0000F20B0000}"/>
    <hyperlink ref="D829" r:id="rId3060" xr:uid="{00000000-0004-0000-0000-0000F30B0000}"/>
    <hyperlink ref="E829" r:id="rId3061" xr:uid="{00000000-0004-0000-0000-0000F40B0000}"/>
    <hyperlink ref="V829" r:id="rId3062" xr:uid="{00000000-0004-0000-0000-0000F50B0000}"/>
    <hyperlink ref="W829" r:id="rId3063" xr:uid="{00000000-0004-0000-0000-0000F60B0000}"/>
    <hyperlink ref="X829" r:id="rId3064" xr:uid="{00000000-0004-0000-0000-0000F70B0000}"/>
    <hyperlink ref="Y829" r:id="rId3065" xr:uid="{00000000-0004-0000-0000-0000F80B0000}"/>
    <hyperlink ref="Z829" r:id="rId3066" xr:uid="{00000000-0004-0000-0000-0000F90B0000}"/>
    <hyperlink ref="AA829" r:id="rId3067" xr:uid="{00000000-0004-0000-0000-0000FA0B0000}"/>
    <hyperlink ref="B830" r:id="rId3068" xr:uid="{00000000-0004-0000-0000-0000FB0B0000}"/>
    <hyperlink ref="D830" r:id="rId3069" xr:uid="{00000000-0004-0000-0000-0000FC0B0000}"/>
    <hyperlink ref="E830" r:id="rId3070" xr:uid="{00000000-0004-0000-0000-0000FD0B0000}"/>
    <hyperlink ref="V830" r:id="rId3071" xr:uid="{00000000-0004-0000-0000-0000FE0B0000}"/>
    <hyperlink ref="W830" r:id="rId3072" xr:uid="{00000000-0004-0000-0000-0000FF0B0000}"/>
    <hyperlink ref="X830" r:id="rId3073" xr:uid="{00000000-0004-0000-0000-0000000C0000}"/>
    <hyperlink ref="Y830" r:id="rId3074" xr:uid="{00000000-0004-0000-0000-0000010C0000}"/>
    <hyperlink ref="Z830" r:id="rId3075" xr:uid="{00000000-0004-0000-0000-0000020C0000}"/>
    <hyperlink ref="AA830" r:id="rId3076" xr:uid="{00000000-0004-0000-0000-0000030C0000}"/>
    <hyperlink ref="AB830" r:id="rId3077" xr:uid="{00000000-0004-0000-0000-0000040C0000}"/>
    <hyperlink ref="AC830" r:id="rId3078" xr:uid="{00000000-0004-0000-0000-0000050C0000}"/>
    <hyperlink ref="AD830" r:id="rId3079" xr:uid="{00000000-0004-0000-0000-0000060C0000}"/>
    <hyperlink ref="B831" r:id="rId3080" xr:uid="{00000000-0004-0000-0000-0000070C0000}"/>
    <hyperlink ref="D831" r:id="rId3081" xr:uid="{00000000-0004-0000-0000-0000080C0000}"/>
    <hyperlink ref="V831" r:id="rId3082" xr:uid="{00000000-0004-0000-0000-0000090C0000}"/>
    <hyperlink ref="W831" r:id="rId3083" xr:uid="{00000000-0004-0000-0000-00000A0C0000}"/>
    <hyperlink ref="X831" r:id="rId3084" xr:uid="{00000000-0004-0000-0000-00000B0C0000}"/>
    <hyperlink ref="Y831" r:id="rId3085" xr:uid="{00000000-0004-0000-0000-00000C0C0000}"/>
    <hyperlink ref="Z831" r:id="rId3086" xr:uid="{00000000-0004-0000-0000-00000D0C0000}"/>
    <hyperlink ref="AA831" r:id="rId3087" xr:uid="{00000000-0004-0000-0000-00000E0C0000}"/>
    <hyperlink ref="B832" r:id="rId3088" xr:uid="{00000000-0004-0000-0000-00000F0C0000}"/>
    <hyperlink ref="D832" r:id="rId3089" xr:uid="{00000000-0004-0000-0000-0000100C0000}"/>
    <hyperlink ref="E832" r:id="rId3090" xr:uid="{00000000-0004-0000-0000-0000110C0000}"/>
    <hyperlink ref="V832" r:id="rId3091" xr:uid="{00000000-0004-0000-0000-0000120C0000}"/>
    <hyperlink ref="W832" r:id="rId3092" xr:uid="{00000000-0004-0000-0000-0000130C0000}"/>
    <hyperlink ref="X832" r:id="rId3093" xr:uid="{00000000-0004-0000-0000-0000140C0000}"/>
    <hyperlink ref="Y832" r:id="rId3094" xr:uid="{00000000-0004-0000-0000-0000150C0000}"/>
    <hyperlink ref="Z832" r:id="rId3095" xr:uid="{00000000-0004-0000-0000-0000160C0000}"/>
    <hyperlink ref="AA832" r:id="rId3096" xr:uid="{00000000-0004-0000-0000-0000170C0000}"/>
    <hyperlink ref="AB832" r:id="rId3097" xr:uid="{00000000-0004-0000-0000-0000180C0000}"/>
    <hyperlink ref="AC832" r:id="rId3098" xr:uid="{00000000-0004-0000-0000-0000190C0000}"/>
    <hyperlink ref="B833" r:id="rId3099" xr:uid="{00000000-0004-0000-0000-00001A0C0000}"/>
    <hyperlink ref="D833" r:id="rId3100" xr:uid="{00000000-0004-0000-0000-00001B0C0000}"/>
    <hyperlink ref="E833" r:id="rId3101" xr:uid="{00000000-0004-0000-0000-00001C0C0000}"/>
    <hyperlink ref="V833" r:id="rId3102" xr:uid="{00000000-0004-0000-0000-00001D0C0000}"/>
    <hyperlink ref="W833" r:id="rId3103" xr:uid="{00000000-0004-0000-0000-00001E0C0000}"/>
    <hyperlink ref="X833" r:id="rId3104" xr:uid="{00000000-0004-0000-0000-00001F0C0000}"/>
    <hyperlink ref="Y833" r:id="rId3105" xr:uid="{00000000-0004-0000-0000-0000200C0000}"/>
    <hyperlink ref="Z833" r:id="rId3106" xr:uid="{00000000-0004-0000-0000-0000210C0000}"/>
    <hyperlink ref="AA833" r:id="rId3107" xr:uid="{00000000-0004-0000-0000-0000220C0000}"/>
    <hyperlink ref="AB833" r:id="rId3108" xr:uid="{00000000-0004-0000-0000-0000230C0000}"/>
    <hyperlink ref="AC833" r:id="rId3109" xr:uid="{00000000-0004-0000-0000-0000240C0000}"/>
    <hyperlink ref="B834" r:id="rId3110" xr:uid="{00000000-0004-0000-0000-0000250C0000}"/>
    <hyperlink ref="D834" r:id="rId3111" xr:uid="{00000000-0004-0000-0000-0000260C0000}"/>
    <hyperlink ref="E834" r:id="rId3112" xr:uid="{00000000-0004-0000-0000-0000270C0000}"/>
    <hyperlink ref="V834" r:id="rId3113" xr:uid="{00000000-0004-0000-0000-0000280C0000}"/>
    <hyperlink ref="W834" r:id="rId3114" xr:uid="{00000000-0004-0000-0000-0000290C0000}"/>
    <hyperlink ref="X834" r:id="rId3115" xr:uid="{00000000-0004-0000-0000-00002A0C0000}"/>
    <hyperlink ref="Y834" r:id="rId3116" xr:uid="{00000000-0004-0000-0000-00002B0C0000}"/>
    <hyperlink ref="Z834" r:id="rId3117" xr:uid="{00000000-0004-0000-0000-00002C0C0000}"/>
    <hyperlink ref="AA834" r:id="rId3118" xr:uid="{00000000-0004-0000-0000-00002D0C0000}"/>
    <hyperlink ref="AB834" r:id="rId3119" xr:uid="{00000000-0004-0000-0000-00002E0C0000}"/>
    <hyperlink ref="AC834" r:id="rId3120" xr:uid="{00000000-0004-0000-0000-00002F0C0000}"/>
    <hyperlink ref="AD834" r:id="rId3121" xr:uid="{00000000-0004-0000-0000-0000300C0000}"/>
    <hyperlink ref="B835" r:id="rId3122" xr:uid="{00000000-0004-0000-0000-0000310C0000}"/>
    <hyperlink ref="D835" r:id="rId3123" xr:uid="{00000000-0004-0000-0000-0000320C0000}"/>
    <hyperlink ref="E835" r:id="rId3124" xr:uid="{00000000-0004-0000-0000-0000330C0000}"/>
    <hyperlink ref="V835" r:id="rId3125" xr:uid="{00000000-0004-0000-0000-0000340C0000}"/>
    <hyperlink ref="W835" r:id="rId3126" xr:uid="{00000000-0004-0000-0000-0000350C0000}"/>
    <hyperlink ref="X835" r:id="rId3127" xr:uid="{00000000-0004-0000-0000-0000360C0000}"/>
    <hyperlink ref="Y835" r:id="rId3128" xr:uid="{00000000-0004-0000-0000-0000370C0000}"/>
    <hyperlink ref="Z835" r:id="rId3129" xr:uid="{00000000-0004-0000-0000-0000380C0000}"/>
    <hyperlink ref="AA835" r:id="rId3130" xr:uid="{00000000-0004-0000-0000-0000390C0000}"/>
    <hyperlink ref="AB835" r:id="rId3131" xr:uid="{00000000-0004-0000-0000-00003A0C0000}"/>
    <hyperlink ref="AC835" r:id="rId3132" xr:uid="{00000000-0004-0000-0000-00003B0C0000}"/>
    <hyperlink ref="AD835" r:id="rId3133" xr:uid="{00000000-0004-0000-0000-00003C0C0000}"/>
    <hyperlink ref="B836" r:id="rId3134" xr:uid="{00000000-0004-0000-0000-00003D0C0000}"/>
    <hyperlink ref="D836" r:id="rId3135" xr:uid="{00000000-0004-0000-0000-00003E0C0000}"/>
    <hyperlink ref="E836" r:id="rId3136" xr:uid="{00000000-0004-0000-0000-00003F0C0000}"/>
    <hyperlink ref="V836" r:id="rId3137" xr:uid="{00000000-0004-0000-0000-0000400C0000}"/>
    <hyperlink ref="W836" r:id="rId3138" xr:uid="{00000000-0004-0000-0000-0000410C0000}"/>
    <hyperlink ref="X836" r:id="rId3139" xr:uid="{00000000-0004-0000-0000-0000420C0000}"/>
    <hyperlink ref="Y836" r:id="rId3140" xr:uid="{00000000-0004-0000-0000-0000430C0000}"/>
    <hyperlink ref="Z836" r:id="rId3141" xr:uid="{00000000-0004-0000-0000-0000440C0000}"/>
    <hyperlink ref="AA836" r:id="rId3142" xr:uid="{00000000-0004-0000-0000-0000450C0000}"/>
    <hyperlink ref="AB836" r:id="rId3143" xr:uid="{00000000-0004-0000-0000-0000460C0000}"/>
    <hyperlink ref="AC836" r:id="rId3144" xr:uid="{00000000-0004-0000-0000-0000470C0000}"/>
    <hyperlink ref="AD836" r:id="rId3145" xr:uid="{00000000-0004-0000-0000-0000480C0000}"/>
    <hyperlink ref="B837" r:id="rId3146" xr:uid="{00000000-0004-0000-0000-0000490C0000}"/>
    <hyperlink ref="D837" r:id="rId3147" xr:uid="{00000000-0004-0000-0000-00004A0C0000}"/>
    <hyperlink ref="E837" r:id="rId3148" xr:uid="{00000000-0004-0000-0000-00004B0C0000}"/>
    <hyperlink ref="V837" r:id="rId3149" xr:uid="{00000000-0004-0000-0000-00004C0C0000}"/>
    <hyperlink ref="W837" r:id="rId3150" xr:uid="{00000000-0004-0000-0000-00004D0C0000}"/>
    <hyperlink ref="X837" r:id="rId3151" xr:uid="{00000000-0004-0000-0000-00004E0C0000}"/>
    <hyperlink ref="Y837" r:id="rId3152" xr:uid="{00000000-0004-0000-0000-00004F0C0000}"/>
    <hyperlink ref="Z837" r:id="rId3153" xr:uid="{00000000-0004-0000-0000-0000500C0000}"/>
    <hyperlink ref="AA837" r:id="rId3154" xr:uid="{00000000-0004-0000-0000-0000510C0000}"/>
    <hyperlink ref="AB837" r:id="rId3155" xr:uid="{00000000-0004-0000-0000-0000520C0000}"/>
    <hyperlink ref="AC837" r:id="rId3156" xr:uid="{00000000-0004-0000-0000-0000530C0000}"/>
    <hyperlink ref="B838" r:id="rId3157" xr:uid="{00000000-0004-0000-0000-0000540C0000}"/>
    <hyperlink ref="D838" r:id="rId3158" xr:uid="{00000000-0004-0000-0000-0000550C0000}"/>
    <hyperlink ref="E838" r:id="rId3159" xr:uid="{00000000-0004-0000-0000-0000560C0000}"/>
    <hyperlink ref="V838" r:id="rId3160" xr:uid="{00000000-0004-0000-0000-0000570C0000}"/>
    <hyperlink ref="W838" r:id="rId3161" xr:uid="{00000000-0004-0000-0000-0000580C0000}"/>
    <hyperlink ref="X838" r:id="rId3162" xr:uid="{00000000-0004-0000-0000-0000590C0000}"/>
    <hyperlink ref="Y838" r:id="rId3163" xr:uid="{00000000-0004-0000-0000-00005A0C0000}"/>
    <hyperlink ref="Z838" r:id="rId3164" xr:uid="{00000000-0004-0000-0000-00005B0C0000}"/>
    <hyperlink ref="AA838" r:id="rId3165" xr:uid="{00000000-0004-0000-0000-00005C0C0000}"/>
    <hyperlink ref="AB838" r:id="rId3166" xr:uid="{00000000-0004-0000-0000-00005D0C0000}"/>
    <hyperlink ref="AC838" r:id="rId3167" xr:uid="{00000000-0004-0000-0000-00005E0C0000}"/>
    <hyperlink ref="AD838" r:id="rId3168" xr:uid="{00000000-0004-0000-0000-00005F0C0000}"/>
    <hyperlink ref="B839" r:id="rId3169" xr:uid="{00000000-0004-0000-0000-0000600C0000}"/>
    <hyperlink ref="D839" r:id="rId3170" xr:uid="{00000000-0004-0000-0000-0000610C0000}"/>
    <hyperlink ref="E839" r:id="rId3171" xr:uid="{00000000-0004-0000-0000-0000620C0000}"/>
    <hyperlink ref="V839" r:id="rId3172" xr:uid="{00000000-0004-0000-0000-0000630C0000}"/>
    <hyperlink ref="W839" r:id="rId3173" xr:uid="{00000000-0004-0000-0000-0000640C0000}"/>
    <hyperlink ref="X839" r:id="rId3174" xr:uid="{00000000-0004-0000-0000-0000650C0000}"/>
    <hyperlink ref="Y839" r:id="rId3175" xr:uid="{00000000-0004-0000-0000-0000660C0000}"/>
    <hyperlink ref="Z839" r:id="rId3176" xr:uid="{00000000-0004-0000-0000-0000670C0000}"/>
    <hyperlink ref="AA839" r:id="rId3177" xr:uid="{00000000-0004-0000-0000-0000680C0000}"/>
    <hyperlink ref="AB839" r:id="rId3178" xr:uid="{00000000-0004-0000-0000-0000690C0000}"/>
    <hyperlink ref="AC839" r:id="rId3179" xr:uid="{00000000-0004-0000-0000-00006A0C0000}"/>
    <hyperlink ref="B840" r:id="rId3180" xr:uid="{00000000-0004-0000-0000-00006B0C0000}"/>
    <hyperlink ref="D840" r:id="rId3181" xr:uid="{00000000-0004-0000-0000-00006C0C0000}"/>
    <hyperlink ref="E840" r:id="rId3182" xr:uid="{00000000-0004-0000-0000-00006D0C0000}"/>
    <hyperlink ref="V840" r:id="rId3183" xr:uid="{00000000-0004-0000-0000-00006E0C0000}"/>
    <hyperlink ref="W840" r:id="rId3184" xr:uid="{00000000-0004-0000-0000-00006F0C0000}"/>
    <hyperlink ref="X840" r:id="rId3185" xr:uid="{00000000-0004-0000-0000-0000700C0000}"/>
    <hyperlink ref="Y840" r:id="rId3186" xr:uid="{00000000-0004-0000-0000-0000710C0000}"/>
    <hyperlink ref="Z840" r:id="rId3187" xr:uid="{00000000-0004-0000-0000-0000720C0000}"/>
    <hyperlink ref="AA840" r:id="rId3188" xr:uid="{00000000-0004-0000-0000-0000730C0000}"/>
    <hyperlink ref="B841" r:id="rId3189" xr:uid="{00000000-0004-0000-0000-0000740C0000}"/>
    <hyperlink ref="D841" r:id="rId3190" xr:uid="{00000000-0004-0000-0000-0000750C0000}"/>
    <hyperlink ref="E841" r:id="rId3191" xr:uid="{00000000-0004-0000-0000-0000760C0000}"/>
    <hyperlink ref="B842" r:id="rId3192" xr:uid="{00000000-0004-0000-0000-0000770C0000}"/>
    <hyperlink ref="D842" r:id="rId3193" xr:uid="{00000000-0004-0000-0000-0000780C0000}"/>
    <hyperlink ref="E842" r:id="rId3194" xr:uid="{00000000-0004-0000-0000-0000790C0000}"/>
    <hyperlink ref="V842" r:id="rId3195" xr:uid="{00000000-0004-0000-0000-00007A0C0000}"/>
    <hyperlink ref="W842" r:id="rId3196" xr:uid="{00000000-0004-0000-0000-00007B0C0000}"/>
    <hyperlink ref="X842" r:id="rId3197" xr:uid="{00000000-0004-0000-0000-00007C0C0000}"/>
    <hyperlink ref="Y842" r:id="rId3198" xr:uid="{00000000-0004-0000-0000-00007D0C0000}"/>
    <hyperlink ref="Z842" r:id="rId3199" xr:uid="{00000000-0004-0000-0000-00007E0C0000}"/>
    <hyperlink ref="AA842" r:id="rId3200" xr:uid="{00000000-0004-0000-0000-00007F0C0000}"/>
    <hyperlink ref="AB842" r:id="rId3201" xr:uid="{00000000-0004-0000-0000-0000800C0000}"/>
    <hyperlink ref="AC842" r:id="rId3202" xr:uid="{00000000-0004-0000-0000-0000810C0000}"/>
    <hyperlink ref="AD842" r:id="rId3203" xr:uid="{00000000-0004-0000-0000-0000820C0000}"/>
    <hyperlink ref="B843" r:id="rId3204" xr:uid="{00000000-0004-0000-0000-0000830C0000}"/>
    <hyperlink ref="D843" r:id="rId3205" xr:uid="{00000000-0004-0000-0000-0000840C0000}"/>
    <hyperlink ref="E843" r:id="rId3206" xr:uid="{00000000-0004-0000-0000-0000850C0000}"/>
    <hyperlink ref="V843" r:id="rId3207" xr:uid="{00000000-0004-0000-0000-0000860C0000}"/>
    <hyperlink ref="W843" r:id="rId3208" xr:uid="{00000000-0004-0000-0000-0000870C0000}"/>
    <hyperlink ref="X843" r:id="rId3209" xr:uid="{00000000-0004-0000-0000-0000880C0000}"/>
    <hyperlink ref="Y843" r:id="rId3210" xr:uid="{00000000-0004-0000-0000-0000890C0000}"/>
    <hyperlink ref="Z843" r:id="rId3211" xr:uid="{00000000-0004-0000-0000-00008A0C0000}"/>
    <hyperlink ref="AA843" r:id="rId3212" xr:uid="{00000000-0004-0000-0000-00008B0C0000}"/>
    <hyperlink ref="AB843" r:id="rId3213" xr:uid="{00000000-0004-0000-0000-00008C0C0000}"/>
    <hyperlink ref="AC843" r:id="rId3214" xr:uid="{00000000-0004-0000-0000-00008D0C0000}"/>
    <hyperlink ref="AD843" r:id="rId3215" xr:uid="{00000000-0004-0000-0000-00008E0C0000}"/>
    <hyperlink ref="B844" r:id="rId3216" xr:uid="{00000000-0004-0000-0000-00008F0C0000}"/>
    <hyperlink ref="D844" r:id="rId3217" xr:uid="{00000000-0004-0000-0000-0000900C0000}"/>
    <hyperlink ref="E844" r:id="rId3218" xr:uid="{00000000-0004-0000-0000-0000910C0000}"/>
    <hyperlink ref="B845" r:id="rId3219" xr:uid="{00000000-0004-0000-0000-0000920C0000}"/>
    <hyperlink ref="D845" r:id="rId3220" xr:uid="{00000000-0004-0000-0000-0000930C0000}"/>
    <hyperlink ref="V845" r:id="rId3221" xr:uid="{00000000-0004-0000-0000-0000940C0000}"/>
    <hyperlink ref="W845" r:id="rId3222" xr:uid="{00000000-0004-0000-0000-0000950C0000}"/>
    <hyperlink ref="X845" r:id="rId3223" xr:uid="{00000000-0004-0000-0000-0000960C0000}"/>
    <hyperlink ref="Y845" r:id="rId3224" xr:uid="{00000000-0004-0000-0000-0000970C0000}"/>
    <hyperlink ref="Z845" r:id="rId3225" xr:uid="{00000000-0004-0000-0000-0000980C0000}"/>
    <hyperlink ref="AA845" r:id="rId3226" xr:uid="{00000000-0004-0000-0000-0000990C0000}"/>
    <hyperlink ref="AB845" r:id="rId3227" xr:uid="{00000000-0004-0000-0000-00009A0C0000}"/>
    <hyperlink ref="AC845" r:id="rId3228" xr:uid="{00000000-0004-0000-0000-00009B0C0000}"/>
    <hyperlink ref="AD845" r:id="rId3229" xr:uid="{00000000-0004-0000-0000-00009C0C0000}"/>
    <hyperlink ref="B846" r:id="rId3230" xr:uid="{00000000-0004-0000-0000-00009D0C0000}"/>
    <hyperlink ref="D846" r:id="rId3231" xr:uid="{00000000-0004-0000-0000-00009E0C0000}"/>
    <hyperlink ref="E846" r:id="rId3232" xr:uid="{00000000-0004-0000-0000-00009F0C0000}"/>
    <hyperlink ref="V846" r:id="rId3233" xr:uid="{00000000-0004-0000-0000-0000A00C0000}"/>
    <hyperlink ref="W846" r:id="rId3234" xr:uid="{00000000-0004-0000-0000-0000A10C0000}"/>
    <hyperlink ref="X846" r:id="rId3235" xr:uid="{00000000-0004-0000-0000-0000A20C0000}"/>
    <hyperlink ref="Y846" r:id="rId3236" xr:uid="{00000000-0004-0000-0000-0000A30C0000}"/>
    <hyperlink ref="Z846" r:id="rId3237" xr:uid="{00000000-0004-0000-0000-0000A40C0000}"/>
    <hyperlink ref="AA846" r:id="rId3238" xr:uid="{00000000-0004-0000-0000-0000A50C0000}"/>
    <hyperlink ref="AB846" r:id="rId3239" xr:uid="{00000000-0004-0000-0000-0000A60C0000}"/>
    <hyperlink ref="AC846" r:id="rId3240" xr:uid="{00000000-0004-0000-0000-0000A70C0000}"/>
    <hyperlink ref="B847" r:id="rId3241" xr:uid="{00000000-0004-0000-0000-0000A80C0000}"/>
    <hyperlink ref="D847" r:id="rId3242" xr:uid="{00000000-0004-0000-0000-0000A90C0000}"/>
    <hyperlink ref="E847" r:id="rId3243" xr:uid="{00000000-0004-0000-0000-0000AA0C0000}"/>
    <hyperlink ref="V847" r:id="rId3244" xr:uid="{00000000-0004-0000-0000-0000AB0C0000}"/>
    <hyperlink ref="W847" r:id="rId3245" xr:uid="{00000000-0004-0000-0000-0000AC0C0000}"/>
    <hyperlink ref="X847" r:id="rId3246" xr:uid="{00000000-0004-0000-0000-0000AD0C0000}"/>
    <hyperlink ref="Y847" r:id="rId3247" xr:uid="{00000000-0004-0000-0000-0000AE0C0000}"/>
    <hyperlink ref="Z847" r:id="rId3248" xr:uid="{00000000-0004-0000-0000-0000AF0C0000}"/>
    <hyperlink ref="AA847" r:id="rId3249" xr:uid="{00000000-0004-0000-0000-0000B00C0000}"/>
    <hyperlink ref="AB847" r:id="rId3250" xr:uid="{00000000-0004-0000-0000-0000B10C0000}"/>
    <hyperlink ref="AC847" r:id="rId3251" xr:uid="{00000000-0004-0000-0000-0000B20C0000}"/>
    <hyperlink ref="B848" r:id="rId3252" xr:uid="{00000000-0004-0000-0000-0000B30C0000}"/>
    <hyperlink ref="D848" r:id="rId3253" xr:uid="{00000000-0004-0000-0000-0000B40C0000}"/>
    <hyperlink ref="E848" r:id="rId3254" xr:uid="{00000000-0004-0000-0000-0000B50C0000}"/>
    <hyperlink ref="V848" r:id="rId3255" xr:uid="{00000000-0004-0000-0000-0000B60C0000}"/>
    <hyperlink ref="W848" r:id="rId3256" xr:uid="{00000000-0004-0000-0000-0000B70C0000}"/>
    <hyperlink ref="X848" r:id="rId3257" xr:uid="{00000000-0004-0000-0000-0000B80C0000}"/>
    <hyperlink ref="Y848" r:id="rId3258" xr:uid="{00000000-0004-0000-0000-0000B90C0000}"/>
    <hyperlink ref="Z848" r:id="rId3259" xr:uid="{00000000-0004-0000-0000-0000BA0C0000}"/>
    <hyperlink ref="AA848" r:id="rId3260" xr:uid="{00000000-0004-0000-0000-0000BB0C0000}"/>
    <hyperlink ref="AB848" r:id="rId3261" xr:uid="{00000000-0004-0000-0000-0000BC0C0000}"/>
    <hyperlink ref="AC848" r:id="rId3262" xr:uid="{00000000-0004-0000-0000-0000BD0C0000}"/>
    <hyperlink ref="AD848" r:id="rId3263" xr:uid="{00000000-0004-0000-0000-0000BE0C0000}"/>
    <hyperlink ref="B849" r:id="rId3264" xr:uid="{00000000-0004-0000-0000-0000BF0C0000}"/>
    <hyperlink ref="D849" r:id="rId3265" xr:uid="{00000000-0004-0000-0000-0000C00C0000}"/>
    <hyperlink ref="E849" r:id="rId3266" xr:uid="{00000000-0004-0000-0000-0000C10C0000}"/>
    <hyperlink ref="B850" r:id="rId3267" xr:uid="{00000000-0004-0000-0000-0000C20C0000}"/>
    <hyperlink ref="D850" r:id="rId3268" xr:uid="{00000000-0004-0000-0000-0000C30C0000}"/>
    <hyperlink ref="E850" r:id="rId3269" xr:uid="{00000000-0004-0000-0000-0000C40C0000}"/>
    <hyperlink ref="V850" r:id="rId3270" xr:uid="{00000000-0004-0000-0000-0000C50C0000}"/>
    <hyperlink ref="W850" r:id="rId3271" xr:uid="{00000000-0004-0000-0000-0000C60C0000}"/>
    <hyperlink ref="X850" r:id="rId3272" xr:uid="{00000000-0004-0000-0000-0000C70C0000}"/>
    <hyperlink ref="Y850" r:id="rId3273" xr:uid="{00000000-0004-0000-0000-0000C80C0000}"/>
    <hyperlink ref="B851" r:id="rId3274" xr:uid="{00000000-0004-0000-0000-0000C90C0000}"/>
    <hyperlink ref="D851" r:id="rId3275" xr:uid="{00000000-0004-0000-0000-0000CA0C0000}"/>
    <hyperlink ref="E851" r:id="rId3276" xr:uid="{00000000-0004-0000-0000-0000CB0C0000}"/>
    <hyperlink ref="V851" r:id="rId3277" xr:uid="{00000000-0004-0000-0000-0000CC0C0000}"/>
    <hyperlink ref="W851" r:id="rId3278" xr:uid="{00000000-0004-0000-0000-0000CD0C0000}"/>
    <hyperlink ref="X851" r:id="rId3279" xr:uid="{00000000-0004-0000-0000-0000CE0C0000}"/>
    <hyperlink ref="Y851" r:id="rId3280" xr:uid="{00000000-0004-0000-0000-0000CF0C0000}"/>
    <hyperlink ref="Z851" r:id="rId3281" xr:uid="{00000000-0004-0000-0000-0000D00C0000}"/>
    <hyperlink ref="AA851" r:id="rId3282" xr:uid="{00000000-0004-0000-0000-0000D10C0000}"/>
    <hyperlink ref="B852" r:id="rId3283" xr:uid="{00000000-0004-0000-0000-0000D20C0000}"/>
    <hyperlink ref="D852" r:id="rId3284" xr:uid="{00000000-0004-0000-0000-0000D30C0000}"/>
    <hyperlink ref="E852" r:id="rId3285" xr:uid="{00000000-0004-0000-0000-0000D40C0000}"/>
    <hyperlink ref="B853" r:id="rId3286" xr:uid="{00000000-0004-0000-0000-0000D50C0000}"/>
    <hyperlink ref="D853" r:id="rId3287" xr:uid="{00000000-0004-0000-0000-0000D60C0000}"/>
    <hyperlink ref="E853" r:id="rId3288" xr:uid="{00000000-0004-0000-0000-0000D70C0000}"/>
    <hyperlink ref="V853" r:id="rId3289" xr:uid="{00000000-0004-0000-0000-0000D80C0000}"/>
    <hyperlink ref="W853" r:id="rId3290" xr:uid="{00000000-0004-0000-0000-0000D90C0000}"/>
    <hyperlink ref="X853" r:id="rId3291" xr:uid="{00000000-0004-0000-0000-0000DA0C0000}"/>
    <hyperlink ref="Y853" r:id="rId3292" xr:uid="{00000000-0004-0000-0000-0000DB0C0000}"/>
    <hyperlink ref="Z853" r:id="rId3293" xr:uid="{00000000-0004-0000-0000-0000DC0C0000}"/>
    <hyperlink ref="AA853" r:id="rId3294" xr:uid="{00000000-0004-0000-0000-0000DD0C0000}"/>
    <hyperlink ref="AB853" r:id="rId3295" xr:uid="{00000000-0004-0000-0000-0000DE0C0000}"/>
    <hyperlink ref="AC853" r:id="rId3296" xr:uid="{00000000-0004-0000-0000-0000DF0C0000}"/>
    <hyperlink ref="B854" r:id="rId3297" xr:uid="{00000000-0004-0000-0000-0000E00C0000}"/>
    <hyperlink ref="D854" r:id="rId3298" xr:uid="{00000000-0004-0000-0000-0000E10C0000}"/>
    <hyperlink ref="E854" r:id="rId3299" xr:uid="{00000000-0004-0000-0000-0000E20C0000}"/>
    <hyperlink ref="V854" r:id="rId3300" xr:uid="{00000000-0004-0000-0000-0000E30C0000}"/>
    <hyperlink ref="W854" r:id="rId3301" xr:uid="{00000000-0004-0000-0000-0000E40C0000}"/>
    <hyperlink ref="B855" r:id="rId3302" xr:uid="{00000000-0004-0000-0000-0000E50C0000}"/>
    <hyperlink ref="D855" r:id="rId3303" xr:uid="{00000000-0004-0000-0000-0000E60C0000}"/>
    <hyperlink ref="E855" r:id="rId3304" xr:uid="{00000000-0004-0000-0000-0000E70C0000}"/>
    <hyperlink ref="V855" r:id="rId3305" xr:uid="{00000000-0004-0000-0000-0000E80C0000}"/>
    <hyperlink ref="W855" r:id="rId3306" xr:uid="{00000000-0004-0000-0000-0000E90C0000}"/>
    <hyperlink ref="X855" r:id="rId3307" xr:uid="{00000000-0004-0000-0000-0000EA0C0000}"/>
    <hyperlink ref="Y855" r:id="rId3308" xr:uid="{00000000-0004-0000-0000-0000EB0C0000}"/>
    <hyperlink ref="Z855" r:id="rId3309" xr:uid="{00000000-0004-0000-0000-0000EC0C0000}"/>
    <hyperlink ref="AA855" r:id="rId3310" xr:uid="{00000000-0004-0000-0000-0000ED0C0000}"/>
    <hyperlink ref="B856" r:id="rId3311" xr:uid="{00000000-0004-0000-0000-0000EE0C0000}"/>
    <hyperlink ref="D856" r:id="rId3312" xr:uid="{00000000-0004-0000-0000-0000EF0C0000}"/>
    <hyperlink ref="E856" r:id="rId3313" xr:uid="{00000000-0004-0000-0000-0000F00C0000}"/>
    <hyperlink ref="V856" r:id="rId3314" xr:uid="{00000000-0004-0000-0000-0000F10C0000}"/>
    <hyperlink ref="W856" r:id="rId3315" xr:uid="{00000000-0004-0000-0000-0000F20C0000}"/>
    <hyperlink ref="X856" r:id="rId3316" xr:uid="{00000000-0004-0000-0000-0000F30C0000}"/>
    <hyperlink ref="Y856" r:id="rId3317" xr:uid="{00000000-0004-0000-0000-0000F40C0000}"/>
    <hyperlink ref="Z856" r:id="rId3318" xr:uid="{00000000-0004-0000-0000-0000F50C0000}"/>
    <hyperlink ref="AA856" r:id="rId3319" xr:uid="{00000000-0004-0000-0000-0000F60C0000}"/>
    <hyperlink ref="AB856" r:id="rId3320" xr:uid="{00000000-0004-0000-0000-0000F70C0000}"/>
    <hyperlink ref="AC856" r:id="rId3321" xr:uid="{00000000-0004-0000-0000-0000F80C0000}"/>
    <hyperlink ref="B857" r:id="rId3322" xr:uid="{00000000-0004-0000-0000-0000F90C0000}"/>
    <hyperlink ref="D857" r:id="rId3323" xr:uid="{00000000-0004-0000-0000-0000FA0C0000}"/>
    <hyperlink ref="E857" r:id="rId3324" xr:uid="{00000000-0004-0000-0000-0000FB0C0000}"/>
    <hyperlink ref="V857" r:id="rId3325" xr:uid="{00000000-0004-0000-0000-0000FC0C0000}"/>
    <hyperlink ref="W857" r:id="rId3326" xr:uid="{00000000-0004-0000-0000-0000FD0C0000}"/>
    <hyperlink ref="X857" r:id="rId3327" xr:uid="{00000000-0004-0000-0000-0000FE0C0000}"/>
    <hyperlink ref="Y857" r:id="rId3328" xr:uid="{00000000-0004-0000-0000-0000FF0C0000}"/>
    <hyperlink ref="Z857" r:id="rId3329" xr:uid="{00000000-0004-0000-0000-0000000D0000}"/>
    <hyperlink ref="AA857" r:id="rId3330" xr:uid="{00000000-0004-0000-0000-0000010D0000}"/>
    <hyperlink ref="AB857" r:id="rId3331" xr:uid="{00000000-0004-0000-0000-0000020D0000}"/>
    <hyperlink ref="AC857" r:id="rId3332" xr:uid="{00000000-0004-0000-0000-0000030D0000}"/>
    <hyperlink ref="AD857" r:id="rId3333" xr:uid="{00000000-0004-0000-0000-0000040D0000}"/>
    <hyperlink ref="B858" r:id="rId3334" xr:uid="{00000000-0004-0000-0000-0000050D0000}"/>
    <hyperlink ref="D858" r:id="rId3335" xr:uid="{00000000-0004-0000-0000-0000060D0000}"/>
    <hyperlink ref="E858" r:id="rId3336" xr:uid="{00000000-0004-0000-0000-0000070D0000}"/>
    <hyperlink ref="V858" r:id="rId3337" xr:uid="{00000000-0004-0000-0000-0000080D0000}"/>
    <hyperlink ref="W858" r:id="rId3338" xr:uid="{00000000-0004-0000-0000-0000090D0000}"/>
    <hyperlink ref="X858" r:id="rId3339" xr:uid="{00000000-0004-0000-0000-00000A0D0000}"/>
    <hyperlink ref="Y858" r:id="rId3340" xr:uid="{00000000-0004-0000-0000-00000B0D0000}"/>
    <hyperlink ref="Z858" r:id="rId3341" xr:uid="{00000000-0004-0000-0000-00000C0D0000}"/>
    <hyperlink ref="AA858" r:id="rId3342" xr:uid="{00000000-0004-0000-0000-00000D0D0000}"/>
    <hyperlink ref="AB858" r:id="rId3343" xr:uid="{00000000-0004-0000-0000-00000E0D0000}"/>
    <hyperlink ref="AC858" r:id="rId3344" xr:uid="{00000000-0004-0000-0000-00000F0D0000}"/>
    <hyperlink ref="B859" r:id="rId3345" xr:uid="{00000000-0004-0000-0000-0000100D0000}"/>
    <hyperlink ref="D859" r:id="rId3346" xr:uid="{00000000-0004-0000-0000-0000110D0000}"/>
    <hyperlink ref="E859" r:id="rId3347" xr:uid="{00000000-0004-0000-0000-0000120D0000}"/>
    <hyperlink ref="V859" r:id="rId3348" xr:uid="{00000000-0004-0000-0000-0000130D0000}"/>
    <hyperlink ref="W859" r:id="rId3349" xr:uid="{00000000-0004-0000-0000-0000140D0000}"/>
    <hyperlink ref="X859" r:id="rId3350" xr:uid="{00000000-0004-0000-0000-0000150D0000}"/>
    <hyperlink ref="Y859" r:id="rId3351" xr:uid="{00000000-0004-0000-0000-0000160D0000}"/>
    <hyperlink ref="Z859" r:id="rId3352" xr:uid="{00000000-0004-0000-0000-0000170D0000}"/>
    <hyperlink ref="AA859" r:id="rId3353" xr:uid="{00000000-0004-0000-0000-0000180D0000}"/>
    <hyperlink ref="AB859" r:id="rId3354" xr:uid="{00000000-0004-0000-0000-0000190D0000}"/>
    <hyperlink ref="AC859" r:id="rId3355" xr:uid="{00000000-0004-0000-0000-00001A0D0000}"/>
    <hyperlink ref="AD859" r:id="rId3356" xr:uid="{00000000-0004-0000-0000-00001B0D0000}"/>
    <hyperlink ref="B860" r:id="rId3357" xr:uid="{00000000-0004-0000-0000-00001C0D0000}"/>
    <hyperlink ref="D860" r:id="rId3358" xr:uid="{00000000-0004-0000-0000-00001D0D0000}"/>
    <hyperlink ref="E860" r:id="rId3359" xr:uid="{00000000-0004-0000-0000-00001E0D0000}"/>
    <hyperlink ref="V860" r:id="rId3360" xr:uid="{00000000-0004-0000-0000-00001F0D0000}"/>
    <hyperlink ref="W860" r:id="rId3361" xr:uid="{00000000-0004-0000-0000-0000200D0000}"/>
    <hyperlink ref="X860" r:id="rId3362" xr:uid="{00000000-0004-0000-0000-0000210D0000}"/>
    <hyperlink ref="Y860" r:id="rId3363" xr:uid="{00000000-0004-0000-0000-0000220D0000}"/>
    <hyperlink ref="Z860" r:id="rId3364" xr:uid="{00000000-0004-0000-0000-0000230D0000}"/>
    <hyperlink ref="AA860" r:id="rId3365" xr:uid="{00000000-0004-0000-0000-0000240D0000}"/>
    <hyperlink ref="AB860" r:id="rId3366" xr:uid="{00000000-0004-0000-0000-0000250D0000}"/>
    <hyperlink ref="AC860" r:id="rId3367" xr:uid="{00000000-0004-0000-0000-0000260D0000}"/>
    <hyperlink ref="B861" r:id="rId3368" xr:uid="{00000000-0004-0000-0000-0000270D0000}"/>
    <hyperlink ref="D861" r:id="rId3369" xr:uid="{00000000-0004-0000-0000-0000280D0000}"/>
    <hyperlink ref="E861" r:id="rId3370" xr:uid="{00000000-0004-0000-0000-0000290D0000}"/>
    <hyperlink ref="V861" r:id="rId3371" xr:uid="{00000000-0004-0000-0000-00002A0D0000}"/>
    <hyperlink ref="W861" r:id="rId3372" xr:uid="{00000000-0004-0000-0000-00002B0D0000}"/>
    <hyperlink ref="X861" r:id="rId3373" xr:uid="{00000000-0004-0000-0000-00002C0D0000}"/>
    <hyperlink ref="Y861" r:id="rId3374" xr:uid="{00000000-0004-0000-0000-00002D0D0000}"/>
    <hyperlink ref="Z861" r:id="rId3375" xr:uid="{00000000-0004-0000-0000-00002E0D0000}"/>
    <hyperlink ref="AA861" r:id="rId3376" xr:uid="{00000000-0004-0000-0000-00002F0D0000}"/>
    <hyperlink ref="AB861" r:id="rId3377" xr:uid="{00000000-0004-0000-0000-0000300D0000}"/>
    <hyperlink ref="AC861" r:id="rId3378" xr:uid="{00000000-0004-0000-0000-0000310D0000}"/>
    <hyperlink ref="AD861" r:id="rId3379" xr:uid="{00000000-0004-0000-0000-0000320D0000}"/>
    <hyperlink ref="B862" r:id="rId3380" xr:uid="{00000000-0004-0000-0000-0000330D0000}"/>
    <hyperlink ref="D862" r:id="rId3381" xr:uid="{00000000-0004-0000-0000-0000340D0000}"/>
    <hyperlink ref="E862" r:id="rId3382" xr:uid="{00000000-0004-0000-0000-0000350D0000}"/>
    <hyperlink ref="V862" r:id="rId3383" xr:uid="{00000000-0004-0000-0000-0000360D0000}"/>
    <hyperlink ref="W862" r:id="rId3384" xr:uid="{00000000-0004-0000-0000-0000370D0000}"/>
    <hyperlink ref="X862" r:id="rId3385" xr:uid="{00000000-0004-0000-0000-0000380D0000}"/>
    <hyperlink ref="Y862" r:id="rId3386" xr:uid="{00000000-0004-0000-0000-0000390D0000}"/>
    <hyperlink ref="Z862" r:id="rId3387" xr:uid="{00000000-0004-0000-0000-00003A0D0000}"/>
    <hyperlink ref="AA862" r:id="rId3388" xr:uid="{00000000-0004-0000-0000-00003B0D0000}"/>
    <hyperlink ref="AB862" r:id="rId3389" xr:uid="{00000000-0004-0000-0000-00003C0D0000}"/>
    <hyperlink ref="AC862" r:id="rId3390" xr:uid="{00000000-0004-0000-0000-00003D0D0000}"/>
    <hyperlink ref="AD862" r:id="rId3391" xr:uid="{00000000-0004-0000-0000-00003E0D0000}"/>
    <hyperlink ref="B863" r:id="rId3392" xr:uid="{00000000-0004-0000-0000-00003F0D0000}"/>
    <hyperlink ref="D863" r:id="rId3393" xr:uid="{00000000-0004-0000-0000-0000400D0000}"/>
    <hyperlink ref="E863" r:id="rId3394" xr:uid="{00000000-0004-0000-0000-0000410D0000}"/>
    <hyperlink ref="V863" r:id="rId3395" xr:uid="{00000000-0004-0000-0000-0000420D0000}"/>
    <hyperlink ref="W863" r:id="rId3396" xr:uid="{00000000-0004-0000-0000-0000430D0000}"/>
    <hyperlink ref="X863" r:id="rId3397" xr:uid="{00000000-0004-0000-0000-0000440D0000}"/>
    <hyperlink ref="Y863" r:id="rId3398" xr:uid="{00000000-0004-0000-0000-0000450D0000}"/>
    <hyperlink ref="Z863" r:id="rId3399" xr:uid="{00000000-0004-0000-0000-0000460D0000}"/>
    <hyperlink ref="AA863" r:id="rId3400" xr:uid="{00000000-0004-0000-0000-0000470D0000}"/>
    <hyperlink ref="B864" r:id="rId3401" xr:uid="{00000000-0004-0000-0000-0000480D0000}"/>
    <hyperlink ref="D864" r:id="rId3402" xr:uid="{00000000-0004-0000-0000-0000490D0000}"/>
    <hyperlink ref="E864" r:id="rId3403" xr:uid="{00000000-0004-0000-0000-00004A0D0000}"/>
    <hyperlink ref="V864" r:id="rId3404" xr:uid="{00000000-0004-0000-0000-00004B0D0000}"/>
    <hyperlink ref="W864" r:id="rId3405" xr:uid="{00000000-0004-0000-0000-00004C0D0000}"/>
    <hyperlink ref="X864" r:id="rId3406" xr:uid="{00000000-0004-0000-0000-00004D0D0000}"/>
    <hyperlink ref="Y864" r:id="rId3407" xr:uid="{00000000-0004-0000-0000-00004E0D0000}"/>
    <hyperlink ref="B865" r:id="rId3408" xr:uid="{00000000-0004-0000-0000-00004F0D0000}"/>
    <hyperlink ref="D865" r:id="rId3409" xr:uid="{00000000-0004-0000-0000-0000500D0000}"/>
    <hyperlink ref="E865" r:id="rId3410" xr:uid="{00000000-0004-0000-0000-0000510D0000}"/>
    <hyperlink ref="V865" r:id="rId3411" xr:uid="{00000000-0004-0000-0000-0000520D0000}"/>
    <hyperlink ref="W865" r:id="rId3412" xr:uid="{00000000-0004-0000-0000-0000530D0000}"/>
    <hyperlink ref="X865" r:id="rId3413" xr:uid="{00000000-0004-0000-0000-0000540D0000}"/>
    <hyperlink ref="Y865" r:id="rId3414" xr:uid="{00000000-0004-0000-0000-0000550D0000}"/>
    <hyperlink ref="Z865" r:id="rId3415" xr:uid="{00000000-0004-0000-0000-0000560D0000}"/>
    <hyperlink ref="AA865" r:id="rId3416" xr:uid="{00000000-0004-0000-0000-0000570D0000}"/>
    <hyperlink ref="AB865" r:id="rId3417" xr:uid="{00000000-0004-0000-0000-0000580D0000}"/>
    <hyperlink ref="AC865" r:id="rId3418" xr:uid="{00000000-0004-0000-0000-0000590D0000}"/>
    <hyperlink ref="B866" r:id="rId3419" xr:uid="{00000000-0004-0000-0000-00005A0D0000}"/>
    <hyperlink ref="D866" r:id="rId3420" xr:uid="{00000000-0004-0000-0000-00005B0D0000}"/>
    <hyperlink ref="E866" r:id="rId3421" xr:uid="{00000000-0004-0000-0000-00005C0D0000}"/>
    <hyperlink ref="V866" r:id="rId3422" xr:uid="{00000000-0004-0000-0000-00005D0D0000}"/>
    <hyperlink ref="W866" r:id="rId3423" xr:uid="{00000000-0004-0000-0000-00005E0D0000}"/>
    <hyperlink ref="X866" r:id="rId3424" xr:uid="{00000000-0004-0000-0000-00005F0D0000}"/>
    <hyperlink ref="Y866" r:id="rId3425" xr:uid="{00000000-0004-0000-0000-0000600D0000}"/>
    <hyperlink ref="Z866" r:id="rId3426" xr:uid="{00000000-0004-0000-0000-0000610D0000}"/>
    <hyperlink ref="AA866" r:id="rId3427" xr:uid="{00000000-0004-0000-0000-0000620D0000}"/>
    <hyperlink ref="AB866" r:id="rId3428" xr:uid="{00000000-0004-0000-0000-0000630D0000}"/>
    <hyperlink ref="AC866" r:id="rId3429" xr:uid="{00000000-0004-0000-0000-0000640D0000}"/>
    <hyperlink ref="AD866" r:id="rId3430" xr:uid="{00000000-0004-0000-0000-0000650D0000}"/>
    <hyperlink ref="B867" r:id="rId3431" xr:uid="{00000000-0004-0000-0000-0000660D0000}"/>
    <hyperlink ref="D867" r:id="rId3432" xr:uid="{00000000-0004-0000-0000-0000670D0000}"/>
    <hyperlink ref="E867" r:id="rId3433" xr:uid="{00000000-0004-0000-0000-0000680D0000}"/>
    <hyperlink ref="V867" r:id="rId3434" xr:uid="{00000000-0004-0000-0000-0000690D0000}"/>
    <hyperlink ref="W867" r:id="rId3435" xr:uid="{00000000-0004-0000-0000-00006A0D0000}"/>
    <hyperlink ref="X867" r:id="rId3436" xr:uid="{00000000-0004-0000-0000-00006B0D0000}"/>
    <hyperlink ref="Y867" r:id="rId3437" xr:uid="{00000000-0004-0000-0000-00006C0D0000}"/>
    <hyperlink ref="Z867" r:id="rId3438" xr:uid="{00000000-0004-0000-0000-00006D0D0000}"/>
    <hyperlink ref="AA867" r:id="rId3439" xr:uid="{00000000-0004-0000-0000-00006E0D0000}"/>
    <hyperlink ref="AB867" r:id="rId3440" xr:uid="{00000000-0004-0000-0000-00006F0D0000}"/>
    <hyperlink ref="AC867" r:id="rId3441" xr:uid="{00000000-0004-0000-0000-0000700D0000}"/>
    <hyperlink ref="B868" r:id="rId3442" xr:uid="{00000000-0004-0000-0000-0000710D0000}"/>
    <hyperlink ref="D868" r:id="rId3443" xr:uid="{00000000-0004-0000-0000-0000720D0000}"/>
    <hyperlink ref="E868" r:id="rId3444" xr:uid="{00000000-0004-0000-0000-0000730D0000}"/>
    <hyperlink ref="V868" r:id="rId3445" xr:uid="{00000000-0004-0000-0000-0000740D0000}"/>
    <hyperlink ref="W868" r:id="rId3446" xr:uid="{00000000-0004-0000-0000-0000750D0000}"/>
    <hyperlink ref="X868" r:id="rId3447" xr:uid="{00000000-0004-0000-0000-0000760D0000}"/>
    <hyperlink ref="Y868" r:id="rId3448" xr:uid="{00000000-0004-0000-0000-0000770D0000}"/>
    <hyperlink ref="Z868" r:id="rId3449" xr:uid="{00000000-0004-0000-0000-0000780D0000}"/>
    <hyperlink ref="AA868" r:id="rId3450" xr:uid="{00000000-0004-0000-0000-0000790D0000}"/>
    <hyperlink ref="AB868" r:id="rId3451" xr:uid="{00000000-0004-0000-0000-00007A0D0000}"/>
    <hyperlink ref="AC868" r:id="rId3452" xr:uid="{00000000-0004-0000-0000-00007B0D0000}"/>
    <hyperlink ref="AD868" r:id="rId3453" xr:uid="{00000000-0004-0000-0000-00007C0D0000}"/>
    <hyperlink ref="B869" r:id="rId3454" xr:uid="{00000000-0004-0000-0000-00007D0D0000}"/>
    <hyperlink ref="D869" r:id="rId3455" xr:uid="{00000000-0004-0000-0000-00007E0D0000}"/>
    <hyperlink ref="E869" r:id="rId3456" xr:uid="{00000000-0004-0000-0000-00007F0D0000}"/>
    <hyperlink ref="V869" r:id="rId3457" xr:uid="{00000000-0004-0000-0000-0000800D0000}"/>
    <hyperlink ref="W869" r:id="rId3458" xr:uid="{00000000-0004-0000-0000-0000810D0000}"/>
    <hyperlink ref="X869" r:id="rId3459" xr:uid="{00000000-0004-0000-0000-0000820D0000}"/>
    <hyperlink ref="Y869" r:id="rId3460" xr:uid="{00000000-0004-0000-0000-0000830D0000}"/>
    <hyperlink ref="B870" r:id="rId3461" xr:uid="{00000000-0004-0000-0000-0000840D0000}"/>
    <hyperlink ref="D870" r:id="rId3462" xr:uid="{00000000-0004-0000-0000-0000850D0000}"/>
    <hyperlink ref="E870" r:id="rId3463" xr:uid="{00000000-0004-0000-0000-0000860D0000}"/>
    <hyperlink ref="V870" r:id="rId3464" xr:uid="{00000000-0004-0000-0000-0000870D0000}"/>
    <hyperlink ref="W870" r:id="rId3465" xr:uid="{00000000-0004-0000-0000-0000880D0000}"/>
    <hyperlink ref="X870" r:id="rId3466" xr:uid="{00000000-0004-0000-0000-0000890D0000}"/>
    <hyperlink ref="Y870" r:id="rId3467" xr:uid="{00000000-0004-0000-0000-00008A0D0000}"/>
    <hyperlink ref="Z870" r:id="rId3468" xr:uid="{00000000-0004-0000-0000-00008B0D0000}"/>
    <hyperlink ref="AA870" r:id="rId3469" xr:uid="{00000000-0004-0000-0000-00008C0D0000}"/>
    <hyperlink ref="B871" r:id="rId3470" xr:uid="{00000000-0004-0000-0000-00008D0D0000}"/>
    <hyperlink ref="D871" r:id="rId3471" xr:uid="{00000000-0004-0000-0000-00008E0D0000}"/>
    <hyperlink ref="E871" r:id="rId3472" xr:uid="{00000000-0004-0000-0000-00008F0D0000}"/>
    <hyperlink ref="B872" r:id="rId3473" xr:uid="{00000000-0004-0000-0000-0000900D0000}"/>
    <hyperlink ref="D872" r:id="rId3474" xr:uid="{00000000-0004-0000-0000-0000910D0000}"/>
    <hyperlink ref="E872" r:id="rId3475" xr:uid="{00000000-0004-0000-0000-0000920D0000}"/>
    <hyperlink ref="V872" r:id="rId3476" xr:uid="{00000000-0004-0000-0000-0000930D0000}"/>
    <hyperlink ref="W872" r:id="rId3477" xr:uid="{00000000-0004-0000-0000-0000940D0000}"/>
    <hyperlink ref="B873" r:id="rId3478" xr:uid="{00000000-0004-0000-0000-0000950D0000}"/>
    <hyperlink ref="D873" r:id="rId3479" xr:uid="{00000000-0004-0000-0000-0000960D0000}"/>
    <hyperlink ref="E873" r:id="rId3480" xr:uid="{00000000-0004-0000-0000-0000970D0000}"/>
    <hyperlink ref="V873" r:id="rId3481" xr:uid="{00000000-0004-0000-0000-0000980D0000}"/>
    <hyperlink ref="W873" r:id="rId3482" xr:uid="{00000000-0004-0000-0000-0000990D0000}"/>
    <hyperlink ref="B874" r:id="rId3483" xr:uid="{00000000-0004-0000-0000-00009A0D0000}"/>
    <hyperlink ref="D874" r:id="rId3484" xr:uid="{00000000-0004-0000-0000-00009B0D0000}"/>
    <hyperlink ref="E874" r:id="rId3485" xr:uid="{00000000-0004-0000-0000-00009C0D0000}"/>
    <hyperlink ref="V874" r:id="rId3486" xr:uid="{00000000-0004-0000-0000-00009D0D0000}"/>
    <hyperlink ref="W874" r:id="rId3487" xr:uid="{00000000-0004-0000-0000-00009E0D0000}"/>
    <hyperlink ref="X874" r:id="rId3488" xr:uid="{00000000-0004-0000-0000-00009F0D0000}"/>
    <hyperlink ref="Y874" r:id="rId3489" xr:uid="{00000000-0004-0000-0000-0000A00D0000}"/>
    <hyperlink ref="B875" r:id="rId3490" xr:uid="{00000000-0004-0000-0000-0000A10D0000}"/>
    <hyperlink ref="D875" r:id="rId3491" xr:uid="{00000000-0004-0000-0000-0000A20D0000}"/>
    <hyperlink ref="E875" r:id="rId3492" xr:uid="{00000000-0004-0000-0000-0000A30D0000}"/>
    <hyperlink ref="B876" r:id="rId3493" xr:uid="{00000000-0004-0000-0000-0000A40D0000}"/>
    <hyperlink ref="D876" r:id="rId3494" xr:uid="{00000000-0004-0000-0000-0000A50D0000}"/>
    <hyperlink ref="E876" r:id="rId3495" xr:uid="{00000000-0004-0000-0000-0000A60D0000}"/>
    <hyperlink ref="V876" r:id="rId3496" xr:uid="{00000000-0004-0000-0000-0000A70D0000}"/>
    <hyperlink ref="W876" r:id="rId3497" xr:uid="{00000000-0004-0000-0000-0000A80D0000}"/>
    <hyperlink ref="X876" r:id="rId3498" xr:uid="{00000000-0004-0000-0000-0000A90D0000}"/>
    <hyperlink ref="Y876" r:id="rId3499" xr:uid="{00000000-0004-0000-0000-0000AA0D0000}"/>
    <hyperlink ref="B877" r:id="rId3500" xr:uid="{00000000-0004-0000-0000-0000AB0D0000}"/>
    <hyperlink ref="D877" r:id="rId3501" xr:uid="{00000000-0004-0000-0000-0000AC0D0000}"/>
    <hyperlink ref="E877" r:id="rId3502" xr:uid="{00000000-0004-0000-0000-0000AD0D0000}"/>
    <hyperlink ref="V877" r:id="rId3503" xr:uid="{00000000-0004-0000-0000-0000AE0D0000}"/>
    <hyperlink ref="W877" r:id="rId3504" xr:uid="{00000000-0004-0000-0000-0000AF0D0000}"/>
    <hyperlink ref="X877" r:id="rId3505" xr:uid="{00000000-0004-0000-0000-0000B00D0000}"/>
    <hyperlink ref="Y877" r:id="rId3506" xr:uid="{00000000-0004-0000-0000-0000B10D0000}"/>
    <hyperlink ref="Z877" r:id="rId3507" xr:uid="{00000000-0004-0000-0000-0000B20D0000}"/>
    <hyperlink ref="AA877" r:id="rId3508" xr:uid="{00000000-0004-0000-0000-0000B30D0000}"/>
    <hyperlink ref="AB877" r:id="rId3509" xr:uid="{00000000-0004-0000-0000-0000B40D0000}"/>
    <hyperlink ref="AC877" r:id="rId3510" xr:uid="{00000000-0004-0000-0000-0000B50D0000}"/>
    <hyperlink ref="B878" r:id="rId3511" xr:uid="{00000000-0004-0000-0000-0000B60D0000}"/>
    <hyperlink ref="D878" r:id="rId3512" xr:uid="{00000000-0004-0000-0000-0000B70D0000}"/>
    <hyperlink ref="E878" r:id="rId3513" xr:uid="{00000000-0004-0000-0000-0000B80D0000}"/>
    <hyperlink ref="V878" r:id="rId3514" xr:uid="{00000000-0004-0000-0000-0000B90D0000}"/>
    <hyperlink ref="W878" r:id="rId3515" xr:uid="{00000000-0004-0000-0000-0000BA0D0000}"/>
    <hyperlink ref="B879" r:id="rId3516" xr:uid="{00000000-0004-0000-0000-0000BB0D0000}"/>
    <hyperlink ref="D879" r:id="rId3517" xr:uid="{00000000-0004-0000-0000-0000BC0D0000}"/>
    <hyperlink ref="E879" r:id="rId3518" xr:uid="{00000000-0004-0000-0000-0000BD0D0000}"/>
    <hyperlink ref="V879" r:id="rId3519" xr:uid="{00000000-0004-0000-0000-0000BE0D0000}"/>
    <hyperlink ref="W879" r:id="rId3520" xr:uid="{00000000-0004-0000-0000-0000BF0D0000}"/>
    <hyperlink ref="X879" r:id="rId3521" xr:uid="{00000000-0004-0000-0000-0000C00D0000}"/>
    <hyperlink ref="Y879" r:id="rId3522" xr:uid="{00000000-0004-0000-0000-0000C10D0000}"/>
    <hyperlink ref="Z879" r:id="rId3523" xr:uid="{00000000-0004-0000-0000-0000C20D0000}"/>
    <hyperlink ref="AA879" r:id="rId3524" xr:uid="{00000000-0004-0000-0000-0000C30D0000}"/>
    <hyperlink ref="B880" r:id="rId3525" xr:uid="{00000000-0004-0000-0000-0000C40D0000}"/>
    <hyperlink ref="D880" r:id="rId3526" xr:uid="{00000000-0004-0000-0000-0000C50D0000}"/>
    <hyperlink ref="E880" r:id="rId3527" xr:uid="{00000000-0004-0000-0000-0000C60D0000}"/>
    <hyperlink ref="B881" r:id="rId3528" xr:uid="{00000000-0004-0000-0000-0000C70D0000}"/>
    <hyperlink ref="D881" r:id="rId3529" xr:uid="{00000000-0004-0000-0000-0000C80D0000}"/>
    <hyperlink ref="E881" r:id="rId3530" xr:uid="{00000000-0004-0000-0000-0000C90D0000}"/>
    <hyperlink ref="V881" r:id="rId3531" xr:uid="{00000000-0004-0000-0000-0000CA0D0000}"/>
    <hyperlink ref="W881" r:id="rId3532" xr:uid="{00000000-0004-0000-0000-0000CB0D0000}"/>
    <hyperlink ref="X881" r:id="rId3533" xr:uid="{00000000-0004-0000-0000-0000CC0D0000}"/>
    <hyperlink ref="Y881" r:id="rId3534" xr:uid="{00000000-0004-0000-0000-0000CD0D0000}"/>
    <hyperlink ref="Z881" r:id="rId3535" xr:uid="{00000000-0004-0000-0000-0000CE0D0000}"/>
    <hyperlink ref="AA881" r:id="rId3536" xr:uid="{00000000-0004-0000-0000-0000CF0D0000}"/>
    <hyperlink ref="AB881" r:id="rId3537" xr:uid="{00000000-0004-0000-0000-0000D00D0000}"/>
    <hyperlink ref="AC881" r:id="rId3538" xr:uid="{00000000-0004-0000-0000-0000D10D0000}"/>
    <hyperlink ref="B882" r:id="rId3539" xr:uid="{00000000-0004-0000-0000-0000D20D0000}"/>
    <hyperlink ref="D882" r:id="rId3540" xr:uid="{00000000-0004-0000-0000-0000D30D0000}"/>
    <hyperlink ref="E882" r:id="rId3541" xr:uid="{00000000-0004-0000-0000-0000D40D0000}"/>
    <hyperlink ref="V882" r:id="rId3542" xr:uid="{00000000-0004-0000-0000-0000D50D0000}"/>
    <hyperlink ref="W882" r:id="rId3543" xr:uid="{00000000-0004-0000-0000-0000D60D0000}"/>
    <hyperlink ref="X882" r:id="rId3544" xr:uid="{00000000-0004-0000-0000-0000D70D0000}"/>
    <hyperlink ref="Y882" r:id="rId3545" xr:uid="{00000000-0004-0000-0000-0000D80D0000}"/>
    <hyperlink ref="B883" r:id="rId3546" xr:uid="{00000000-0004-0000-0000-0000D90D0000}"/>
    <hyperlink ref="D883" r:id="rId3547" xr:uid="{00000000-0004-0000-0000-0000DA0D0000}"/>
    <hyperlink ref="E883" r:id="rId3548" xr:uid="{00000000-0004-0000-0000-0000DB0D0000}"/>
    <hyperlink ref="V883" r:id="rId3549" xr:uid="{00000000-0004-0000-0000-0000DC0D0000}"/>
    <hyperlink ref="W883" r:id="rId3550" xr:uid="{00000000-0004-0000-0000-0000DD0D0000}"/>
    <hyperlink ref="X883" r:id="rId3551" xr:uid="{00000000-0004-0000-0000-0000DE0D0000}"/>
    <hyperlink ref="Y883" r:id="rId3552" xr:uid="{00000000-0004-0000-0000-0000DF0D0000}"/>
    <hyperlink ref="B884" r:id="rId3553" xr:uid="{00000000-0004-0000-0000-0000E00D0000}"/>
    <hyperlink ref="D884" r:id="rId3554" xr:uid="{00000000-0004-0000-0000-0000E10D0000}"/>
    <hyperlink ref="E884" r:id="rId3555" xr:uid="{00000000-0004-0000-0000-0000E20D0000}"/>
    <hyperlink ref="V884" r:id="rId3556" xr:uid="{00000000-0004-0000-0000-0000E30D0000}"/>
    <hyperlink ref="W884" r:id="rId3557" xr:uid="{00000000-0004-0000-0000-0000E40D0000}"/>
    <hyperlink ref="X884" r:id="rId3558" xr:uid="{00000000-0004-0000-0000-0000E50D0000}"/>
    <hyperlink ref="Y884" r:id="rId3559" xr:uid="{00000000-0004-0000-0000-0000E60D0000}"/>
    <hyperlink ref="B885" r:id="rId3560" xr:uid="{00000000-0004-0000-0000-0000E70D0000}"/>
    <hyperlink ref="D885" r:id="rId3561" xr:uid="{00000000-0004-0000-0000-0000E80D0000}"/>
    <hyperlink ref="V885" r:id="rId3562" xr:uid="{00000000-0004-0000-0000-0000E90D0000}"/>
    <hyperlink ref="W885" r:id="rId3563" xr:uid="{00000000-0004-0000-0000-0000EA0D0000}"/>
    <hyperlink ref="X885" r:id="rId3564" xr:uid="{00000000-0004-0000-0000-0000EB0D0000}"/>
    <hyperlink ref="Y885" r:id="rId3565" xr:uid="{00000000-0004-0000-0000-0000EC0D0000}"/>
    <hyperlink ref="B886" r:id="rId3566" xr:uid="{00000000-0004-0000-0000-0000ED0D0000}"/>
    <hyperlink ref="D886" r:id="rId3567" xr:uid="{00000000-0004-0000-0000-0000EE0D0000}"/>
    <hyperlink ref="E886" r:id="rId3568" xr:uid="{00000000-0004-0000-0000-0000EF0D0000}"/>
    <hyperlink ref="V886" r:id="rId3569" xr:uid="{00000000-0004-0000-0000-0000F00D0000}"/>
    <hyperlink ref="W886" r:id="rId3570" xr:uid="{00000000-0004-0000-0000-0000F10D0000}"/>
    <hyperlink ref="B887" r:id="rId3571" xr:uid="{00000000-0004-0000-0000-0000F20D0000}"/>
    <hyperlink ref="D887" r:id="rId3572" xr:uid="{00000000-0004-0000-0000-0000F30D0000}"/>
    <hyperlink ref="E887" r:id="rId3573" xr:uid="{00000000-0004-0000-0000-0000F40D0000}"/>
    <hyperlink ref="V887" r:id="rId3574" xr:uid="{00000000-0004-0000-0000-0000F50D0000}"/>
    <hyperlink ref="W887" r:id="rId3575" xr:uid="{00000000-0004-0000-0000-0000F60D0000}"/>
    <hyperlink ref="X887" r:id="rId3576" xr:uid="{00000000-0004-0000-0000-0000F70D0000}"/>
    <hyperlink ref="Y887" r:id="rId3577" xr:uid="{00000000-0004-0000-0000-0000F80D0000}"/>
    <hyperlink ref="B888" r:id="rId3578" xr:uid="{00000000-0004-0000-0000-0000F90D0000}"/>
    <hyperlink ref="D888" r:id="rId3579" xr:uid="{00000000-0004-0000-0000-0000FA0D0000}"/>
    <hyperlink ref="E888" r:id="rId3580" xr:uid="{00000000-0004-0000-0000-0000FB0D0000}"/>
    <hyperlink ref="V888" r:id="rId3581" xr:uid="{00000000-0004-0000-0000-0000FC0D0000}"/>
    <hyperlink ref="W888" r:id="rId3582" xr:uid="{00000000-0004-0000-0000-0000FD0D0000}"/>
    <hyperlink ref="B889" r:id="rId3583" xr:uid="{00000000-0004-0000-0000-0000FE0D0000}"/>
    <hyperlink ref="D889" r:id="rId3584" xr:uid="{00000000-0004-0000-0000-0000FF0D0000}"/>
    <hyperlink ref="E889" r:id="rId3585" xr:uid="{00000000-0004-0000-0000-0000000E0000}"/>
    <hyperlink ref="B890" r:id="rId3586" xr:uid="{00000000-0004-0000-0000-0000010E0000}"/>
    <hyperlink ref="D890" r:id="rId3587" xr:uid="{00000000-0004-0000-0000-0000020E0000}"/>
    <hyperlink ref="E890" r:id="rId3588" xr:uid="{00000000-0004-0000-0000-0000030E0000}"/>
    <hyperlink ref="B891" r:id="rId3589" xr:uid="{00000000-0004-0000-0000-0000040E0000}"/>
    <hyperlink ref="D891" r:id="rId3590" xr:uid="{00000000-0004-0000-0000-0000050E0000}"/>
    <hyperlink ref="E891" r:id="rId3591" xr:uid="{00000000-0004-0000-0000-0000060E0000}"/>
    <hyperlink ref="B892" r:id="rId3592" xr:uid="{00000000-0004-0000-0000-0000070E0000}"/>
    <hyperlink ref="D892" r:id="rId3593" xr:uid="{00000000-0004-0000-0000-0000080E0000}"/>
    <hyperlink ref="E892" r:id="rId3594" xr:uid="{00000000-0004-0000-0000-0000090E0000}"/>
    <hyperlink ref="V892" r:id="rId3595" xr:uid="{00000000-0004-0000-0000-00000A0E0000}"/>
    <hyperlink ref="W892" r:id="rId3596" xr:uid="{00000000-0004-0000-0000-00000B0E0000}"/>
    <hyperlink ref="X892" r:id="rId3597" xr:uid="{00000000-0004-0000-0000-00000C0E0000}"/>
    <hyperlink ref="Y892" r:id="rId3598" xr:uid="{00000000-0004-0000-0000-00000D0E0000}"/>
    <hyperlink ref="B893" r:id="rId3599" xr:uid="{00000000-0004-0000-0000-00000E0E0000}"/>
    <hyperlink ref="D893" r:id="rId3600" xr:uid="{00000000-0004-0000-0000-00000F0E0000}"/>
    <hyperlink ref="E893" r:id="rId3601" xr:uid="{00000000-0004-0000-0000-0000100E0000}"/>
    <hyperlink ref="V893" r:id="rId3602" xr:uid="{00000000-0004-0000-0000-0000110E0000}"/>
    <hyperlink ref="W893" r:id="rId3603" xr:uid="{00000000-0004-0000-0000-0000120E0000}"/>
    <hyperlink ref="X893" r:id="rId3604" xr:uid="{00000000-0004-0000-0000-0000130E0000}"/>
    <hyperlink ref="Y893" r:id="rId3605" xr:uid="{00000000-0004-0000-0000-0000140E0000}"/>
    <hyperlink ref="Z893" r:id="rId3606" xr:uid="{00000000-0004-0000-0000-0000150E0000}"/>
    <hyperlink ref="AA893" r:id="rId3607" xr:uid="{00000000-0004-0000-0000-0000160E0000}"/>
    <hyperlink ref="AB893" r:id="rId3608" xr:uid="{00000000-0004-0000-0000-0000170E0000}"/>
    <hyperlink ref="AC893" r:id="rId3609" xr:uid="{00000000-0004-0000-0000-0000180E0000}"/>
    <hyperlink ref="B894" r:id="rId3610" xr:uid="{00000000-0004-0000-0000-0000190E0000}"/>
    <hyperlink ref="D894" r:id="rId3611" xr:uid="{00000000-0004-0000-0000-00001A0E0000}"/>
    <hyperlink ref="E894" r:id="rId3612" xr:uid="{00000000-0004-0000-0000-00001B0E0000}"/>
    <hyperlink ref="V894" r:id="rId3613" xr:uid="{00000000-0004-0000-0000-00001C0E0000}"/>
    <hyperlink ref="W894" r:id="rId3614" xr:uid="{00000000-0004-0000-0000-00001D0E0000}"/>
    <hyperlink ref="B895" r:id="rId3615" xr:uid="{00000000-0004-0000-0000-00001E0E0000}"/>
    <hyperlink ref="D895" r:id="rId3616" xr:uid="{00000000-0004-0000-0000-00001F0E0000}"/>
    <hyperlink ref="E895" r:id="rId3617" xr:uid="{00000000-0004-0000-0000-0000200E0000}"/>
    <hyperlink ref="B896" r:id="rId3618" xr:uid="{00000000-0004-0000-0000-0000210E0000}"/>
    <hyperlink ref="D896" r:id="rId3619" xr:uid="{00000000-0004-0000-0000-0000220E0000}"/>
    <hyperlink ref="E896" r:id="rId3620" xr:uid="{00000000-0004-0000-0000-0000230E0000}"/>
    <hyperlink ref="V896" r:id="rId3621" xr:uid="{00000000-0004-0000-0000-0000240E0000}"/>
    <hyperlink ref="W896" r:id="rId3622" xr:uid="{00000000-0004-0000-0000-0000250E0000}"/>
    <hyperlink ref="X896" r:id="rId3623" xr:uid="{00000000-0004-0000-0000-0000260E0000}"/>
    <hyperlink ref="Y896" r:id="rId3624" xr:uid="{00000000-0004-0000-0000-0000270E0000}"/>
    <hyperlink ref="Z896" r:id="rId3625" xr:uid="{00000000-0004-0000-0000-0000280E0000}"/>
    <hyperlink ref="AA896" r:id="rId3626" xr:uid="{00000000-0004-0000-0000-0000290E0000}"/>
    <hyperlink ref="AB896" r:id="rId3627" xr:uid="{00000000-0004-0000-0000-00002A0E0000}"/>
    <hyperlink ref="AC896" r:id="rId3628" xr:uid="{00000000-0004-0000-0000-00002B0E0000}"/>
    <hyperlink ref="AD896" r:id="rId3629" xr:uid="{00000000-0004-0000-0000-00002C0E0000}"/>
    <hyperlink ref="B897" r:id="rId3630" xr:uid="{00000000-0004-0000-0000-00002D0E0000}"/>
    <hyperlink ref="D897" r:id="rId3631" xr:uid="{00000000-0004-0000-0000-00002E0E0000}"/>
    <hyperlink ref="E897" r:id="rId3632" xr:uid="{00000000-0004-0000-0000-00002F0E0000}"/>
    <hyperlink ref="V897" r:id="rId3633" xr:uid="{00000000-0004-0000-0000-0000300E0000}"/>
    <hyperlink ref="W897" r:id="rId3634" xr:uid="{00000000-0004-0000-0000-0000310E0000}"/>
    <hyperlink ref="X897" r:id="rId3635" xr:uid="{00000000-0004-0000-0000-0000320E0000}"/>
    <hyperlink ref="Y897" r:id="rId3636" xr:uid="{00000000-0004-0000-0000-0000330E0000}"/>
    <hyperlink ref="B898" r:id="rId3637" xr:uid="{00000000-0004-0000-0000-0000340E0000}"/>
    <hyperlink ref="D898" r:id="rId3638" xr:uid="{00000000-0004-0000-0000-0000350E0000}"/>
    <hyperlink ref="E898" r:id="rId3639" xr:uid="{00000000-0004-0000-0000-0000360E0000}"/>
    <hyperlink ref="V898" r:id="rId3640" xr:uid="{00000000-0004-0000-0000-0000370E0000}"/>
    <hyperlink ref="W898" r:id="rId3641" xr:uid="{00000000-0004-0000-0000-0000380E0000}"/>
    <hyperlink ref="X898" r:id="rId3642" xr:uid="{00000000-0004-0000-0000-0000390E0000}"/>
    <hyperlink ref="Y898" r:id="rId3643" xr:uid="{00000000-0004-0000-0000-00003A0E0000}"/>
    <hyperlink ref="Z898" r:id="rId3644" xr:uid="{00000000-0004-0000-0000-00003B0E0000}"/>
    <hyperlink ref="AA898" r:id="rId3645" xr:uid="{00000000-0004-0000-0000-00003C0E0000}"/>
    <hyperlink ref="B899" r:id="rId3646" xr:uid="{00000000-0004-0000-0000-00003D0E0000}"/>
    <hyperlink ref="D899" r:id="rId3647" xr:uid="{00000000-0004-0000-0000-00003E0E0000}"/>
    <hyperlink ref="E899" r:id="rId3648" xr:uid="{00000000-0004-0000-0000-00003F0E0000}"/>
    <hyperlink ref="B900" r:id="rId3649" xr:uid="{00000000-0004-0000-0000-0000400E0000}"/>
    <hyperlink ref="D900" r:id="rId3650" xr:uid="{00000000-0004-0000-0000-0000410E0000}"/>
    <hyperlink ref="E900" r:id="rId3651" xr:uid="{00000000-0004-0000-0000-0000420E0000}"/>
    <hyperlink ref="V900" r:id="rId3652" xr:uid="{00000000-0004-0000-0000-0000430E0000}"/>
    <hyperlink ref="W900" r:id="rId3653" xr:uid="{00000000-0004-0000-0000-0000440E0000}"/>
    <hyperlink ref="X900" r:id="rId3654" xr:uid="{00000000-0004-0000-0000-0000450E0000}"/>
    <hyperlink ref="Y900" r:id="rId3655" xr:uid="{00000000-0004-0000-0000-0000460E0000}"/>
    <hyperlink ref="B901" r:id="rId3656" xr:uid="{00000000-0004-0000-0000-0000470E0000}"/>
    <hyperlink ref="D901" r:id="rId3657" xr:uid="{00000000-0004-0000-0000-0000480E0000}"/>
    <hyperlink ref="E901" r:id="rId3658" xr:uid="{00000000-0004-0000-0000-0000490E0000}"/>
    <hyperlink ref="V901" r:id="rId3659" xr:uid="{00000000-0004-0000-0000-00004A0E0000}"/>
    <hyperlink ref="W901" r:id="rId3660" xr:uid="{00000000-0004-0000-0000-00004B0E0000}"/>
    <hyperlink ref="B902" r:id="rId3661" xr:uid="{00000000-0004-0000-0000-00004C0E0000}"/>
    <hyperlink ref="D902" r:id="rId3662" xr:uid="{00000000-0004-0000-0000-00004D0E0000}"/>
    <hyperlink ref="E902" r:id="rId3663" xr:uid="{00000000-0004-0000-0000-00004E0E0000}"/>
    <hyperlink ref="V902" r:id="rId3664" xr:uid="{00000000-0004-0000-0000-00004F0E0000}"/>
    <hyperlink ref="W902" r:id="rId3665" xr:uid="{00000000-0004-0000-0000-0000500E0000}"/>
    <hyperlink ref="B903" r:id="rId3666" xr:uid="{00000000-0004-0000-0000-0000510E0000}"/>
    <hyperlink ref="D903" r:id="rId3667" xr:uid="{00000000-0004-0000-0000-0000520E0000}"/>
    <hyperlink ref="E903" r:id="rId3668" xr:uid="{00000000-0004-0000-0000-0000530E0000}"/>
    <hyperlink ref="V903" r:id="rId3669" xr:uid="{00000000-0004-0000-0000-0000540E0000}"/>
    <hyperlink ref="W903" r:id="rId3670" xr:uid="{00000000-0004-0000-0000-0000550E0000}"/>
    <hyperlink ref="X903" r:id="rId3671" xr:uid="{00000000-0004-0000-0000-0000560E0000}"/>
    <hyperlink ref="Y903" r:id="rId3672" xr:uid="{00000000-0004-0000-0000-0000570E0000}"/>
    <hyperlink ref="Z903" r:id="rId3673" xr:uid="{00000000-0004-0000-0000-0000580E0000}"/>
    <hyperlink ref="AA903" r:id="rId3674" xr:uid="{00000000-0004-0000-0000-0000590E0000}"/>
    <hyperlink ref="AB903" r:id="rId3675" xr:uid="{00000000-0004-0000-0000-00005A0E0000}"/>
    <hyperlink ref="AC903" r:id="rId3676" xr:uid="{00000000-0004-0000-0000-00005B0E0000}"/>
    <hyperlink ref="AD903" r:id="rId3677" xr:uid="{00000000-0004-0000-0000-00005C0E0000}"/>
    <hyperlink ref="B904" r:id="rId3678" xr:uid="{00000000-0004-0000-0000-00005D0E0000}"/>
    <hyperlink ref="D904" r:id="rId3679" xr:uid="{00000000-0004-0000-0000-00005E0E0000}"/>
    <hyperlink ref="E904" r:id="rId3680" xr:uid="{00000000-0004-0000-0000-00005F0E0000}"/>
    <hyperlink ref="V904" r:id="rId3681" xr:uid="{00000000-0004-0000-0000-0000600E0000}"/>
    <hyperlink ref="W904" r:id="rId3682" xr:uid="{00000000-0004-0000-0000-0000610E0000}"/>
    <hyperlink ref="B905" r:id="rId3683" xr:uid="{00000000-0004-0000-0000-0000620E0000}"/>
    <hyperlink ref="D905" r:id="rId3684" xr:uid="{00000000-0004-0000-0000-0000630E0000}"/>
    <hyperlink ref="E905" r:id="rId3685" xr:uid="{00000000-0004-0000-0000-0000640E0000}"/>
    <hyperlink ref="V905" r:id="rId3686" xr:uid="{00000000-0004-0000-0000-0000650E0000}"/>
    <hyperlink ref="W905" r:id="rId3687" xr:uid="{00000000-0004-0000-0000-0000660E0000}"/>
    <hyperlink ref="X905" r:id="rId3688" xr:uid="{00000000-0004-0000-0000-0000670E0000}"/>
    <hyperlink ref="Y905" r:id="rId3689" xr:uid="{00000000-0004-0000-0000-0000680E0000}"/>
    <hyperlink ref="B906" r:id="rId3690" xr:uid="{00000000-0004-0000-0000-0000690E0000}"/>
    <hyperlink ref="D906" r:id="rId3691" xr:uid="{00000000-0004-0000-0000-00006A0E0000}"/>
    <hyperlink ref="E906" r:id="rId3692" xr:uid="{00000000-0004-0000-0000-00006B0E0000}"/>
    <hyperlink ref="V906" r:id="rId3693" xr:uid="{00000000-0004-0000-0000-00006C0E0000}"/>
    <hyperlink ref="W906" r:id="rId3694" xr:uid="{00000000-0004-0000-0000-00006D0E0000}"/>
    <hyperlink ref="X906" r:id="rId3695" xr:uid="{00000000-0004-0000-0000-00006E0E0000}"/>
    <hyperlink ref="Y906" r:id="rId3696" xr:uid="{00000000-0004-0000-0000-00006F0E0000}"/>
    <hyperlink ref="Z906" r:id="rId3697" xr:uid="{00000000-0004-0000-0000-0000700E0000}"/>
    <hyperlink ref="AA906" r:id="rId3698" xr:uid="{00000000-0004-0000-0000-0000710E0000}"/>
    <hyperlink ref="AB906" r:id="rId3699" xr:uid="{00000000-0004-0000-0000-0000720E0000}"/>
    <hyperlink ref="AC906" r:id="rId3700" xr:uid="{00000000-0004-0000-0000-0000730E0000}"/>
    <hyperlink ref="AD906" r:id="rId3701" xr:uid="{00000000-0004-0000-0000-0000740E0000}"/>
    <hyperlink ref="B907" r:id="rId3702" xr:uid="{00000000-0004-0000-0000-0000750E0000}"/>
    <hyperlink ref="D907" r:id="rId3703" xr:uid="{00000000-0004-0000-0000-0000760E0000}"/>
    <hyperlink ref="E907" r:id="rId3704" xr:uid="{00000000-0004-0000-0000-0000770E0000}"/>
    <hyperlink ref="B908" r:id="rId3705" xr:uid="{00000000-0004-0000-0000-0000780E0000}"/>
    <hyperlink ref="D908" r:id="rId3706" xr:uid="{00000000-0004-0000-0000-0000790E0000}"/>
    <hyperlink ref="E908" r:id="rId3707" xr:uid="{00000000-0004-0000-0000-00007A0E0000}"/>
    <hyperlink ref="V908" r:id="rId3708" xr:uid="{00000000-0004-0000-0000-00007B0E0000}"/>
    <hyperlink ref="W908" r:id="rId3709" xr:uid="{00000000-0004-0000-0000-00007C0E0000}"/>
    <hyperlink ref="X908" r:id="rId3710" xr:uid="{00000000-0004-0000-0000-00007D0E0000}"/>
    <hyperlink ref="Y908" r:id="rId3711" xr:uid="{00000000-0004-0000-0000-00007E0E0000}"/>
    <hyperlink ref="B909" r:id="rId3712" xr:uid="{00000000-0004-0000-0000-00007F0E0000}"/>
    <hyperlink ref="D909" r:id="rId3713" xr:uid="{00000000-0004-0000-0000-0000800E0000}"/>
    <hyperlink ref="E909" r:id="rId3714" xr:uid="{00000000-0004-0000-0000-0000810E0000}"/>
    <hyperlink ref="B910" r:id="rId3715" xr:uid="{00000000-0004-0000-0000-0000820E0000}"/>
    <hyperlink ref="D910" r:id="rId3716" xr:uid="{00000000-0004-0000-0000-0000830E0000}"/>
    <hyperlink ref="E910" r:id="rId3717" xr:uid="{00000000-0004-0000-0000-0000840E0000}"/>
    <hyperlink ref="V910" r:id="rId3718" xr:uid="{00000000-0004-0000-0000-0000850E0000}"/>
    <hyperlink ref="W910" r:id="rId3719" xr:uid="{00000000-0004-0000-0000-0000860E0000}"/>
    <hyperlink ref="B911" r:id="rId3720" xr:uid="{00000000-0004-0000-0000-0000870E0000}"/>
    <hyperlink ref="D911" r:id="rId3721" xr:uid="{00000000-0004-0000-0000-0000880E0000}"/>
    <hyperlink ref="E911" r:id="rId3722" xr:uid="{00000000-0004-0000-0000-0000890E0000}"/>
    <hyperlink ref="V911" r:id="rId3723" xr:uid="{00000000-0004-0000-0000-00008A0E0000}"/>
    <hyperlink ref="W911" r:id="rId3724" xr:uid="{00000000-0004-0000-0000-00008B0E0000}"/>
    <hyperlink ref="X911" r:id="rId3725" xr:uid="{00000000-0004-0000-0000-00008C0E0000}"/>
    <hyperlink ref="Y911" r:id="rId3726" xr:uid="{00000000-0004-0000-0000-00008D0E0000}"/>
    <hyperlink ref="Z911" r:id="rId3727" xr:uid="{00000000-0004-0000-0000-00008E0E0000}"/>
    <hyperlink ref="AA911" r:id="rId3728" xr:uid="{00000000-0004-0000-0000-00008F0E0000}"/>
    <hyperlink ref="AB911" r:id="rId3729" xr:uid="{00000000-0004-0000-0000-0000900E0000}"/>
    <hyperlink ref="AC911" r:id="rId3730" xr:uid="{00000000-0004-0000-0000-0000910E0000}"/>
    <hyperlink ref="AD911" r:id="rId3731" xr:uid="{00000000-0004-0000-0000-0000920E0000}"/>
    <hyperlink ref="B912" r:id="rId3732" xr:uid="{00000000-0004-0000-0000-0000930E0000}"/>
    <hyperlink ref="D912" r:id="rId3733" xr:uid="{00000000-0004-0000-0000-0000940E0000}"/>
    <hyperlink ref="E912" r:id="rId3734" xr:uid="{00000000-0004-0000-0000-0000950E0000}"/>
    <hyperlink ref="V912" r:id="rId3735" xr:uid="{00000000-0004-0000-0000-0000960E0000}"/>
    <hyperlink ref="W912" r:id="rId3736" xr:uid="{00000000-0004-0000-0000-0000970E0000}"/>
    <hyperlink ref="X912" r:id="rId3737" xr:uid="{00000000-0004-0000-0000-0000980E0000}"/>
    <hyperlink ref="Y912" r:id="rId3738" xr:uid="{00000000-0004-0000-0000-0000990E0000}"/>
    <hyperlink ref="Z912" r:id="rId3739" xr:uid="{00000000-0004-0000-0000-00009A0E0000}"/>
    <hyperlink ref="AA912" r:id="rId3740" xr:uid="{00000000-0004-0000-0000-00009B0E0000}"/>
    <hyperlink ref="AB912" r:id="rId3741" xr:uid="{00000000-0004-0000-0000-00009C0E0000}"/>
    <hyperlink ref="AC912" r:id="rId3742" xr:uid="{00000000-0004-0000-0000-00009D0E0000}"/>
    <hyperlink ref="AD912" r:id="rId3743" xr:uid="{00000000-0004-0000-0000-00009E0E0000}"/>
    <hyperlink ref="B913" r:id="rId3744" xr:uid="{00000000-0004-0000-0000-00009F0E0000}"/>
    <hyperlink ref="D913" r:id="rId3745" xr:uid="{00000000-0004-0000-0000-0000A00E0000}"/>
    <hyperlink ref="E913" r:id="rId3746" xr:uid="{00000000-0004-0000-0000-0000A10E0000}"/>
    <hyperlink ref="V913" r:id="rId3747" xr:uid="{00000000-0004-0000-0000-0000A20E0000}"/>
    <hyperlink ref="W913" r:id="rId3748" xr:uid="{00000000-0004-0000-0000-0000A30E0000}"/>
    <hyperlink ref="X913" r:id="rId3749" xr:uid="{00000000-0004-0000-0000-0000A40E0000}"/>
    <hyperlink ref="Y913" r:id="rId3750" xr:uid="{00000000-0004-0000-0000-0000A50E0000}"/>
    <hyperlink ref="Z913" r:id="rId3751" xr:uid="{00000000-0004-0000-0000-0000A60E0000}"/>
    <hyperlink ref="AA913" r:id="rId3752" xr:uid="{00000000-0004-0000-0000-0000A70E0000}"/>
    <hyperlink ref="AB913" r:id="rId3753" xr:uid="{00000000-0004-0000-0000-0000A80E0000}"/>
    <hyperlink ref="AC913" r:id="rId3754" xr:uid="{00000000-0004-0000-0000-0000A90E0000}"/>
    <hyperlink ref="B914" r:id="rId3755" xr:uid="{00000000-0004-0000-0000-0000AA0E0000}"/>
    <hyperlink ref="D914" r:id="rId3756" xr:uid="{00000000-0004-0000-0000-0000AB0E0000}"/>
    <hyperlink ref="E914" r:id="rId3757" xr:uid="{00000000-0004-0000-0000-0000AC0E0000}"/>
    <hyperlink ref="V914" r:id="rId3758" xr:uid="{00000000-0004-0000-0000-0000AD0E0000}"/>
    <hyperlink ref="W914" r:id="rId3759" xr:uid="{00000000-0004-0000-0000-0000AE0E0000}"/>
    <hyperlink ref="B915" r:id="rId3760" xr:uid="{00000000-0004-0000-0000-0000AF0E0000}"/>
    <hyperlink ref="D915" r:id="rId3761" xr:uid="{00000000-0004-0000-0000-0000B00E0000}"/>
    <hyperlink ref="E915" r:id="rId3762" xr:uid="{00000000-0004-0000-0000-0000B10E0000}"/>
    <hyperlink ref="B916" r:id="rId3763" xr:uid="{00000000-0004-0000-0000-0000B20E0000}"/>
    <hyperlink ref="D916" r:id="rId3764" xr:uid="{00000000-0004-0000-0000-0000B30E0000}"/>
    <hyperlink ref="E916" r:id="rId3765" xr:uid="{00000000-0004-0000-0000-0000B40E0000}"/>
    <hyperlink ref="B917" r:id="rId3766" xr:uid="{00000000-0004-0000-0000-0000B50E0000}"/>
    <hyperlink ref="D917" r:id="rId3767" xr:uid="{00000000-0004-0000-0000-0000B60E0000}"/>
    <hyperlink ref="E917" r:id="rId3768" xr:uid="{00000000-0004-0000-0000-0000B70E0000}"/>
    <hyperlink ref="V917" r:id="rId3769" xr:uid="{00000000-0004-0000-0000-0000B80E0000}"/>
    <hyperlink ref="W917" r:id="rId3770" xr:uid="{00000000-0004-0000-0000-0000B90E0000}"/>
    <hyperlink ref="X917" r:id="rId3771" xr:uid="{00000000-0004-0000-0000-0000BA0E0000}"/>
    <hyperlink ref="Y917" r:id="rId3772" xr:uid="{00000000-0004-0000-0000-0000BB0E0000}"/>
    <hyperlink ref="B918" r:id="rId3773" xr:uid="{00000000-0004-0000-0000-0000BC0E0000}"/>
    <hyperlink ref="D918" r:id="rId3774" xr:uid="{00000000-0004-0000-0000-0000BD0E0000}"/>
    <hyperlink ref="E918" r:id="rId3775" xr:uid="{00000000-0004-0000-0000-0000BE0E0000}"/>
    <hyperlink ref="V918" r:id="rId3776" xr:uid="{00000000-0004-0000-0000-0000BF0E0000}"/>
    <hyperlink ref="W918" r:id="rId3777" xr:uid="{00000000-0004-0000-0000-0000C00E0000}"/>
    <hyperlink ref="X918" r:id="rId3778" xr:uid="{00000000-0004-0000-0000-0000C10E0000}"/>
    <hyperlink ref="Y918" r:id="rId3779" xr:uid="{00000000-0004-0000-0000-0000C20E0000}"/>
    <hyperlink ref="Z918" r:id="rId3780" xr:uid="{00000000-0004-0000-0000-0000C30E0000}"/>
    <hyperlink ref="AA918" r:id="rId3781" xr:uid="{00000000-0004-0000-0000-0000C40E0000}"/>
    <hyperlink ref="AB918" r:id="rId3782" xr:uid="{00000000-0004-0000-0000-0000C50E0000}"/>
    <hyperlink ref="AC918" r:id="rId3783" xr:uid="{00000000-0004-0000-0000-0000C60E0000}"/>
    <hyperlink ref="AD918" r:id="rId3784" xr:uid="{00000000-0004-0000-0000-0000C70E0000}"/>
    <hyperlink ref="B919" r:id="rId3785" xr:uid="{00000000-0004-0000-0000-0000C80E0000}"/>
    <hyperlink ref="D919" r:id="rId3786" xr:uid="{00000000-0004-0000-0000-0000C90E0000}"/>
    <hyperlink ref="E919" r:id="rId3787" xr:uid="{00000000-0004-0000-0000-0000CA0E0000}"/>
    <hyperlink ref="V919" r:id="rId3788" xr:uid="{00000000-0004-0000-0000-0000CB0E0000}"/>
    <hyperlink ref="W919" r:id="rId3789" xr:uid="{00000000-0004-0000-0000-0000CC0E0000}"/>
    <hyperlink ref="B920" r:id="rId3790" xr:uid="{00000000-0004-0000-0000-0000CD0E0000}"/>
    <hyperlink ref="D920" r:id="rId3791" xr:uid="{00000000-0004-0000-0000-0000CE0E0000}"/>
    <hyperlink ref="E920" r:id="rId3792" xr:uid="{00000000-0004-0000-0000-0000CF0E0000}"/>
    <hyperlink ref="V920" r:id="rId3793" xr:uid="{00000000-0004-0000-0000-0000D00E0000}"/>
    <hyperlink ref="W920" r:id="rId3794" xr:uid="{00000000-0004-0000-0000-0000D10E0000}"/>
    <hyperlink ref="B921" r:id="rId3795" xr:uid="{00000000-0004-0000-0000-0000D20E0000}"/>
    <hyperlink ref="D921" r:id="rId3796" xr:uid="{00000000-0004-0000-0000-0000D30E0000}"/>
    <hyperlink ref="E921" r:id="rId3797" xr:uid="{00000000-0004-0000-0000-0000D40E0000}"/>
    <hyperlink ref="V921" r:id="rId3798" xr:uid="{00000000-0004-0000-0000-0000D50E0000}"/>
    <hyperlink ref="W921" r:id="rId3799" xr:uid="{00000000-0004-0000-0000-0000D60E0000}"/>
    <hyperlink ref="B922" r:id="rId3800" xr:uid="{00000000-0004-0000-0000-0000D70E0000}"/>
    <hyperlink ref="D922" r:id="rId3801" xr:uid="{00000000-0004-0000-0000-0000D80E0000}"/>
    <hyperlink ref="E922" r:id="rId3802" xr:uid="{00000000-0004-0000-0000-0000D90E0000}"/>
    <hyperlink ref="V922" r:id="rId3803" xr:uid="{00000000-0004-0000-0000-0000DA0E0000}"/>
    <hyperlink ref="W922" r:id="rId3804" xr:uid="{00000000-0004-0000-0000-0000DB0E0000}"/>
    <hyperlink ref="B923" r:id="rId3805" xr:uid="{00000000-0004-0000-0000-0000DC0E0000}"/>
    <hyperlink ref="D923" r:id="rId3806" xr:uid="{00000000-0004-0000-0000-0000DD0E0000}"/>
    <hyperlink ref="E923" r:id="rId3807" xr:uid="{00000000-0004-0000-0000-0000DE0E0000}"/>
    <hyperlink ref="V923" r:id="rId3808" xr:uid="{00000000-0004-0000-0000-0000DF0E0000}"/>
    <hyperlink ref="W923" r:id="rId3809" xr:uid="{00000000-0004-0000-0000-0000E00E0000}"/>
    <hyperlink ref="X923" r:id="rId3810" xr:uid="{00000000-0004-0000-0000-0000E10E0000}"/>
    <hyperlink ref="Y923" r:id="rId3811" xr:uid="{00000000-0004-0000-0000-0000E20E0000}"/>
    <hyperlink ref="Z923" r:id="rId3812" xr:uid="{00000000-0004-0000-0000-0000E30E0000}"/>
    <hyperlink ref="AA923" r:id="rId3813" xr:uid="{00000000-0004-0000-0000-0000E40E0000}"/>
    <hyperlink ref="B924" r:id="rId3814" xr:uid="{00000000-0004-0000-0000-0000E50E0000}"/>
    <hyperlink ref="D924" r:id="rId3815" xr:uid="{00000000-0004-0000-0000-0000E60E0000}"/>
    <hyperlink ref="E924" r:id="rId3816" xr:uid="{00000000-0004-0000-0000-0000E70E0000}"/>
    <hyperlink ref="B925" r:id="rId3817" xr:uid="{00000000-0004-0000-0000-0000E80E0000}"/>
    <hyperlink ref="D925" r:id="rId3818" xr:uid="{00000000-0004-0000-0000-0000E90E0000}"/>
    <hyperlink ref="E925" r:id="rId3819" xr:uid="{00000000-0004-0000-0000-0000EA0E0000}"/>
    <hyperlink ref="V925" r:id="rId3820" xr:uid="{00000000-0004-0000-0000-0000EB0E0000}"/>
    <hyperlink ref="W925" r:id="rId3821" xr:uid="{00000000-0004-0000-0000-0000EC0E0000}"/>
    <hyperlink ref="B926" r:id="rId3822" xr:uid="{00000000-0004-0000-0000-0000ED0E0000}"/>
    <hyperlink ref="D926" r:id="rId3823" xr:uid="{00000000-0004-0000-0000-0000EE0E0000}"/>
    <hyperlink ref="E926" r:id="rId3824" xr:uid="{00000000-0004-0000-0000-0000EF0E0000}"/>
    <hyperlink ref="B927" r:id="rId3825" xr:uid="{00000000-0004-0000-0000-0000F00E0000}"/>
    <hyperlink ref="D927" r:id="rId3826" xr:uid="{00000000-0004-0000-0000-0000F10E0000}"/>
    <hyperlink ref="E927" r:id="rId3827" xr:uid="{00000000-0004-0000-0000-0000F20E0000}"/>
    <hyperlink ref="V927" r:id="rId3828" xr:uid="{00000000-0004-0000-0000-0000F30E0000}"/>
    <hyperlink ref="W927" r:id="rId3829" xr:uid="{00000000-0004-0000-0000-0000F40E0000}"/>
    <hyperlink ref="B928" r:id="rId3830" xr:uid="{00000000-0004-0000-0000-0000F50E0000}"/>
    <hyperlink ref="D928" r:id="rId3831" xr:uid="{00000000-0004-0000-0000-0000F60E0000}"/>
    <hyperlink ref="B929" r:id="rId3832" xr:uid="{00000000-0004-0000-0000-0000F70E0000}"/>
    <hyperlink ref="D929" r:id="rId3833" xr:uid="{00000000-0004-0000-0000-0000F80E0000}"/>
    <hyperlink ref="E929" r:id="rId3834" xr:uid="{00000000-0004-0000-0000-0000F90E0000}"/>
    <hyperlink ref="V929" r:id="rId3835" xr:uid="{00000000-0004-0000-0000-0000FA0E0000}"/>
    <hyperlink ref="W929" r:id="rId3836" xr:uid="{00000000-0004-0000-0000-0000FB0E0000}"/>
    <hyperlink ref="B930" r:id="rId3837" xr:uid="{00000000-0004-0000-0000-0000FC0E0000}"/>
    <hyperlink ref="D930" r:id="rId3838" xr:uid="{00000000-0004-0000-0000-0000FD0E0000}"/>
    <hyperlink ref="E930" r:id="rId3839" xr:uid="{00000000-0004-0000-0000-0000FE0E0000}"/>
    <hyperlink ref="B931" r:id="rId3840" xr:uid="{00000000-0004-0000-0000-0000FF0E0000}"/>
    <hyperlink ref="D931" r:id="rId3841" xr:uid="{00000000-0004-0000-0000-0000000F0000}"/>
    <hyperlink ref="E931" r:id="rId3842" xr:uid="{00000000-0004-0000-0000-0000010F0000}"/>
    <hyperlink ref="B932" r:id="rId3843" xr:uid="{00000000-0004-0000-0000-0000020F0000}"/>
    <hyperlink ref="D932" r:id="rId3844" xr:uid="{00000000-0004-0000-0000-0000030F0000}"/>
    <hyperlink ref="V932" r:id="rId3845" xr:uid="{00000000-0004-0000-0000-0000040F0000}"/>
    <hyperlink ref="W932" r:id="rId3846" xr:uid="{00000000-0004-0000-0000-0000050F0000}"/>
    <hyperlink ref="B933" r:id="rId3847" xr:uid="{00000000-0004-0000-0000-0000060F0000}"/>
    <hyperlink ref="D933" r:id="rId3848" xr:uid="{00000000-0004-0000-0000-0000070F0000}"/>
    <hyperlink ref="E933" r:id="rId3849" xr:uid="{00000000-0004-0000-0000-0000080F0000}"/>
    <hyperlink ref="V933" r:id="rId3850" xr:uid="{00000000-0004-0000-0000-0000090F0000}"/>
    <hyperlink ref="W933" r:id="rId3851" xr:uid="{00000000-0004-0000-0000-00000A0F0000}"/>
    <hyperlink ref="X933" r:id="rId3852" xr:uid="{00000000-0004-0000-0000-00000B0F0000}"/>
    <hyperlink ref="Y933" r:id="rId3853" xr:uid="{00000000-0004-0000-0000-00000C0F0000}"/>
    <hyperlink ref="B934" r:id="rId3854" xr:uid="{00000000-0004-0000-0000-00000D0F0000}"/>
    <hyperlink ref="D934" r:id="rId3855" xr:uid="{00000000-0004-0000-0000-00000E0F0000}"/>
    <hyperlink ref="E934" r:id="rId3856" xr:uid="{00000000-0004-0000-0000-00000F0F0000}"/>
    <hyperlink ref="V934" r:id="rId3857" xr:uid="{00000000-0004-0000-0000-0000100F0000}"/>
    <hyperlink ref="W934" r:id="rId3858" xr:uid="{00000000-0004-0000-0000-0000110F0000}"/>
    <hyperlink ref="B935" r:id="rId3859" xr:uid="{00000000-0004-0000-0000-0000120F0000}"/>
    <hyperlink ref="D935" r:id="rId3860" xr:uid="{00000000-0004-0000-0000-0000130F0000}"/>
    <hyperlink ref="E935" r:id="rId3861" xr:uid="{00000000-0004-0000-0000-0000140F0000}"/>
    <hyperlink ref="V935" r:id="rId3862" xr:uid="{00000000-0004-0000-0000-0000150F0000}"/>
    <hyperlink ref="W935" r:id="rId3863" xr:uid="{00000000-0004-0000-0000-0000160F0000}"/>
    <hyperlink ref="X935" r:id="rId3864" xr:uid="{00000000-0004-0000-0000-0000170F0000}"/>
    <hyperlink ref="Y935" r:id="rId3865" xr:uid="{00000000-0004-0000-0000-0000180F0000}"/>
    <hyperlink ref="Z935" r:id="rId3866" xr:uid="{00000000-0004-0000-0000-0000190F0000}"/>
    <hyperlink ref="AA935" r:id="rId3867" xr:uid="{00000000-0004-0000-0000-00001A0F0000}"/>
    <hyperlink ref="AB935" r:id="rId3868" xr:uid="{00000000-0004-0000-0000-00001B0F0000}"/>
    <hyperlink ref="AC935" r:id="rId3869" xr:uid="{00000000-0004-0000-0000-00001C0F0000}"/>
    <hyperlink ref="B936" r:id="rId3870" xr:uid="{00000000-0004-0000-0000-00001D0F0000}"/>
    <hyperlink ref="D936" r:id="rId3871" xr:uid="{00000000-0004-0000-0000-00001E0F0000}"/>
    <hyperlink ref="E936" r:id="rId3872" xr:uid="{00000000-0004-0000-0000-00001F0F0000}"/>
    <hyperlink ref="B937" r:id="rId3873" xr:uid="{00000000-0004-0000-0000-0000200F0000}"/>
    <hyperlink ref="D937" r:id="rId3874" xr:uid="{00000000-0004-0000-0000-0000210F0000}"/>
    <hyperlink ref="E937" r:id="rId3875" xr:uid="{00000000-0004-0000-0000-0000220F0000}"/>
    <hyperlink ref="V937" r:id="rId3876" xr:uid="{00000000-0004-0000-0000-0000230F0000}"/>
    <hyperlink ref="W937" r:id="rId3877" xr:uid="{00000000-0004-0000-0000-0000240F0000}"/>
    <hyperlink ref="X937" r:id="rId3878" xr:uid="{00000000-0004-0000-0000-0000250F0000}"/>
    <hyperlink ref="Y937" r:id="rId3879" xr:uid="{00000000-0004-0000-0000-0000260F0000}"/>
    <hyperlink ref="Z937" r:id="rId3880" xr:uid="{00000000-0004-0000-0000-0000270F0000}"/>
    <hyperlink ref="AA937" r:id="rId3881" xr:uid="{00000000-0004-0000-0000-0000280F0000}"/>
    <hyperlink ref="AB937" r:id="rId3882" xr:uid="{00000000-0004-0000-0000-0000290F0000}"/>
    <hyperlink ref="AC937" r:id="rId3883" xr:uid="{00000000-0004-0000-0000-00002A0F0000}"/>
    <hyperlink ref="AD937" r:id="rId3884" xr:uid="{00000000-0004-0000-0000-00002B0F0000}"/>
    <hyperlink ref="B938" r:id="rId3885" xr:uid="{00000000-0004-0000-0000-00002C0F0000}"/>
    <hyperlink ref="D938" r:id="rId3886" xr:uid="{00000000-0004-0000-0000-00002D0F0000}"/>
    <hyperlink ref="E938" r:id="rId3887" xr:uid="{00000000-0004-0000-0000-00002E0F0000}"/>
    <hyperlink ref="V938" r:id="rId3888" xr:uid="{00000000-0004-0000-0000-00002F0F0000}"/>
    <hyperlink ref="W938" r:id="rId3889" xr:uid="{00000000-0004-0000-0000-0000300F0000}"/>
    <hyperlink ref="X938" r:id="rId3890" xr:uid="{00000000-0004-0000-0000-0000310F0000}"/>
    <hyperlink ref="Y938" r:id="rId3891" xr:uid="{00000000-0004-0000-0000-0000320F0000}"/>
    <hyperlink ref="Z938" r:id="rId3892" xr:uid="{00000000-0004-0000-0000-0000330F0000}"/>
    <hyperlink ref="AA938" r:id="rId3893" xr:uid="{00000000-0004-0000-0000-0000340F0000}"/>
    <hyperlink ref="B939" r:id="rId3894" xr:uid="{00000000-0004-0000-0000-0000350F0000}"/>
    <hyperlink ref="D939" r:id="rId3895" xr:uid="{00000000-0004-0000-0000-0000360F0000}"/>
    <hyperlink ref="E939" r:id="rId3896" xr:uid="{00000000-0004-0000-0000-0000370F0000}"/>
    <hyperlink ref="V939" r:id="rId3897" xr:uid="{00000000-0004-0000-0000-0000380F0000}"/>
    <hyperlink ref="W939" r:id="rId3898" xr:uid="{00000000-0004-0000-0000-0000390F0000}"/>
    <hyperlink ref="B940" r:id="rId3899" xr:uid="{00000000-0004-0000-0000-00003A0F0000}"/>
    <hyperlink ref="D940" r:id="rId3900" xr:uid="{00000000-0004-0000-0000-00003B0F0000}"/>
    <hyperlink ref="E940" r:id="rId3901" xr:uid="{00000000-0004-0000-0000-00003C0F0000}"/>
    <hyperlink ref="V940" r:id="rId3902" xr:uid="{00000000-0004-0000-0000-00003D0F0000}"/>
    <hyperlink ref="W940" r:id="rId3903" xr:uid="{00000000-0004-0000-0000-00003E0F0000}"/>
    <hyperlink ref="B941" r:id="rId3904" xr:uid="{00000000-0004-0000-0000-00003F0F0000}"/>
    <hyperlink ref="D941" r:id="rId3905" xr:uid="{00000000-0004-0000-0000-0000400F0000}"/>
    <hyperlink ref="E941" r:id="rId3906" xr:uid="{00000000-0004-0000-0000-0000410F0000}"/>
    <hyperlink ref="V941" r:id="rId3907" xr:uid="{00000000-0004-0000-0000-0000420F0000}"/>
    <hyperlink ref="W941" r:id="rId3908" xr:uid="{00000000-0004-0000-0000-0000430F0000}"/>
    <hyperlink ref="B942" r:id="rId3909" xr:uid="{00000000-0004-0000-0000-0000440F0000}"/>
    <hyperlink ref="D942" r:id="rId3910" xr:uid="{00000000-0004-0000-0000-0000450F0000}"/>
    <hyperlink ref="E942" r:id="rId3911" xr:uid="{00000000-0004-0000-0000-0000460F0000}"/>
    <hyperlink ref="V942" r:id="rId3912" xr:uid="{00000000-0004-0000-0000-0000470F0000}"/>
    <hyperlink ref="W942" r:id="rId3913" xr:uid="{00000000-0004-0000-0000-0000480F0000}"/>
    <hyperlink ref="B943" r:id="rId3914" xr:uid="{00000000-0004-0000-0000-0000490F0000}"/>
    <hyperlink ref="D943" r:id="rId3915" xr:uid="{00000000-0004-0000-0000-00004A0F0000}"/>
    <hyperlink ref="E943" r:id="rId3916" xr:uid="{00000000-0004-0000-0000-00004B0F0000}"/>
    <hyperlink ref="B944" r:id="rId3917" xr:uid="{00000000-0004-0000-0000-00004C0F0000}"/>
    <hyperlink ref="D944" r:id="rId3918" xr:uid="{00000000-0004-0000-0000-00004D0F0000}"/>
    <hyperlink ref="E944" r:id="rId3919" xr:uid="{00000000-0004-0000-0000-00004E0F0000}"/>
    <hyperlink ref="V944" r:id="rId3920" xr:uid="{00000000-0004-0000-0000-00004F0F0000}"/>
    <hyperlink ref="W944" r:id="rId3921" xr:uid="{00000000-0004-0000-0000-0000500F0000}"/>
    <hyperlink ref="B945" r:id="rId3922" xr:uid="{00000000-0004-0000-0000-0000510F0000}"/>
    <hyperlink ref="D945" r:id="rId3923" xr:uid="{00000000-0004-0000-0000-0000520F0000}"/>
    <hyperlink ref="E945" r:id="rId3924" xr:uid="{00000000-0004-0000-0000-0000530F0000}"/>
    <hyperlink ref="V945" r:id="rId3925" xr:uid="{00000000-0004-0000-0000-0000540F0000}"/>
    <hyperlink ref="W945" r:id="rId3926" xr:uid="{00000000-0004-0000-0000-0000550F0000}"/>
    <hyperlink ref="X945" r:id="rId3927" xr:uid="{00000000-0004-0000-0000-0000560F0000}"/>
    <hyperlink ref="Y945" r:id="rId3928" xr:uid="{00000000-0004-0000-0000-0000570F0000}"/>
    <hyperlink ref="B946" r:id="rId3929" xr:uid="{00000000-0004-0000-0000-0000580F0000}"/>
    <hyperlink ref="D946" r:id="rId3930" xr:uid="{00000000-0004-0000-0000-0000590F0000}"/>
    <hyperlink ref="E946" r:id="rId3931" xr:uid="{00000000-0004-0000-0000-00005A0F0000}"/>
    <hyperlink ref="V946" r:id="rId3932" xr:uid="{00000000-0004-0000-0000-00005B0F0000}"/>
    <hyperlink ref="W946" r:id="rId3933" xr:uid="{00000000-0004-0000-0000-00005C0F0000}"/>
    <hyperlink ref="X946" r:id="rId3934" xr:uid="{00000000-0004-0000-0000-00005D0F0000}"/>
    <hyperlink ref="Y946" r:id="rId3935" xr:uid="{00000000-0004-0000-0000-00005E0F0000}"/>
    <hyperlink ref="B947" r:id="rId3936" xr:uid="{00000000-0004-0000-0000-00005F0F0000}"/>
    <hyperlink ref="D947" r:id="rId3937" xr:uid="{00000000-0004-0000-0000-0000600F0000}"/>
    <hyperlink ref="E947" r:id="rId3938" xr:uid="{00000000-0004-0000-0000-0000610F0000}"/>
    <hyperlink ref="B948" r:id="rId3939" xr:uid="{00000000-0004-0000-0000-0000620F0000}"/>
    <hyperlink ref="D948" r:id="rId3940" xr:uid="{00000000-0004-0000-0000-0000630F0000}"/>
    <hyperlink ref="E948" r:id="rId3941" xr:uid="{00000000-0004-0000-0000-0000640F0000}"/>
    <hyperlink ref="B949" r:id="rId3942" xr:uid="{00000000-0004-0000-0000-0000650F0000}"/>
    <hyperlink ref="D949" r:id="rId3943" xr:uid="{00000000-0004-0000-0000-0000660F0000}"/>
    <hyperlink ref="E949" r:id="rId3944" xr:uid="{00000000-0004-0000-0000-0000670F0000}"/>
    <hyperlink ref="V949" r:id="rId3945" xr:uid="{00000000-0004-0000-0000-0000680F0000}"/>
    <hyperlink ref="W949" r:id="rId3946" xr:uid="{00000000-0004-0000-0000-0000690F0000}"/>
    <hyperlink ref="X949" r:id="rId3947" xr:uid="{00000000-0004-0000-0000-00006A0F0000}"/>
    <hyperlink ref="Y949" r:id="rId3948" xr:uid="{00000000-0004-0000-0000-00006B0F0000}"/>
    <hyperlink ref="Z949" r:id="rId3949" xr:uid="{00000000-0004-0000-0000-00006C0F0000}"/>
    <hyperlink ref="AA949" r:id="rId3950" xr:uid="{00000000-0004-0000-0000-00006D0F0000}"/>
    <hyperlink ref="AB949" r:id="rId3951" xr:uid="{00000000-0004-0000-0000-00006E0F0000}"/>
    <hyperlink ref="AC949" r:id="rId3952" xr:uid="{00000000-0004-0000-0000-00006F0F0000}"/>
    <hyperlink ref="AD949" r:id="rId3953" xr:uid="{00000000-0004-0000-0000-0000700F0000}"/>
    <hyperlink ref="B950" r:id="rId3954" xr:uid="{00000000-0004-0000-0000-0000710F0000}"/>
    <hyperlink ref="D950" r:id="rId3955" xr:uid="{00000000-0004-0000-0000-0000720F0000}"/>
    <hyperlink ref="E950" r:id="rId3956" xr:uid="{00000000-0004-0000-0000-0000730F0000}"/>
    <hyperlink ref="V950" r:id="rId3957" xr:uid="{00000000-0004-0000-0000-0000740F0000}"/>
    <hyperlink ref="W950" r:id="rId3958" xr:uid="{00000000-0004-0000-0000-0000750F0000}"/>
    <hyperlink ref="X950" r:id="rId3959" xr:uid="{00000000-0004-0000-0000-0000760F0000}"/>
    <hyperlink ref="Y950" r:id="rId3960" xr:uid="{00000000-0004-0000-0000-0000770F0000}"/>
    <hyperlink ref="Z950" r:id="rId3961" xr:uid="{00000000-0004-0000-0000-0000780F0000}"/>
    <hyperlink ref="AA950" r:id="rId3962" xr:uid="{00000000-0004-0000-0000-0000790F0000}"/>
    <hyperlink ref="B951" r:id="rId3963" xr:uid="{00000000-0004-0000-0000-00007A0F0000}"/>
    <hyperlink ref="D951" r:id="rId3964" xr:uid="{00000000-0004-0000-0000-00007B0F0000}"/>
    <hyperlink ref="E951" r:id="rId3965" xr:uid="{00000000-0004-0000-0000-00007C0F0000}"/>
    <hyperlink ref="B952" r:id="rId3966" xr:uid="{00000000-0004-0000-0000-00007D0F0000}"/>
    <hyperlink ref="D952" r:id="rId3967" xr:uid="{00000000-0004-0000-0000-00007E0F0000}"/>
    <hyperlink ref="E952" r:id="rId3968" xr:uid="{00000000-0004-0000-0000-00007F0F0000}"/>
    <hyperlink ref="V952" r:id="rId3969" xr:uid="{00000000-0004-0000-0000-0000800F0000}"/>
    <hyperlink ref="W952" r:id="rId3970" xr:uid="{00000000-0004-0000-0000-0000810F0000}"/>
    <hyperlink ref="X952" r:id="rId3971" xr:uid="{00000000-0004-0000-0000-0000820F0000}"/>
    <hyperlink ref="Y952" r:id="rId3972" xr:uid="{00000000-0004-0000-0000-0000830F0000}"/>
    <hyperlink ref="B953" r:id="rId3973" xr:uid="{00000000-0004-0000-0000-0000840F0000}"/>
    <hyperlink ref="D953" r:id="rId3974" xr:uid="{00000000-0004-0000-0000-0000850F0000}"/>
    <hyperlink ref="E953" r:id="rId3975" xr:uid="{00000000-0004-0000-0000-0000860F0000}"/>
    <hyperlink ref="B954" r:id="rId3976" xr:uid="{00000000-0004-0000-0000-0000870F0000}"/>
    <hyperlink ref="D954" r:id="rId3977" xr:uid="{00000000-0004-0000-0000-0000880F0000}"/>
    <hyperlink ref="E954" r:id="rId3978" xr:uid="{00000000-0004-0000-0000-0000890F0000}"/>
    <hyperlink ref="V954" r:id="rId3979" xr:uid="{00000000-0004-0000-0000-00008A0F0000}"/>
    <hyperlink ref="W954" r:id="rId3980" xr:uid="{00000000-0004-0000-0000-00008B0F0000}"/>
    <hyperlink ref="X954" r:id="rId3981" xr:uid="{00000000-0004-0000-0000-00008C0F0000}"/>
    <hyperlink ref="Y954" r:id="rId3982" xr:uid="{00000000-0004-0000-0000-00008D0F0000}"/>
    <hyperlink ref="B955" r:id="rId3983" xr:uid="{00000000-0004-0000-0000-00008E0F0000}"/>
    <hyperlink ref="D955" r:id="rId3984" xr:uid="{00000000-0004-0000-0000-00008F0F0000}"/>
    <hyperlink ref="E955" r:id="rId3985" xr:uid="{00000000-0004-0000-0000-0000900F0000}"/>
    <hyperlink ref="V955" r:id="rId3986" xr:uid="{00000000-0004-0000-0000-0000910F0000}"/>
    <hyperlink ref="W955" r:id="rId3987" xr:uid="{00000000-0004-0000-0000-0000920F0000}"/>
    <hyperlink ref="B956" r:id="rId3988" xr:uid="{00000000-0004-0000-0000-0000930F0000}"/>
    <hyperlink ref="D956" r:id="rId3989" xr:uid="{00000000-0004-0000-0000-0000940F0000}"/>
    <hyperlink ref="E956" r:id="rId3990" xr:uid="{00000000-0004-0000-0000-0000950F0000}"/>
    <hyperlink ref="V956" r:id="rId3991" xr:uid="{00000000-0004-0000-0000-0000960F0000}"/>
    <hyperlink ref="W956" r:id="rId3992" xr:uid="{00000000-0004-0000-0000-0000970F0000}"/>
    <hyperlink ref="X956" r:id="rId3993" xr:uid="{00000000-0004-0000-0000-0000980F0000}"/>
    <hyperlink ref="Y956" r:id="rId3994" xr:uid="{00000000-0004-0000-0000-0000990F0000}"/>
    <hyperlink ref="B957" r:id="rId3995" xr:uid="{00000000-0004-0000-0000-00009A0F0000}"/>
    <hyperlink ref="D957" r:id="rId3996" xr:uid="{00000000-0004-0000-0000-00009B0F0000}"/>
    <hyperlink ref="E957" r:id="rId3997" xr:uid="{00000000-0004-0000-0000-00009C0F0000}"/>
    <hyperlink ref="V957" r:id="rId3998" xr:uid="{00000000-0004-0000-0000-00009D0F0000}"/>
    <hyperlink ref="W957" r:id="rId3999" xr:uid="{00000000-0004-0000-0000-00009E0F0000}"/>
    <hyperlink ref="B958" r:id="rId4000" xr:uid="{00000000-0004-0000-0000-00009F0F0000}"/>
    <hyperlink ref="D958" r:id="rId4001" xr:uid="{00000000-0004-0000-0000-0000A00F0000}"/>
    <hyperlink ref="E958" r:id="rId4002" xr:uid="{00000000-0004-0000-0000-0000A10F0000}"/>
    <hyperlink ref="V958" r:id="rId4003" xr:uid="{00000000-0004-0000-0000-0000A20F0000}"/>
    <hyperlink ref="W958" r:id="rId4004" xr:uid="{00000000-0004-0000-0000-0000A30F0000}"/>
    <hyperlink ref="B959" r:id="rId4005" xr:uid="{00000000-0004-0000-0000-0000A40F0000}"/>
    <hyperlink ref="D959" r:id="rId4006" xr:uid="{00000000-0004-0000-0000-0000A50F0000}"/>
    <hyperlink ref="E959" r:id="rId4007" xr:uid="{00000000-0004-0000-0000-0000A60F0000}"/>
    <hyperlink ref="V959" r:id="rId4008" xr:uid="{00000000-0004-0000-0000-0000A70F0000}"/>
    <hyperlink ref="W959" r:id="rId4009" xr:uid="{00000000-0004-0000-0000-0000A80F0000}"/>
    <hyperlink ref="B960" r:id="rId4010" xr:uid="{00000000-0004-0000-0000-0000A90F0000}"/>
    <hyperlink ref="D960" r:id="rId4011" xr:uid="{00000000-0004-0000-0000-0000AA0F0000}"/>
    <hyperlink ref="E960" r:id="rId4012" xr:uid="{00000000-0004-0000-0000-0000AB0F0000}"/>
    <hyperlink ref="V960" r:id="rId4013" xr:uid="{00000000-0004-0000-0000-0000AC0F0000}"/>
    <hyperlink ref="W960" r:id="rId4014" xr:uid="{00000000-0004-0000-0000-0000AD0F0000}"/>
    <hyperlink ref="B961" r:id="rId4015" xr:uid="{00000000-0004-0000-0000-0000AE0F0000}"/>
    <hyperlink ref="D961" r:id="rId4016" xr:uid="{00000000-0004-0000-0000-0000AF0F0000}"/>
    <hyperlink ref="E961" r:id="rId4017" xr:uid="{00000000-0004-0000-0000-0000B00F0000}"/>
    <hyperlink ref="B962" r:id="rId4018" xr:uid="{00000000-0004-0000-0000-0000B10F0000}"/>
    <hyperlink ref="D962" r:id="rId4019" xr:uid="{00000000-0004-0000-0000-0000B20F0000}"/>
    <hyperlink ref="E962" r:id="rId4020" xr:uid="{00000000-0004-0000-0000-0000B30F0000}"/>
    <hyperlink ref="V962" r:id="rId4021" xr:uid="{00000000-0004-0000-0000-0000B40F0000}"/>
    <hyperlink ref="W962" r:id="rId4022" xr:uid="{00000000-0004-0000-0000-0000B50F0000}"/>
    <hyperlink ref="B963" r:id="rId4023" xr:uid="{00000000-0004-0000-0000-0000B60F0000}"/>
    <hyperlink ref="D963" r:id="rId4024" xr:uid="{00000000-0004-0000-0000-0000B70F0000}"/>
    <hyperlink ref="E963" r:id="rId4025" xr:uid="{00000000-0004-0000-0000-0000B80F0000}"/>
    <hyperlink ref="B964" r:id="rId4026" xr:uid="{00000000-0004-0000-0000-0000B90F0000}"/>
    <hyperlink ref="D964" r:id="rId4027" xr:uid="{00000000-0004-0000-0000-0000BA0F0000}"/>
    <hyperlink ref="E964" r:id="rId4028" xr:uid="{00000000-0004-0000-0000-0000BB0F0000}"/>
    <hyperlink ref="B965" r:id="rId4029" xr:uid="{00000000-0004-0000-0000-0000BC0F0000}"/>
    <hyperlink ref="D965" r:id="rId4030" xr:uid="{00000000-0004-0000-0000-0000BD0F0000}"/>
    <hyperlink ref="E965" r:id="rId4031" xr:uid="{00000000-0004-0000-0000-0000BE0F0000}"/>
    <hyperlink ref="B966" r:id="rId4032" xr:uid="{00000000-0004-0000-0000-0000BF0F0000}"/>
    <hyperlink ref="D966" r:id="rId4033" xr:uid="{00000000-0004-0000-0000-0000C00F0000}"/>
    <hyperlink ref="E966" r:id="rId4034" xr:uid="{00000000-0004-0000-0000-0000C10F0000}"/>
    <hyperlink ref="B967" r:id="rId4035" xr:uid="{00000000-0004-0000-0000-0000C20F0000}"/>
    <hyperlink ref="D967" r:id="rId4036" xr:uid="{00000000-0004-0000-0000-0000C30F0000}"/>
    <hyperlink ref="E967" r:id="rId4037" xr:uid="{00000000-0004-0000-0000-0000C40F0000}"/>
    <hyperlink ref="B968" r:id="rId4038" xr:uid="{00000000-0004-0000-0000-0000C50F0000}"/>
    <hyperlink ref="D968" r:id="rId4039" xr:uid="{00000000-0004-0000-0000-0000C60F0000}"/>
    <hyperlink ref="E968" r:id="rId4040" xr:uid="{00000000-0004-0000-0000-0000C70F0000}"/>
    <hyperlink ref="V968" r:id="rId4041" xr:uid="{00000000-0004-0000-0000-0000C80F0000}"/>
    <hyperlink ref="W968" r:id="rId4042" xr:uid="{00000000-0004-0000-0000-0000C90F0000}"/>
    <hyperlink ref="X968" r:id="rId4043" xr:uid="{00000000-0004-0000-0000-0000CA0F0000}"/>
    <hyperlink ref="Y968" r:id="rId4044" xr:uid="{00000000-0004-0000-0000-0000CB0F0000}"/>
    <hyperlink ref="B969" r:id="rId4045" xr:uid="{00000000-0004-0000-0000-0000CC0F0000}"/>
    <hyperlink ref="D969" r:id="rId4046" xr:uid="{00000000-0004-0000-0000-0000CD0F0000}"/>
    <hyperlink ref="E969" r:id="rId4047" xr:uid="{00000000-0004-0000-0000-0000CE0F0000}"/>
    <hyperlink ref="B970" r:id="rId4048" xr:uid="{00000000-0004-0000-0000-0000CF0F0000}"/>
    <hyperlink ref="D970" r:id="rId4049" xr:uid="{00000000-0004-0000-0000-0000D00F0000}"/>
    <hyperlink ref="E970" r:id="rId4050" xr:uid="{00000000-0004-0000-0000-0000D10F0000}"/>
    <hyperlink ref="B971" r:id="rId4051" xr:uid="{00000000-0004-0000-0000-0000D20F0000}"/>
    <hyperlink ref="D971" r:id="rId4052" xr:uid="{00000000-0004-0000-0000-0000D30F0000}"/>
    <hyperlink ref="V971" r:id="rId4053" xr:uid="{00000000-0004-0000-0000-0000D40F0000}"/>
    <hyperlink ref="W971" r:id="rId4054" xr:uid="{00000000-0004-0000-0000-0000D50F0000}"/>
    <hyperlink ref="B972" r:id="rId4055" xr:uid="{00000000-0004-0000-0000-0000D60F0000}"/>
    <hyperlink ref="D972" r:id="rId4056" xr:uid="{00000000-0004-0000-0000-0000D70F0000}"/>
    <hyperlink ref="E972" r:id="rId4057" xr:uid="{00000000-0004-0000-0000-0000D80F0000}"/>
    <hyperlink ref="V972" r:id="rId4058" xr:uid="{00000000-0004-0000-0000-0000D90F0000}"/>
    <hyperlink ref="W972" r:id="rId4059" xr:uid="{00000000-0004-0000-0000-0000DA0F0000}"/>
    <hyperlink ref="B973" r:id="rId4060" xr:uid="{00000000-0004-0000-0000-0000DB0F0000}"/>
    <hyperlink ref="D973" r:id="rId4061" xr:uid="{00000000-0004-0000-0000-0000DC0F0000}"/>
    <hyperlink ref="B974" r:id="rId4062" xr:uid="{00000000-0004-0000-0000-0000DD0F0000}"/>
    <hyperlink ref="D974" r:id="rId4063" xr:uid="{00000000-0004-0000-0000-0000DE0F0000}"/>
    <hyperlink ref="E974" r:id="rId4064" xr:uid="{00000000-0004-0000-0000-0000DF0F0000}"/>
    <hyperlink ref="V974" r:id="rId4065" xr:uid="{00000000-0004-0000-0000-0000E00F0000}"/>
    <hyperlink ref="W974" r:id="rId4066" xr:uid="{00000000-0004-0000-0000-0000E10F0000}"/>
    <hyperlink ref="B975" r:id="rId4067" xr:uid="{00000000-0004-0000-0000-0000E20F0000}"/>
    <hyperlink ref="D975" r:id="rId4068" xr:uid="{00000000-0004-0000-0000-0000E30F0000}"/>
    <hyperlink ref="V975" r:id="rId4069" xr:uid="{00000000-0004-0000-0000-0000E40F0000}"/>
    <hyperlink ref="W975" r:id="rId4070" xr:uid="{00000000-0004-0000-0000-0000E50F0000}"/>
    <hyperlink ref="X975" r:id="rId4071" xr:uid="{00000000-0004-0000-0000-0000E60F0000}"/>
    <hyperlink ref="Y975" r:id="rId4072" xr:uid="{00000000-0004-0000-0000-0000E70F0000}"/>
    <hyperlink ref="B976" r:id="rId4073" xr:uid="{00000000-0004-0000-0000-0000E80F0000}"/>
    <hyperlink ref="D976" r:id="rId4074" xr:uid="{00000000-0004-0000-0000-0000E90F0000}"/>
    <hyperlink ref="E976" r:id="rId4075" xr:uid="{00000000-0004-0000-0000-0000EA0F0000}"/>
    <hyperlink ref="V976" r:id="rId4076" xr:uid="{00000000-0004-0000-0000-0000EB0F0000}"/>
    <hyperlink ref="W976" r:id="rId4077" xr:uid="{00000000-0004-0000-0000-0000EC0F0000}"/>
    <hyperlink ref="B977" r:id="rId4078" xr:uid="{00000000-0004-0000-0000-0000ED0F0000}"/>
    <hyperlink ref="D977" r:id="rId4079" xr:uid="{00000000-0004-0000-0000-0000EE0F0000}"/>
    <hyperlink ref="E977" r:id="rId4080" xr:uid="{00000000-0004-0000-0000-0000EF0F0000}"/>
    <hyperlink ref="V977" r:id="rId4081" xr:uid="{00000000-0004-0000-0000-0000F00F0000}"/>
    <hyperlink ref="W977" r:id="rId4082" xr:uid="{00000000-0004-0000-0000-0000F10F0000}"/>
    <hyperlink ref="B978" r:id="rId4083" xr:uid="{00000000-0004-0000-0000-0000F20F0000}"/>
    <hyperlink ref="D978" r:id="rId4084" xr:uid="{00000000-0004-0000-0000-0000F30F0000}"/>
    <hyperlink ref="E978" r:id="rId4085" xr:uid="{00000000-0004-0000-0000-0000F40F0000}"/>
    <hyperlink ref="V978" r:id="rId4086" xr:uid="{00000000-0004-0000-0000-0000F50F0000}"/>
    <hyperlink ref="W978" r:id="rId4087" xr:uid="{00000000-0004-0000-0000-0000F60F0000}"/>
    <hyperlink ref="B979" r:id="rId4088" xr:uid="{00000000-0004-0000-0000-0000F70F0000}"/>
    <hyperlink ref="D979" r:id="rId4089" xr:uid="{00000000-0004-0000-0000-0000F80F0000}"/>
    <hyperlink ref="E979" r:id="rId4090" xr:uid="{00000000-0004-0000-0000-0000F90F0000}"/>
    <hyperlink ref="B980" r:id="rId4091" xr:uid="{00000000-0004-0000-0000-0000FA0F0000}"/>
    <hyperlink ref="D980" r:id="rId4092" xr:uid="{00000000-0004-0000-0000-0000FB0F0000}"/>
    <hyperlink ref="E980" r:id="rId4093" xr:uid="{00000000-0004-0000-0000-0000FC0F0000}"/>
    <hyperlink ref="V980" r:id="rId4094" xr:uid="{00000000-0004-0000-0000-0000FD0F0000}"/>
    <hyperlink ref="W980" r:id="rId4095" xr:uid="{00000000-0004-0000-0000-0000FE0F0000}"/>
    <hyperlink ref="B981" r:id="rId4096" xr:uid="{00000000-0004-0000-0000-0000FF0F0000}"/>
    <hyperlink ref="D981" r:id="rId4097" xr:uid="{00000000-0004-0000-0000-000000100000}"/>
    <hyperlink ref="E981" r:id="rId4098" xr:uid="{00000000-0004-0000-0000-000001100000}"/>
    <hyperlink ref="V981" r:id="rId4099" xr:uid="{00000000-0004-0000-0000-000002100000}"/>
    <hyperlink ref="W981" r:id="rId4100" xr:uid="{00000000-0004-0000-0000-000003100000}"/>
    <hyperlink ref="B982" r:id="rId4101" xr:uid="{00000000-0004-0000-0000-000004100000}"/>
    <hyperlink ref="D982" r:id="rId4102" xr:uid="{00000000-0004-0000-0000-000005100000}"/>
    <hyperlink ref="E982" r:id="rId4103" xr:uid="{00000000-0004-0000-0000-000006100000}"/>
    <hyperlink ref="B983" r:id="rId4104" xr:uid="{00000000-0004-0000-0000-000007100000}"/>
    <hyperlink ref="D983" r:id="rId4105" xr:uid="{00000000-0004-0000-0000-000008100000}"/>
    <hyperlink ref="E983" r:id="rId4106" xr:uid="{00000000-0004-0000-0000-000009100000}"/>
    <hyperlink ref="V983" r:id="rId4107" xr:uid="{00000000-0004-0000-0000-00000A100000}"/>
    <hyperlink ref="W983" r:id="rId4108" xr:uid="{00000000-0004-0000-0000-00000B100000}"/>
    <hyperlink ref="B984" r:id="rId4109" xr:uid="{00000000-0004-0000-0000-00000C100000}"/>
    <hyperlink ref="D984" r:id="rId4110" xr:uid="{00000000-0004-0000-0000-00000D100000}"/>
    <hyperlink ref="E984" r:id="rId4111" xr:uid="{00000000-0004-0000-0000-00000E100000}"/>
    <hyperlink ref="V984" r:id="rId4112" xr:uid="{00000000-0004-0000-0000-00000F100000}"/>
    <hyperlink ref="W984" r:id="rId4113" xr:uid="{00000000-0004-0000-0000-000010100000}"/>
    <hyperlink ref="B985" r:id="rId4114" xr:uid="{00000000-0004-0000-0000-000011100000}"/>
    <hyperlink ref="D985" r:id="rId4115" xr:uid="{00000000-0004-0000-0000-000012100000}"/>
    <hyperlink ref="E985" r:id="rId4116" xr:uid="{00000000-0004-0000-0000-000013100000}"/>
    <hyperlink ref="V985" r:id="rId4117" xr:uid="{00000000-0004-0000-0000-000014100000}"/>
    <hyperlink ref="W985" r:id="rId4118" xr:uid="{00000000-0004-0000-0000-000015100000}"/>
    <hyperlink ref="B986" r:id="rId4119" xr:uid="{00000000-0004-0000-0000-000016100000}"/>
    <hyperlink ref="D986" r:id="rId4120" xr:uid="{00000000-0004-0000-0000-000017100000}"/>
    <hyperlink ref="E986" r:id="rId4121" xr:uid="{00000000-0004-0000-0000-000018100000}"/>
    <hyperlink ref="V986" r:id="rId4122" xr:uid="{00000000-0004-0000-0000-000019100000}"/>
    <hyperlink ref="W986" r:id="rId4123" xr:uid="{00000000-0004-0000-0000-00001A100000}"/>
    <hyperlink ref="B987" r:id="rId4124" xr:uid="{00000000-0004-0000-0000-00001B100000}"/>
    <hyperlink ref="D987" r:id="rId4125" xr:uid="{00000000-0004-0000-0000-00001C100000}"/>
    <hyperlink ref="E987" r:id="rId4126" xr:uid="{00000000-0004-0000-0000-00001D100000}"/>
    <hyperlink ref="B988" r:id="rId4127" xr:uid="{00000000-0004-0000-0000-00001E100000}"/>
    <hyperlink ref="D988" r:id="rId4128" xr:uid="{00000000-0004-0000-0000-00001F100000}"/>
    <hyperlink ref="E988" r:id="rId4129" xr:uid="{00000000-0004-0000-0000-000020100000}"/>
    <hyperlink ref="B989" r:id="rId4130" xr:uid="{00000000-0004-0000-0000-000021100000}"/>
    <hyperlink ref="D989" r:id="rId4131" xr:uid="{00000000-0004-0000-0000-000022100000}"/>
    <hyperlink ref="E989" r:id="rId4132" xr:uid="{00000000-0004-0000-0000-000023100000}"/>
    <hyperlink ref="B990" r:id="rId4133" xr:uid="{00000000-0004-0000-0000-000024100000}"/>
    <hyperlink ref="D990" r:id="rId4134" xr:uid="{00000000-0004-0000-0000-000025100000}"/>
    <hyperlink ref="E990" r:id="rId4135" xr:uid="{00000000-0004-0000-0000-000026100000}"/>
    <hyperlink ref="B991" r:id="rId4136" xr:uid="{00000000-0004-0000-0000-000027100000}"/>
    <hyperlink ref="D991" r:id="rId4137" xr:uid="{00000000-0004-0000-0000-000028100000}"/>
    <hyperlink ref="E991" r:id="rId4138" xr:uid="{00000000-0004-0000-0000-000029100000}"/>
    <hyperlink ref="B992" r:id="rId4139" xr:uid="{00000000-0004-0000-0000-00002A100000}"/>
    <hyperlink ref="D992" r:id="rId4140" xr:uid="{00000000-0004-0000-0000-00002B100000}"/>
    <hyperlink ref="E992" r:id="rId4141" xr:uid="{00000000-0004-0000-0000-00002C100000}"/>
    <hyperlink ref="B993" r:id="rId4142" xr:uid="{00000000-0004-0000-0000-00002D100000}"/>
    <hyperlink ref="D993" r:id="rId4143" xr:uid="{00000000-0004-0000-0000-00002E100000}"/>
    <hyperlink ref="E993" r:id="rId4144" xr:uid="{00000000-0004-0000-0000-00002F100000}"/>
    <hyperlink ref="V993" r:id="rId4145" xr:uid="{00000000-0004-0000-0000-000030100000}"/>
    <hyperlink ref="W993" r:id="rId4146" xr:uid="{00000000-0004-0000-0000-000031100000}"/>
    <hyperlink ref="B994" r:id="rId4147" xr:uid="{00000000-0004-0000-0000-000032100000}"/>
    <hyperlink ref="D994" r:id="rId4148" xr:uid="{00000000-0004-0000-0000-000033100000}"/>
    <hyperlink ref="E994" r:id="rId4149" xr:uid="{00000000-0004-0000-0000-000034100000}"/>
    <hyperlink ref="V994" r:id="rId4150" xr:uid="{00000000-0004-0000-0000-000035100000}"/>
    <hyperlink ref="W994" r:id="rId4151" xr:uid="{00000000-0004-0000-0000-000036100000}"/>
    <hyperlink ref="B995" r:id="rId4152" xr:uid="{00000000-0004-0000-0000-000037100000}"/>
    <hyperlink ref="D995" r:id="rId4153" xr:uid="{00000000-0004-0000-0000-000038100000}"/>
    <hyperlink ref="E995" r:id="rId4154" xr:uid="{00000000-0004-0000-0000-000039100000}"/>
    <hyperlink ref="V995" r:id="rId4155" xr:uid="{00000000-0004-0000-0000-00003A100000}"/>
    <hyperlink ref="W995" r:id="rId4156" xr:uid="{00000000-0004-0000-0000-00003B100000}"/>
    <hyperlink ref="B996" r:id="rId4157" xr:uid="{00000000-0004-0000-0000-00003C100000}"/>
    <hyperlink ref="D996" r:id="rId4158" xr:uid="{00000000-0004-0000-0000-00003D100000}"/>
    <hyperlink ref="E996" r:id="rId4159" xr:uid="{00000000-0004-0000-0000-00003E100000}"/>
    <hyperlink ref="B997" r:id="rId4160" xr:uid="{00000000-0004-0000-0000-00003F100000}"/>
    <hyperlink ref="D997" r:id="rId4161" xr:uid="{00000000-0004-0000-0000-000040100000}"/>
    <hyperlink ref="E997" r:id="rId4162" xr:uid="{00000000-0004-0000-0000-000041100000}"/>
    <hyperlink ref="V997" r:id="rId4163" xr:uid="{00000000-0004-0000-0000-000042100000}"/>
    <hyperlink ref="W997" r:id="rId4164" xr:uid="{00000000-0004-0000-0000-000043100000}"/>
    <hyperlink ref="B998" r:id="rId4165" xr:uid="{00000000-0004-0000-0000-000044100000}"/>
    <hyperlink ref="D998" r:id="rId4166" xr:uid="{00000000-0004-0000-0000-000045100000}"/>
    <hyperlink ref="E998" r:id="rId4167" xr:uid="{00000000-0004-0000-0000-000046100000}"/>
    <hyperlink ref="B999" r:id="rId4168" xr:uid="{00000000-0004-0000-0000-000047100000}"/>
    <hyperlink ref="D999" r:id="rId4169" xr:uid="{00000000-0004-0000-0000-000048100000}"/>
    <hyperlink ref="E999" r:id="rId4170" xr:uid="{00000000-0004-0000-0000-000049100000}"/>
    <hyperlink ref="B1000" r:id="rId4171" xr:uid="{00000000-0004-0000-0000-00004A100000}"/>
    <hyperlink ref="D1000" r:id="rId4172" xr:uid="{00000000-0004-0000-0000-00004B100000}"/>
    <hyperlink ref="E1000" r:id="rId4173" xr:uid="{00000000-0004-0000-0000-00004C100000}"/>
    <hyperlink ref="B1001" r:id="rId4174" xr:uid="{00000000-0004-0000-0000-00004D100000}"/>
    <hyperlink ref="D1001" r:id="rId4175" xr:uid="{00000000-0004-0000-0000-00004E100000}"/>
    <hyperlink ref="E1001" r:id="rId4176" xr:uid="{00000000-0004-0000-0000-00004F1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43"/>
  <sheetViews>
    <sheetView workbookViewId="0"/>
  </sheetViews>
  <sheetFormatPr defaultColWidth="12.6640625" defaultRowHeight="15.75" customHeight="1" x14ac:dyDescent="0.25"/>
  <sheetData>
    <row r="1" spans="1:3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spans="1:30" ht="15.75" customHeight="1" x14ac:dyDescent="0.3">
      <c r="A2" s="4">
        <v>1</v>
      </c>
      <c r="B2" s="5" t="s">
        <v>6069</v>
      </c>
      <c r="C2" s="6" t="s">
        <v>72</v>
      </c>
      <c r="D2" s="5" t="s">
        <v>6070</v>
      </c>
      <c r="E2" s="5" t="s">
        <v>33</v>
      </c>
      <c r="F2" s="6" t="s">
        <v>6071</v>
      </c>
      <c r="G2" s="6" t="s">
        <v>6072</v>
      </c>
      <c r="H2" s="6" t="s">
        <v>6073</v>
      </c>
      <c r="I2" s="6" t="s">
        <v>834</v>
      </c>
      <c r="J2" s="6" t="s">
        <v>2474</v>
      </c>
      <c r="K2" s="6" t="s">
        <v>6074</v>
      </c>
      <c r="L2" s="6">
        <f>76%</f>
        <v>0.76</v>
      </c>
      <c r="M2" s="6" t="s">
        <v>6075</v>
      </c>
      <c r="N2" s="6">
        <f>76%</f>
        <v>0.76</v>
      </c>
      <c r="O2" s="6" t="s">
        <v>6076</v>
      </c>
      <c r="P2" s="6" t="s">
        <v>6077</v>
      </c>
      <c r="Q2" s="6">
        <f>240%</f>
        <v>2.4</v>
      </c>
      <c r="R2" s="6" t="s">
        <v>6078</v>
      </c>
      <c r="S2" s="6" t="s">
        <v>6079</v>
      </c>
      <c r="T2" s="6" t="s">
        <v>6080</v>
      </c>
      <c r="U2" s="6">
        <f>15%</f>
        <v>0.15</v>
      </c>
      <c r="V2" s="5" t="s">
        <v>6081</v>
      </c>
      <c r="W2" s="5" t="s">
        <v>6082</v>
      </c>
      <c r="X2" s="5" t="s">
        <v>6083</v>
      </c>
      <c r="Y2" s="5" t="s">
        <v>6084</v>
      </c>
      <c r="Z2" s="5" t="s">
        <v>6085</v>
      </c>
      <c r="AA2" s="5" t="s">
        <v>6086</v>
      </c>
      <c r="AB2" s="5" t="s">
        <v>6087</v>
      </c>
      <c r="AC2" s="5" t="s">
        <v>6088</v>
      </c>
      <c r="AD2" s="9" t="s">
        <v>6089</v>
      </c>
    </row>
    <row r="3" spans="1:30" ht="15.75" customHeight="1" x14ac:dyDescent="0.3">
      <c r="A3" s="4">
        <v>2</v>
      </c>
      <c r="B3" s="5" t="s">
        <v>6090</v>
      </c>
      <c r="C3" s="6" t="s">
        <v>185</v>
      </c>
      <c r="D3" s="5" t="s">
        <v>6091</v>
      </c>
      <c r="E3" s="5" t="s">
        <v>48</v>
      </c>
      <c r="F3" s="6" t="s">
        <v>6092</v>
      </c>
      <c r="G3" s="6" t="s">
        <v>6093</v>
      </c>
      <c r="H3" s="6" t="s">
        <v>6094</v>
      </c>
      <c r="I3" s="6" t="s">
        <v>6095</v>
      </c>
      <c r="J3" s="6" t="s">
        <v>1048</v>
      </c>
      <c r="K3" s="6" t="s">
        <v>6096</v>
      </c>
      <c r="L3" s="6">
        <f>6.4%</f>
        <v>6.4000000000000001E-2</v>
      </c>
      <c r="M3" s="6" t="s">
        <v>6097</v>
      </c>
      <c r="N3" s="6">
        <f>6.4%</f>
        <v>6.4000000000000001E-2</v>
      </c>
      <c r="O3" s="6" t="s">
        <v>6098</v>
      </c>
      <c r="P3" s="6" t="s">
        <v>6099</v>
      </c>
      <c r="Q3" s="6">
        <f>6.5%</f>
        <v>6.5000000000000002E-2</v>
      </c>
      <c r="R3" s="6" t="s">
        <v>6100</v>
      </c>
      <c r="S3" s="6">
        <v>398</v>
      </c>
      <c r="T3" s="6" t="s">
        <v>6101</v>
      </c>
      <c r="U3" s="8">
        <v>-0.97</v>
      </c>
      <c r="V3" s="5" t="s">
        <v>6102</v>
      </c>
      <c r="W3" s="5" t="s">
        <v>6103</v>
      </c>
      <c r="X3" s="5" t="s">
        <v>6104</v>
      </c>
      <c r="Y3" s="5" t="s">
        <v>6105</v>
      </c>
      <c r="Z3" s="5" t="s">
        <v>6106</v>
      </c>
      <c r="AA3" s="5" t="s">
        <v>6107</v>
      </c>
      <c r="AB3" s="5" t="s">
        <v>6108</v>
      </c>
      <c r="AC3" s="5" t="s">
        <v>6109</v>
      </c>
      <c r="AD3" s="9" t="s">
        <v>6110</v>
      </c>
    </row>
    <row r="4" spans="1:30" ht="15.75" customHeight="1" x14ac:dyDescent="0.3">
      <c r="A4" s="4">
        <v>3</v>
      </c>
      <c r="B4" s="5" t="s">
        <v>6111</v>
      </c>
      <c r="C4" s="6" t="s">
        <v>85</v>
      </c>
      <c r="D4" s="5" t="s">
        <v>6112</v>
      </c>
      <c r="E4" s="5" t="s">
        <v>48</v>
      </c>
      <c r="F4" s="6" t="s">
        <v>6113</v>
      </c>
      <c r="G4" s="6" t="s">
        <v>6114</v>
      </c>
      <c r="H4" s="6" t="s">
        <v>6115</v>
      </c>
      <c r="I4" s="6" t="s">
        <v>6116</v>
      </c>
      <c r="J4" s="6" t="s">
        <v>769</v>
      </c>
      <c r="K4" s="6" t="s">
        <v>6117</v>
      </c>
      <c r="L4" s="6">
        <f>34%</f>
        <v>0.34</v>
      </c>
      <c r="M4" s="6" t="s">
        <v>6118</v>
      </c>
      <c r="N4" s="6">
        <f>34%</f>
        <v>0.34</v>
      </c>
      <c r="O4" s="6" t="s">
        <v>6119</v>
      </c>
      <c r="P4" s="6" t="s">
        <v>6120</v>
      </c>
      <c r="Q4" s="6">
        <f>11%</f>
        <v>0.11</v>
      </c>
      <c r="R4" s="6" t="s">
        <v>6121</v>
      </c>
      <c r="S4" s="6" t="s">
        <v>205</v>
      </c>
      <c r="T4" s="6" t="s">
        <v>6122</v>
      </c>
      <c r="U4" s="6" t="s">
        <v>387</v>
      </c>
      <c r="V4" s="5" t="s">
        <v>6123</v>
      </c>
      <c r="W4" s="5" t="s">
        <v>6124</v>
      </c>
      <c r="X4" s="5" t="s">
        <v>6125</v>
      </c>
      <c r="Y4" s="5" t="s">
        <v>6126</v>
      </c>
      <c r="Z4" s="5" t="s">
        <v>6127</v>
      </c>
      <c r="AA4" s="5" t="s">
        <v>6128</v>
      </c>
      <c r="AB4" s="5" t="s">
        <v>6129</v>
      </c>
      <c r="AC4" s="5" t="s">
        <v>6130</v>
      </c>
      <c r="AD4" s="9" t="s">
        <v>6131</v>
      </c>
    </row>
    <row r="5" spans="1:30" ht="15.75" customHeight="1" x14ac:dyDescent="0.3">
      <c r="A5" s="4">
        <v>4</v>
      </c>
      <c r="B5" s="5" t="s">
        <v>6132</v>
      </c>
      <c r="C5" s="6" t="s">
        <v>72</v>
      </c>
      <c r="D5" s="5" t="s">
        <v>6133</v>
      </c>
      <c r="E5" s="5" t="s">
        <v>48</v>
      </c>
      <c r="F5" s="6" t="s">
        <v>6134</v>
      </c>
      <c r="G5" s="6" t="s">
        <v>6135</v>
      </c>
      <c r="H5" s="6" t="s">
        <v>6136</v>
      </c>
      <c r="I5" s="8">
        <v>-0.46</v>
      </c>
      <c r="J5" s="6" t="s">
        <v>321</v>
      </c>
      <c r="K5" s="6" t="s">
        <v>6137</v>
      </c>
      <c r="L5" s="6">
        <f>64%</f>
        <v>0.64</v>
      </c>
      <c r="M5" s="6" t="s">
        <v>6138</v>
      </c>
      <c r="N5" s="6">
        <f>64%</f>
        <v>0.64</v>
      </c>
      <c r="O5" s="6" t="s">
        <v>6139</v>
      </c>
      <c r="P5" s="6" t="s">
        <v>6140</v>
      </c>
      <c r="Q5" s="6">
        <f>0.86</f>
        <v>0.86</v>
      </c>
      <c r="R5" s="6" t="s">
        <v>6141</v>
      </c>
      <c r="S5" s="6" t="s">
        <v>6142</v>
      </c>
      <c r="T5" s="6" t="s">
        <v>6143</v>
      </c>
      <c r="U5" s="6">
        <f>3.6%</f>
        <v>3.6000000000000004E-2</v>
      </c>
      <c r="V5" s="5" t="s">
        <v>6144</v>
      </c>
      <c r="W5" s="5" t="s">
        <v>6145</v>
      </c>
      <c r="X5" s="5" t="s">
        <v>6146</v>
      </c>
      <c r="Y5" s="5" t="s">
        <v>6147</v>
      </c>
      <c r="Z5" s="5" t="s">
        <v>6148</v>
      </c>
      <c r="AA5" s="5" t="s">
        <v>6149</v>
      </c>
      <c r="AB5" s="5" t="s">
        <v>6150</v>
      </c>
      <c r="AC5" s="5" t="s">
        <v>6149</v>
      </c>
      <c r="AD5" s="9" t="s">
        <v>6151</v>
      </c>
    </row>
    <row r="6" spans="1:30" ht="15.75" customHeight="1" x14ac:dyDescent="0.3">
      <c r="A6" s="4">
        <v>5</v>
      </c>
      <c r="B6" s="5" t="s">
        <v>6152</v>
      </c>
      <c r="C6" s="6" t="s">
        <v>304</v>
      </c>
      <c r="D6" s="5" t="s">
        <v>6153</v>
      </c>
      <c r="E6" s="5" t="s">
        <v>48</v>
      </c>
      <c r="F6" s="6" t="s">
        <v>6154</v>
      </c>
      <c r="G6" s="6" t="s">
        <v>6155</v>
      </c>
      <c r="H6" s="6" t="s">
        <v>6156</v>
      </c>
      <c r="I6" s="6">
        <f>150%</f>
        <v>1.5</v>
      </c>
      <c r="J6" s="6" t="s">
        <v>1048</v>
      </c>
      <c r="K6" s="6" t="s">
        <v>6157</v>
      </c>
      <c r="L6" s="6">
        <f>280%</f>
        <v>2.8</v>
      </c>
      <c r="M6" s="6" t="s">
        <v>6158</v>
      </c>
      <c r="N6" s="6">
        <f>280%</f>
        <v>2.8</v>
      </c>
      <c r="O6" s="6" t="s">
        <v>6159</v>
      </c>
      <c r="P6" s="6" t="s">
        <v>6160</v>
      </c>
      <c r="Q6" s="6">
        <f>2.1</f>
        <v>2.1</v>
      </c>
      <c r="R6" s="6" t="s">
        <v>6161</v>
      </c>
      <c r="S6" s="6">
        <v>328</v>
      </c>
      <c r="T6" s="6" t="s">
        <v>6162</v>
      </c>
      <c r="U6" s="6">
        <f>730%</f>
        <v>7.3</v>
      </c>
      <c r="V6" s="5" t="s">
        <v>6163</v>
      </c>
      <c r="W6" s="5" t="s">
        <v>6164</v>
      </c>
      <c r="X6" s="5" t="s">
        <v>6165</v>
      </c>
      <c r="Y6" s="5" t="s">
        <v>6166</v>
      </c>
      <c r="Z6" s="5" t="s">
        <v>6167</v>
      </c>
      <c r="AA6" s="5" t="s">
        <v>6168</v>
      </c>
      <c r="AB6" s="5" t="s">
        <v>6169</v>
      </c>
      <c r="AC6" s="5" t="s">
        <v>6166</v>
      </c>
      <c r="AD6" s="9" t="s">
        <v>6170</v>
      </c>
    </row>
    <row r="7" spans="1:30" ht="15.75" customHeight="1" x14ac:dyDescent="0.3">
      <c r="A7" s="4">
        <v>6</v>
      </c>
      <c r="B7" s="5" t="s">
        <v>6171</v>
      </c>
      <c r="C7" s="6" t="s">
        <v>148</v>
      </c>
      <c r="D7" s="5" t="s">
        <v>6172</v>
      </c>
      <c r="E7" s="5" t="s">
        <v>162</v>
      </c>
      <c r="F7" s="6" t="s">
        <v>5443</v>
      </c>
      <c r="G7" s="6" t="s">
        <v>6173</v>
      </c>
      <c r="H7" s="6" t="s">
        <v>6174</v>
      </c>
      <c r="I7" s="8">
        <v>-0.67</v>
      </c>
      <c r="J7" s="6" t="s">
        <v>494</v>
      </c>
      <c r="K7" s="6" t="s">
        <v>6175</v>
      </c>
      <c r="L7" s="6" t="s">
        <v>217</v>
      </c>
      <c r="M7" s="6" t="s">
        <v>6176</v>
      </c>
      <c r="N7" s="6" t="s">
        <v>3427</v>
      </c>
      <c r="O7" s="6" t="s">
        <v>6177</v>
      </c>
      <c r="P7" s="6" t="s">
        <v>6178</v>
      </c>
      <c r="Q7" s="6">
        <f>0.88</f>
        <v>0.88</v>
      </c>
      <c r="R7" s="6" t="s">
        <v>6179</v>
      </c>
      <c r="S7" s="6" t="s">
        <v>6180</v>
      </c>
      <c r="T7" s="6" t="s">
        <v>6181</v>
      </c>
      <c r="U7" s="6">
        <f>0.37%</f>
        <v>3.7000000000000002E-3</v>
      </c>
      <c r="V7" s="5" t="s">
        <v>6182</v>
      </c>
      <c r="W7" s="5" t="s">
        <v>6183</v>
      </c>
      <c r="X7" s="5" t="s">
        <v>6184</v>
      </c>
      <c r="Y7" s="5" t="s">
        <v>6183</v>
      </c>
      <c r="Z7" s="5" t="s">
        <v>6185</v>
      </c>
      <c r="AA7" s="5" t="s">
        <v>6183</v>
      </c>
      <c r="AB7" s="5" t="s">
        <v>6186</v>
      </c>
      <c r="AC7" s="5" t="s">
        <v>6183</v>
      </c>
      <c r="AD7" s="9" t="s">
        <v>6187</v>
      </c>
    </row>
    <row r="8" spans="1:30" ht="15.75" customHeight="1" x14ac:dyDescent="0.3">
      <c r="A8" s="4">
        <v>7</v>
      </c>
      <c r="B8" s="5" t="s">
        <v>6188</v>
      </c>
      <c r="C8" s="6" t="s">
        <v>1013</v>
      </c>
      <c r="D8" s="5" t="s">
        <v>6189</v>
      </c>
      <c r="E8" s="5" t="s">
        <v>48</v>
      </c>
      <c r="F8" s="6" t="s">
        <v>6190</v>
      </c>
      <c r="G8" s="6" t="s">
        <v>6191</v>
      </c>
      <c r="H8" s="6" t="s">
        <v>6192</v>
      </c>
      <c r="I8" s="6" t="s">
        <v>6193</v>
      </c>
      <c r="J8" s="6" t="s">
        <v>1432</v>
      </c>
      <c r="K8" s="6" t="s">
        <v>6194</v>
      </c>
      <c r="L8" s="8">
        <v>-0.26</v>
      </c>
      <c r="M8" s="6" t="s">
        <v>6195</v>
      </c>
      <c r="N8" s="8">
        <v>-0.26</v>
      </c>
      <c r="O8" s="6" t="s">
        <v>6196</v>
      </c>
      <c r="P8" s="6" t="s">
        <v>6197</v>
      </c>
      <c r="Q8" s="6">
        <f>6.1%</f>
        <v>6.0999999999999999E-2</v>
      </c>
      <c r="R8" s="6" t="s">
        <v>6198</v>
      </c>
      <c r="S8" s="6" t="s">
        <v>6199</v>
      </c>
      <c r="T8" s="6" t="s">
        <v>6200</v>
      </c>
      <c r="U8" s="6">
        <f>1.7%</f>
        <v>1.7000000000000001E-2</v>
      </c>
      <c r="V8" s="5" t="s">
        <v>6201</v>
      </c>
      <c r="W8" s="5" t="s">
        <v>6202</v>
      </c>
      <c r="X8" s="5" t="s">
        <v>6203</v>
      </c>
      <c r="Y8" s="5" t="s">
        <v>6202</v>
      </c>
      <c r="Z8" s="5" t="s">
        <v>6204</v>
      </c>
      <c r="AA8" s="5" t="s">
        <v>6205</v>
      </c>
      <c r="AB8" s="5" t="s">
        <v>6206</v>
      </c>
      <c r="AC8" s="5" t="s">
        <v>6207</v>
      </c>
      <c r="AD8" s="9" t="s">
        <v>6208</v>
      </c>
    </row>
    <row r="9" spans="1:30" ht="15.75" customHeight="1" x14ac:dyDescent="0.3">
      <c r="A9" s="4">
        <v>8</v>
      </c>
      <c r="B9" s="5" t="s">
        <v>6209</v>
      </c>
      <c r="C9" s="6" t="s">
        <v>1408</v>
      </c>
      <c r="D9" s="5" t="s">
        <v>6210</v>
      </c>
      <c r="E9" s="5" t="s">
        <v>33</v>
      </c>
      <c r="F9" s="6" t="s">
        <v>6211</v>
      </c>
      <c r="G9" s="6" t="s">
        <v>6212</v>
      </c>
      <c r="H9" s="6" t="s">
        <v>6213</v>
      </c>
      <c r="I9" s="8">
        <v>-0.51</v>
      </c>
      <c r="J9" s="6" t="s">
        <v>118</v>
      </c>
      <c r="K9" s="6" t="s">
        <v>6214</v>
      </c>
      <c r="L9" s="6" t="s">
        <v>217</v>
      </c>
      <c r="M9" s="6" t="s">
        <v>6215</v>
      </c>
      <c r="N9" s="6">
        <f>76%</f>
        <v>0.76</v>
      </c>
      <c r="O9" s="6" t="s">
        <v>963</v>
      </c>
      <c r="P9" s="6" t="s">
        <v>6216</v>
      </c>
      <c r="Q9" s="6">
        <f>0.51</f>
        <v>0.51</v>
      </c>
      <c r="R9" s="6" t="s">
        <v>6217</v>
      </c>
      <c r="S9" s="6" t="s">
        <v>6218</v>
      </c>
      <c r="T9" s="6" t="s">
        <v>6219</v>
      </c>
      <c r="U9" s="6">
        <f>40%</f>
        <v>0.4</v>
      </c>
      <c r="V9" s="5" t="s">
        <v>6220</v>
      </c>
      <c r="W9" s="5" t="s">
        <v>6221</v>
      </c>
      <c r="X9" s="5" t="s">
        <v>6222</v>
      </c>
      <c r="Y9" s="5" t="s">
        <v>864</v>
      </c>
      <c r="Z9" s="5" t="s">
        <v>6223</v>
      </c>
      <c r="AA9" s="5" t="s">
        <v>6224</v>
      </c>
      <c r="AB9" s="5" t="s">
        <v>6225</v>
      </c>
      <c r="AC9" s="5" t="s">
        <v>6226</v>
      </c>
      <c r="AD9" s="9" t="s">
        <v>6227</v>
      </c>
    </row>
    <row r="10" spans="1:30" ht="15.75" customHeight="1" x14ac:dyDescent="0.3">
      <c r="A10" s="4">
        <v>9</v>
      </c>
      <c r="B10" s="5" t="s">
        <v>6228</v>
      </c>
      <c r="C10" s="6" t="s">
        <v>567</v>
      </c>
      <c r="D10" s="5" t="s">
        <v>6229</v>
      </c>
      <c r="E10" s="5" t="s">
        <v>48</v>
      </c>
      <c r="F10" s="6" t="s">
        <v>2490</v>
      </c>
      <c r="G10" s="6" t="s">
        <v>6230</v>
      </c>
      <c r="H10" s="6" t="s">
        <v>6231</v>
      </c>
      <c r="I10" s="6">
        <f>17%</f>
        <v>0.17</v>
      </c>
      <c r="J10" s="6" t="s">
        <v>888</v>
      </c>
      <c r="K10" s="6" t="s">
        <v>6232</v>
      </c>
      <c r="L10" s="6">
        <f>130%</f>
        <v>1.3</v>
      </c>
      <c r="M10" s="6" t="s">
        <v>6233</v>
      </c>
      <c r="N10" s="6">
        <f>130%</f>
        <v>1.3</v>
      </c>
      <c r="O10" s="6" t="s">
        <v>6234</v>
      </c>
      <c r="P10" s="6" t="s">
        <v>6235</v>
      </c>
      <c r="Q10" s="6">
        <f>0.91</f>
        <v>0.91</v>
      </c>
      <c r="R10" s="6" t="s">
        <v>6236</v>
      </c>
      <c r="S10" s="6">
        <v>410</v>
      </c>
      <c r="T10" s="6" t="s">
        <v>6237</v>
      </c>
      <c r="U10" s="6">
        <f>47%</f>
        <v>0.47</v>
      </c>
      <c r="V10" s="5" t="s">
        <v>6238</v>
      </c>
      <c r="W10" s="5" t="s">
        <v>6239</v>
      </c>
      <c r="X10" s="5" t="s">
        <v>6240</v>
      </c>
      <c r="Y10" s="5" t="s">
        <v>6207</v>
      </c>
      <c r="Z10" s="5" t="s">
        <v>6241</v>
      </c>
      <c r="AA10" s="5" t="s">
        <v>6242</v>
      </c>
      <c r="AB10" s="5" t="s">
        <v>6243</v>
      </c>
      <c r="AC10" s="5" t="s">
        <v>6207</v>
      </c>
      <c r="AD10" s="9" t="s">
        <v>6244</v>
      </c>
    </row>
    <row r="11" spans="1:30" ht="15.75" customHeight="1" x14ac:dyDescent="0.3">
      <c r="A11" s="4">
        <v>10</v>
      </c>
      <c r="B11" s="5" t="s">
        <v>6245</v>
      </c>
      <c r="C11" s="6" t="s">
        <v>72</v>
      </c>
      <c r="D11" s="5" t="s">
        <v>6246</v>
      </c>
      <c r="E11" s="5" t="s">
        <v>48</v>
      </c>
      <c r="F11" s="6" t="s">
        <v>6247</v>
      </c>
      <c r="G11" s="6" t="s">
        <v>6248</v>
      </c>
      <c r="H11" s="6" t="s">
        <v>6249</v>
      </c>
      <c r="I11" s="8">
        <v>-0.19</v>
      </c>
      <c r="J11" s="6" t="s">
        <v>118</v>
      </c>
      <c r="K11" s="6" t="s">
        <v>6250</v>
      </c>
      <c r="L11" s="8">
        <v>-0.23</v>
      </c>
      <c r="M11" s="6" t="s">
        <v>6251</v>
      </c>
      <c r="N11" s="8">
        <v>-0.23</v>
      </c>
      <c r="O11" s="6" t="s">
        <v>6252</v>
      </c>
      <c r="P11" s="6" t="s">
        <v>6253</v>
      </c>
      <c r="Q11" s="6">
        <f>0.33</f>
        <v>0.33</v>
      </c>
      <c r="R11" s="6" t="s">
        <v>6254</v>
      </c>
      <c r="S11" s="6">
        <v>263</v>
      </c>
      <c r="T11" s="6" t="s">
        <v>6255</v>
      </c>
      <c r="U11" s="6">
        <f>9.1%</f>
        <v>9.0999999999999998E-2</v>
      </c>
      <c r="V11" s="5" t="s">
        <v>6256</v>
      </c>
      <c r="W11" s="5" t="s">
        <v>6257</v>
      </c>
      <c r="X11" s="5" t="s">
        <v>6258</v>
      </c>
      <c r="Y11" s="5" t="s">
        <v>6259</v>
      </c>
      <c r="Z11" s="5" t="s">
        <v>6260</v>
      </c>
      <c r="AA11" s="5" t="s">
        <v>6261</v>
      </c>
      <c r="AB11" s="5" t="s">
        <v>6262</v>
      </c>
      <c r="AC11" s="5" t="s">
        <v>6263</v>
      </c>
      <c r="AD11" s="9" t="s">
        <v>6264</v>
      </c>
    </row>
    <row r="12" spans="1:30" ht="15.75" customHeight="1" x14ac:dyDescent="0.3">
      <c r="A12" s="4">
        <v>11</v>
      </c>
      <c r="B12" s="5" t="s">
        <v>6265</v>
      </c>
      <c r="C12" s="6" t="s">
        <v>85</v>
      </c>
      <c r="D12" s="5" t="s">
        <v>6266</v>
      </c>
      <c r="E12" s="5" t="s">
        <v>48</v>
      </c>
      <c r="F12" s="6" t="s">
        <v>6267</v>
      </c>
      <c r="G12" s="6" t="s">
        <v>6268</v>
      </c>
      <c r="H12" s="6" t="s">
        <v>343</v>
      </c>
      <c r="I12" s="6" t="s">
        <v>6269</v>
      </c>
      <c r="J12" s="6" t="s">
        <v>332</v>
      </c>
      <c r="K12" s="6" t="s">
        <v>6270</v>
      </c>
      <c r="L12" s="8">
        <v>-0.1</v>
      </c>
      <c r="M12" s="6" t="s">
        <v>6271</v>
      </c>
      <c r="N12" s="8">
        <v>-0.1</v>
      </c>
      <c r="O12" s="6" t="s">
        <v>6272</v>
      </c>
      <c r="P12" s="6" t="s">
        <v>6273</v>
      </c>
      <c r="Q12" s="8">
        <v>-0.32</v>
      </c>
      <c r="R12" s="6" t="s">
        <v>6274</v>
      </c>
      <c r="S12" s="6" t="s">
        <v>6275</v>
      </c>
      <c r="T12" s="6" t="s">
        <v>6276</v>
      </c>
      <c r="U12" s="8">
        <v>-0.39</v>
      </c>
      <c r="V12" s="5" t="s">
        <v>6277</v>
      </c>
      <c r="W12" s="5" t="s">
        <v>6278</v>
      </c>
      <c r="X12" s="5" t="s">
        <v>6279</v>
      </c>
      <c r="Y12" s="5" t="s">
        <v>6109</v>
      </c>
      <c r="Z12" s="5" t="s">
        <v>6280</v>
      </c>
      <c r="AA12" s="5" t="s">
        <v>6281</v>
      </c>
      <c r="AB12" s="5" t="s">
        <v>6282</v>
      </c>
      <c r="AC12" s="5" t="s">
        <v>6283</v>
      </c>
      <c r="AD12" s="9" t="s">
        <v>6284</v>
      </c>
    </row>
    <row r="13" spans="1:30" ht="15.75" customHeight="1" x14ac:dyDescent="0.3">
      <c r="A13" s="4">
        <v>12</v>
      </c>
      <c r="B13" s="5" t="s">
        <v>6285</v>
      </c>
      <c r="C13" s="6" t="s">
        <v>31</v>
      </c>
      <c r="D13" s="5" t="s">
        <v>6286</v>
      </c>
      <c r="E13" s="5" t="s">
        <v>196</v>
      </c>
      <c r="F13" s="6" t="s">
        <v>6287</v>
      </c>
      <c r="G13" s="6" t="s">
        <v>6288</v>
      </c>
      <c r="H13" s="6" t="s">
        <v>1093</v>
      </c>
      <c r="I13" s="6" t="s">
        <v>6289</v>
      </c>
      <c r="J13" s="6" t="s">
        <v>250</v>
      </c>
      <c r="K13" s="6" t="s">
        <v>6290</v>
      </c>
      <c r="L13" s="6">
        <f>79%</f>
        <v>0.79</v>
      </c>
      <c r="M13" s="6" t="s">
        <v>6291</v>
      </c>
      <c r="N13" s="6">
        <f>120%</f>
        <v>1.2</v>
      </c>
      <c r="O13" s="6" t="s">
        <v>6292</v>
      </c>
      <c r="P13" s="6" t="s">
        <v>6293</v>
      </c>
      <c r="Q13" s="6">
        <f>0.7</f>
        <v>0.7</v>
      </c>
      <c r="R13" s="6" t="s">
        <v>6294</v>
      </c>
      <c r="S13" s="6">
        <v>13</v>
      </c>
      <c r="T13" s="6" t="s">
        <v>6295</v>
      </c>
      <c r="U13" s="6">
        <f>530%</f>
        <v>5.3</v>
      </c>
      <c r="V13" s="5" t="s">
        <v>6296</v>
      </c>
      <c r="W13" s="5" t="s">
        <v>6297</v>
      </c>
      <c r="X13" s="5" t="s">
        <v>6298</v>
      </c>
      <c r="Y13" s="5" t="s">
        <v>6299</v>
      </c>
      <c r="Z13" s="5" t="s">
        <v>6300</v>
      </c>
      <c r="AA13" s="5" t="s">
        <v>6301</v>
      </c>
      <c r="AB13" s="5" t="s">
        <v>6302</v>
      </c>
      <c r="AC13" s="5" t="s">
        <v>6303</v>
      </c>
      <c r="AD13" s="9" t="s">
        <v>6304</v>
      </c>
    </row>
    <row r="14" spans="1:30" ht="15.75" customHeight="1" x14ac:dyDescent="0.3">
      <c r="A14" s="4">
        <v>13</v>
      </c>
      <c r="B14" s="5" t="s">
        <v>6305</v>
      </c>
      <c r="C14" s="6" t="s">
        <v>72</v>
      </c>
      <c r="D14" s="5" t="s">
        <v>6306</v>
      </c>
      <c r="E14" s="5" t="s">
        <v>48</v>
      </c>
      <c r="F14" s="6" t="s">
        <v>6307</v>
      </c>
      <c r="G14" s="6" t="s">
        <v>6308</v>
      </c>
      <c r="H14" s="6" t="s">
        <v>118</v>
      </c>
      <c r="I14" s="6" t="s">
        <v>6309</v>
      </c>
      <c r="J14" s="6" t="s">
        <v>411</v>
      </c>
      <c r="K14" s="6" t="s">
        <v>6310</v>
      </c>
      <c r="L14" s="8">
        <v>-0.23</v>
      </c>
      <c r="M14" s="6" t="s">
        <v>6311</v>
      </c>
      <c r="N14" s="8">
        <v>-0.23</v>
      </c>
      <c r="O14" s="6" t="s">
        <v>6312</v>
      </c>
      <c r="P14" s="6" t="s">
        <v>6313</v>
      </c>
      <c r="Q14" s="6">
        <f>2.2%</f>
        <v>2.2000000000000002E-2</v>
      </c>
      <c r="R14" s="6" t="s">
        <v>6314</v>
      </c>
      <c r="S14" s="6">
        <v>414</v>
      </c>
      <c r="T14" s="6" t="s">
        <v>6315</v>
      </c>
      <c r="U14" s="8">
        <v>-0.16</v>
      </c>
      <c r="V14" s="5" t="s">
        <v>6316</v>
      </c>
      <c r="W14" s="5" t="s">
        <v>6317</v>
      </c>
      <c r="X14" s="5" t="s">
        <v>6318</v>
      </c>
      <c r="Y14" s="5" t="s">
        <v>6319</v>
      </c>
      <c r="Z14" s="5" t="s">
        <v>6320</v>
      </c>
      <c r="AA14" s="5" t="s">
        <v>6317</v>
      </c>
      <c r="AB14" s="5" t="s">
        <v>6321</v>
      </c>
      <c r="AC14" s="5" t="s">
        <v>6322</v>
      </c>
      <c r="AD14" s="9" t="s">
        <v>6323</v>
      </c>
    </row>
    <row r="15" spans="1:30" ht="15.75" customHeight="1" x14ac:dyDescent="0.3">
      <c r="A15" s="4">
        <v>14</v>
      </c>
      <c r="B15" s="5" t="s">
        <v>6324</v>
      </c>
      <c r="C15" s="6" t="s">
        <v>370</v>
      </c>
      <c r="D15" s="5" t="s">
        <v>6325</v>
      </c>
      <c r="E15" s="5" t="s">
        <v>33</v>
      </c>
      <c r="F15" s="6" t="s">
        <v>6326</v>
      </c>
      <c r="G15" s="6" t="s">
        <v>6327</v>
      </c>
      <c r="H15" s="6" t="s">
        <v>385</v>
      </c>
      <c r="I15" s="8">
        <v>-0.87</v>
      </c>
      <c r="J15" s="6" t="s">
        <v>1443</v>
      </c>
      <c r="K15" s="6" t="s">
        <v>6328</v>
      </c>
      <c r="L15" s="8">
        <v>-0.35</v>
      </c>
      <c r="M15" s="6" t="s">
        <v>6329</v>
      </c>
      <c r="N15" s="8">
        <v>-0.35</v>
      </c>
      <c r="O15" s="6" t="s">
        <v>6330</v>
      </c>
      <c r="P15" s="6" t="s">
        <v>6331</v>
      </c>
      <c r="Q15" s="6">
        <f>0.46</f>
        <v>0.46</v>
      </c>
      <c r="R15" s="6" t="s">
        <v>6332</v>
      </c>
      <c r="S15" s="6">
        <v>85</v>
      </c>
      <c r="T15" s="6" t="s">
        <v>6333</v>
      </c>
      <c r="U15" s="6">
        <f>44%</f>
        <v>0.44</v>
      </c>
      <c r="V15" s="5" t="s">
        <v>6334</v>
      </c>
      <c r="W15" s="5" t="s">
        <v>6335</v>
      </c>
      <c r="X15" s="5" t="s">
        <v>6336</v>
      </c>
      <c r="Y15" s="5" t="s">
        <v>6337</v>
      </c>
      <c r="Z15" s="5" t="s">
        <v>6338</v>
      </c>
      <c r="AA15" s="5" t="s">
        <v>6339</v>
      </c>
      <c r="AB15" s="5" t="s">
        <v>6340</v>
      </c>
      <c r="AC15" s="5" t="s">
        <v>6341</v>
      </c>
      <c r="AD15" s="9" t="s">
        <v>6342</v>
      </c>
    </row>
    <row r="16" spans="1:30" ht="15.75" customHeight="1" x14ac:dyDescent="0.3">
      <c r="A16" s="4">
        <v>15</v>
      </c>
      <c r="B16" s="5" t="s">
        <v>6343</v>
      </c>
      <c r="C16" s="6" t="s">
        <v>291</v>
      </c>
      <c r="D16" s="5" t="s">
        <v>6344</v>
      </c>
      <c r="E16" s="5" t="s">
        <v>33</v>
      </c>
      <c r="F16" s="6" t="s">
        <v>6345</v>
      </c>
      <c r="G16" s="6" t="s">
        <v>6346</v>
      </c>
      <c r="H16" s="6" t="s">
        <v>385</v>
      </c>
      <c r="I16" s="6" t="s">
        <v>6347</v>
      </c>
      <c r="J16" s="6" t="s">
        <v>2474</v>
      </c>
      <c r="K16" s="6" t="s">
        <v>6348</v>
      </c>
      <c r="L16" s="6">
        <f>12%</f>
        <v>0.12</v>
      </c>
      <c r="M16" s="6" t="s">
        <v>6349</v>
      </c>
      <c r="N16" s="6">
        <f>12%</f>
        <v>0.12</v>
      </c>
      <c r="O16" s="6" t="s">
        <v>6350</v>
      </c>
      <c r="P16" s="6" t="s">
        <v>6351</v>
      </c>
      <c r="Q16" s="6">
        <f>250%</f>
        <v>2.5</v>
      </c>
      <c r="R16" s="6" t="s">
        <v>6352</v>
      </c>
      <c r="S16" s="6">
        <v>272</v>
      </c>
      <c r="T16" s="6" t="s">
        <v>6353</v>
      </c>
      <c r="U16" s="6"/>
      <c r="V16" s="5" t="s">
        <v>6354</v>
      </c>
      <c r="W16" s="5" t="s">
        <v>6355</v>
      </c>
      <c r="X16" s="5" t="s">
        <v>6356</v>
      </c>
      <c r="Y16" s="5" t="s">
        <v>6357</v>
      </c>
      <c r="Z16" s="5" t="s">
        <v>6358</v>
      </c>
      <c r="AA16" s="5" t="s">
        <v>6355</v>
      </c>
      <c r="AB16" s="5" t="s">
        <v>6359</v>
      </c>
      <c r="AC16" s="5" t="s">
        <v>6355</v>
      </c>
      <c r="AD16" s="9" t="s">
        <v>6360</v>
      </c>
    </row>
    <row r="17" spans="1:30" ht="15.75" customHeight="1" x14ac:dyDescent="0.3">
      <c r="A17" s="4">
        <v>16</v>
      </c>
      <c r="B17" s="5" t="s">
        <v>6361</v>
      </c>
      <c r="C17" s="6" t="s">
        <v>60</v>
      </c>
      <c r="D17" s="5" t="s">
        <v>6362</v>
      </c>
      <c r="E17" s="5" t="s">
        <v>48</v>
      </c>
      <c r="F17" s="6" t="s">
        <v>6363</v>
      </c>
      <c r="G17" s="6" t="s">
        <v>6364</v>
      </c>
      <c r="H17" s="6" t="s">
        <v>321</v>
      </c>
      <c r="I17" s="8">
        <v>-0.64</v>
      </c>
      <c r="J17" s="6" t="s">
        <v>236</v>
      </c>
      <c r="K17" s="6" t="s">
        <v>6365</v>
      </c>
      <c r="L17" s="8">
        <v>-0.16</v>
      </c>
      <c r="M17" s="6" t="s">
        <v>6366</v>
      </c>
      <c r="N17" s="8">
        <v>-0.16</v>
      </c>
      <c r="O17" s="6" t="s">
        <v>6367</v>
      </c>
      <c r="P17" s="6" t="s">
        <v>6368</v>
      </c>
      <c r="Q17" s="6">
        <f>0.052</f>
        <v>5.1999999999999998E-2</v>
      </c>
      <c r="R17" s="6" t="s">
        <v>6369</v>
      </c>
      <c r="S17" s="6">
        <v>236</v>
      </c>
      <c r="T17" s="6" t="s">
        <v>6370</v>
      </c>
      <c r="U17" s="6">
        <f>16%</f>
        <v>0.16</v>
      </c>
      <c r="V17" s="5" t="s">
        <v>6371</v>
      </c>
      <c r="W17" s="5" t="s">
        <v>6372</v>
      </c>
      <c r="X17" s="5" t="s">
        <v>6373</v>
      </c>
      <c r="Y17" s="5" t="s">
        <v>6372</v>
      </c>
      <c r="Z17" s="5" t="s">
        <v>6374</v>
      </c>
      <c r="AA17" s="5" t="s">
        <v>6375</v>
      </c>
      <c r="AB17" s="5" t="s">
        <v>6376</v>
      </c>
      <c r="AC17" s="5" t="s">
        <v>6377</v>
      </c>
      <c r="AD17" s="9" t="s">
        <v>6378</v>
      </c>
    </row>
    <row r="18" spans="1:30" ht="15.75" customHeight="1" x14ac:dyDescent="0.3">
      <c r="A18" s="4">
        <v>17</v>
      </c>
      <c r="B18" s="5" t="s">
        <v>6379</v>
      </c>
      <c r="C18" s="6" t="s">
        <v>219</v>
      </c>
      <c r="D18" s="5" t="s">
        <v>6380</v>
      </c>
      <c r="E18" s="5" t="s">
        <v>33</v>
      </c>
      <c r="F18" s="6" t="s">
        <v>6381</v>
      </c>
      <c r="G18" s="6" t="s">
        <v>6382</v>
      </c>
      <c r="H18" s="6" t="s">
        <v>421</v>
      </c>
      <c r="I18" s="6" t="s">
        <v>617</v>
      </c>
      <c r="J18" s="6" t="s">
        <v>309</v>
      </c>
      <c r="K18" s="6" t="s">
        <v>6383</v>
      </c>
      <c r="L18" s="6">
        <f>44%</f>
        <v>0.44</v>
      </c>
      <c r="M18" s="6" t="s">
        <v>6384</v>
      </c>
      <c r="N18" s="6">
        <f>44%</f>
        <v>0.44</v>
      </c>
      <c r="O18" s="6" t="s">
        <v>6385</v>
      </c>
      <c r="P18" s="6" t="s">
        <v>6386</v>
      </c>
      <c r="Q18" s="6">
        <f>49%</f>
        <v>0.49</v>
      </c>
      <c r="R18" s="6" t="s">
        <v>6387</v>
      </c>
      <c r="S18" s="6">
        <v>585</v>
      </c>
      <c r="T18" s="6" t="s">
        <v>6388</v>
      </c>
      <c r="U18" s="6">
        <f>3.5%</f>
        <v>3.5000000000000003E-2</v>
      </c>
      <c r="V18" s="5" t="s">
        <v>6389</v>
      </c>
      <c r="W18" s="5" t="s">
        <v>6147</v>
      </c>
      <c r="X18" s="5" t="s">
        <v>6390</v>
      </c>
      <c r="Y18" s="5" t="s">
        <v>6391</v>
      </c>
      <c r="Z18" s="5" t="s">
        <v>6392</v>
      </c>
      <c r="AA18" s="5" t="s">
        <v>6391</v>
      </c>
      <c r="AB18" s="5" t="s">
        <v>6393</v>
      </c>
      <c r="AC18" s="5" t="s">
        <v>362</v>
      </c>
      <c r="AD18" s="9" t="s">
        <v>6394</v>
      </c>
    </row>
    <row r="19" spans="1:30" ht="15.75" customHeight="1" x14ac:dyDescent="0.3">
      <c r="A19" s="4">
        <v>18</v>
      </c>
      <c r="B19" s="5" t="s">
        <v>6395</v>
      </c>
      <c r="C19" s="6" t="s">
        <v>114</v>
      </c>
      <c r="D19" s="5" t="s">
        <v>6396</v>
      </c>
      <c r="E19" s="5" t="s">
        <v>48</v>
      </c>
      <c r="F19" s="6" t="s">
        <v>6397</v>
      </c>
      <c r="G19" s="6" t="s">
        <v>6398</v>
      </c>
      <c r="H19" s="6" t="s">
        <v>1365</v>
      </c>
      <c r="I19" s="6" t="s">
        <v>6399</v>
      </c>
      <c r="J19" s="6" t="s">
        <v>1365</v>
      </c>
      <c r="K19" s="6" t="s">
        <v>2605</v>
      </c>
      <c r="L19" s="8">
        <v>-0.48</v>
      </c>
      <c r="M19" s="6" t="s">
        <v>6400</v>
      </c>
      <c r="N19" s="8">
        <v>-0.48</v>
      </c>
      <c r="O19" s="6" t="s">
        <v>6401</v>
      </c>
      <c r="P19" s="6" t="s">
        <v>6402</v>
      </c>
      <c r="Q19" s="6">
        <f>7%</f>
        <v>7.0000000000000007E-2</v>
      </c>
      <c r="R19" s="6" t="s">
        <v>6403</v>
      </c>
      <c r="S19" s="6">
        <v>94</v>
      </c>
      <c r="T19" s="6" t="s">
        <v>6404</v>
      </c>
      <c r="U19" s="6">
        <f>2.8%</f>
        <v>2.7999999999999997E-2</v>
      </c>
      <c r="V19" s="5" t="s">
        <v>6405</v>
      </c>
      <c r="W19" s="5" t="s">
        <v>6406</v>
      </c>
      <c r="X19" s="5" t="s">
        <v>6407</v>
      </c>
      <c r="Y19" s="5" t="s">
        <v>6372</v>
      </c>
      <c r="Z19" s="5" t="s">
        <v>6408</v>
      </c>
      <c r="AA19" s="5" t="s">
        <v>6409</v>
      </c>
      <c r="AB19" s="5" t="s">
        <v>6410</v>
      </c>
      <c r="AC19" s="5" t="s">
        <v>6372</v>
      </c>
      <c r="AD19" s="9" t="s">
        <v>6411</v>
      </c>
    </row>
    <row r="20" spans="1:30" ht="15.75" customHeight="1" x14ac:dyDescent="0.3">
      <c r="A20" s="4">
        <v>19</v>
      </c>
      <c r="B20" s="5" t="s">
        <v>6412</v>
      </c>
      <c r="C20" s="6" t="s">
        <v>85</v>
      </c>
      <c r="D20" s="5" t="s">
        <v>6413</v>
      </c>
      <c r="E20" s="5" t="s">
        <v>48</v>
      </c>
      <c r="F20" s="6" t="s">
        <v>6414</v>
      </c>
      <c r="G20" s="6" t="s">
        <v>6415</v>
      </c>
      <c r="H20" s="6" t="s">
        <v>141</v>
      </c>
      <c r="I20" s="8">
        <v>-0.7</v>
      </c>
      <c r="J20" s="6" t="s">
        <v>385</v>
      </c>
      <c r="K20" s="6" t="s">
        <v>6416</v>
      </c>
      <c r="L20" s="6">
        <f>8.4%</f>
        <v>8.4000000000000005E-2</v>
      </c>
      <c r="M20" s="6" t="s">
        <v>6417</v>
      </c>
      <c r="N20" s="6">
        <f>8.4%</f>
        <v>8.4000000000000005E-2</v>
      </c>
      <c r="O20" s="6" t="s">
        <v>55</v>
      </c>
      <c r="P20" s="6" t="s">
        <v>6418</v>
      </c>
      <c r="Q20" s="6">
        <f>0.071</f>
        <v>7.0999999999999994E-2</v>
      </c>
      <c r="R20" s="6" t="s">
        <v>6419</v>
      </c>
      <c r="S20" s="6" t="s">
        <v>6420</v>
      </c>
      <c r="T20" s="6" t="s">
        <v>6421</v>
      </c>
      <c r="U20" s="6">
        <f>4.2%</f>
        <v>4.2000000000000003E-2</v>
      </c>
      <c r="V20" s="5" t="s">
        <v>6422</v>
      </c>
      <c r="W20" s="5" t="s">
        <v>6423</v>
      </c>
      <c r="X20" s="5" t="s">
        <v>6424</v>
      </c>
      <c r="Y20" s="5" t="s">
        <v>6425</v>
      </c>
      <c r="Z20" s="5" t="s">
        <v>6426</v>
      </c>
      <c r="AA20" s="5" t="s">
        <v>6427</v>
      </c>
      <c r="AB20" s="5" t="s">
        <v>6428</v>
      </c>
      <c r="AC20" s="5" t="s">
        <v>6299</v>
      </c>
      <c r="AD20" s="9" t="s">
        <v>6429</v>
      </c>
    </row>
    <row r="21" spans="1:30" ht="15.75" customHeight="1" x14ac:dyDescent="0.3">
      <c r="A21" s="4">
        <v>20</v>
      </c>
      <c r="B21" s="5" t="s">
        <v>6430</v>
      </c>
      <c r="C21" s="6" t="s">
        <v>291</v>
      </c>
      <c r="D21" s="5" t="s">
        <v>6431</v>
      </c>
      <c r="E21" s="5" t="s">
        <v>33</v>
      </c>
      <c r="F21" s="6" t="s">
        <v>6432</v>
      </c>
      <c r="G21" s="6" t="s">
        <v>6433</v>
      </c>
      <c r="H21" s="6" t="s">
        <v>454</v>
      </c>
      <c r="I21" s="6" t="s">
        <v>380</v>
      </c>
      <c r="J21" s="6" t="s">
        <v>1808</v>
      </c>
      <c r="K21" s="6" t="s">
        <v>637</v>
      </c>
      <c r="L21" s="6">
        <f>120%</f>
        <v>1.2</v>
      </c>
      <c r="M21" s="6" t="s">
        <v>6434</v>
      </c>
      <c r="N21" s="6">
        <f>120%</f>
        <v>1.2</v>
      </c>
      <c r="O21" s="6" t="s">
        <v>800</v>
      </c>
      <c r="P21" s="6" t="s">
        <v>6435</v>
      </c>
      <c r="Q21" s="6">
        <f>0.41</f>
        <v>0.41</v>
      </c>
      <c r="R21" s="6">
        <v>376</v>
      </c>
      <c r="S21" s="6">
        <v>4</v>
      </c>
      <c r="T21" s="6" t="s">
        <v>6436</v>
      </c>
      <c r="U21" s="6" t="s">
        <v>9262</v>
      </c>
      <c r="V21" s="5" t="s">
        <v>6437</v>
      </c>
      <c r="W21" s="5" t="s">
        <v>6438</v>
      </c>
      <c r="X21" s="5" t="s">
        <v>6439</v>
      </c>
      <c r="Y21" s="5" t="s">
        <v>6440</v>
      </c>
      <c r="Z21" s="5" t="s">
        <v>6441</v>
      </c>
      <c r="AA21" s="5" t="s">
        <v>6442</v>
      </c>
      <c r="AB21" s="5" t="s">
        <v>6443</v>
      </c>
      <c r="AC21" s="5" t="s">
        <v>6438</v>
      </c>
      <c r="AD21" s="9" t="s">
        <v>6444</v>
      </c>
    </row>
    <row r="22" spans="1:30" ht="15.75" customHeight="1" x14ac:dyDescent="0.3">
      <c r="A22" s="4">
        <v>21</v>
      </c>
      <c r="B22" s="5" t="s">
        <v>6445</v>
      </c>
      <c r="C22" s="6" t="s">
        <v>72</v>
      </c>
      <c r="D22" s="5" t="s">
        <v>6446</v>
      </c>
      <c r="E22" s="5" t="s">
        <v>33</v>
      </c>
      <c r="F22" s="6" t="s">
        <v>6447</v>
      </c>
      <c r="G22" s="6" t="s">
        <v>6448</v>
      </c>
      <c r="H22" s="6" t="s">
        <v>454</v>
      </c>
      <c r="I22" s="8">
        <v>-0.8</v>
      </c>
      <c r="J22" s="6" t="s">
        <v>824</v>
      </c>
      <c r="K22" s="6" t="s">
        <v>6449</v>
      </c>
      <c r="L22" s="8">
        <v>-0.18</v>
      </c>
      <c r="M22" s="6" t="s">
        <v>6450</v>
      </c>
      <c r="N22" s="8">
        <v>-0.18</v>
      </c>
      <c r="O22" s="6" t="s">
        <v>6451</v>
      </c>
      <c r="P22" s="6" t="s">
        <v>6452</v>
      </c>
      <c r="Q22" s="6">
        <f>0.21</f>
        <v>0.21</v>
      </c>
      <c r="R22" s="6" t="s">
        <v>6453</v>
      </c>
      <c r="S22" s="6">
        <v>89</v>
      </c>
      <c r="T22" s="6" t="s">
        <v>6454</v>
      </c>
      <c r="U22" s="6">
        <f>21%</f>
        <v>0.21</v>
      </c>
      <c r="V22" s="5" t="s">
        <v>6455</v>
      </c>
      <c r="W22" s="5" t="s">
        <v>6456</v>
      </c>
      <c r="X22" s="5" t="s">
        <v>6457</v>
      </c>
      <c r="Y22" s="5" t="s">
        <v>6456</v>
      </c>
      <c r="Z22" s="5" t="s">
        <v>6458</v>
      </c>
      <c r="AA22" s="5" t="s">
        <v>6456</v>
      </c>
      <c r="AB22" s="5" t="s">
        <v>6459</v>
      </c>
      <c r="AC22" s="5" t="s">
        <v>6456</v>
      </c>
      <c r="AD22" s="9" t="s">
        <v>6460</v>
      </c>
    </row>
    <row r="23" spans="1:30" ht="15.75" customHeight="1" x14ac:dyDescent="0.3">
      <c r="A23" s="4">
        <v>22</v>
      </c>
      <c r="B23" s="5" t="s">
        <v>6461</v>
      </c>
      <c r="C23" s="6" t="s">
        <v>546</v>
      </c>
      <c r="D23" s="5" t="s">
        <v>6462</v>
      </c>
      <c r="E23" s="5" t="s">
        <v>48</v>
      </c>
      <c r="F23" s="6" t="s">
        <v>6463</v>
      </c>
      <c r="G23" s="6" t="s">
        <v>6464</v>
      </c>
      <c r="H23" s="6" t="s">
        <v>259</v>
      </c>
      <c r="I23" s="6" t="s">
        <v>6465</v>
      </c>
      <c r="J23" s="6" t="s">
        <v>296</v>
      </c>
      <c r="K23" s="6" t="s">
        <v>6466</v>
      </c>
      <c r="L23" s="6">
        <f>13%</f>
        <v>0.13</v>
      </c>
      <c r="M23" s="6" t="s">
        <v>6467</v>
      </c>
      <c r="N23" s="6">
        <f>13%</f>
        <v>0.13</v>
      </c>
      <c r="O23" s="6" t="s">
        <v>6468</v>
      </c>
      <c r="P23" s="6" t="s">
        <v>6469</v>
      </c>
      <c r="Q23" s="6">
        <f>4.2%</f>
        <v>4.2000000000000003E-2</v>
      </c>
      <c r="R23" s="6" t="s">
        <v>6470</v>
      </c>
      <c r="S23" s="6">
        <v>396</v>
      </c>
      <c r="T23" s="6" t="s">
        <v>6471</v>
      </c>
      <c r="U23" s="6" t="s">
        <v>4180</v>
      </c>
      <c r="V23" s="5" t="s">
        <v>6472</v>
      </c>
      <c r="W23" s="5" t="s">
        <v>6473</v>
      </c>
      <c r="X23" s="5" t="s">
        <v>6474</v>
      </c>
      <c r="Y23" s="5" t="s">
        <v>6339</v>
      </c>
      <c r="Z23" s="5" t="s">
        <v>6475</v>
      </c>
      <c r="AA23" s="5" t="s">
        <v>6476</v>
      </c>
      <c r="AB23" s="5" t="s">
        <v>6477</v>
      </c>
      <c r="AC23" s="5" t="s">
        <v>6339</v>
      </c>
      <c r="AD23" s="9" t="s">
        <v>6478</v>
      </c>
    </row>
    <row r="24" spans="1:30" ht="15.75" customHeight="1" x14ac:dyDescent="0.3">
      <c r="A24" s="4">
        <v>23</v>
      </c>
      <c r="B24" s="5" t="s">
        <v>6479</v>
      </c>
      <c r="C24" s="6" t="s">
        <v>126</v>
      </c>
      <c r="D24" s="5" t="s">
        <v>6480</v>
      </c>
      <c r="E24" s="5" t="s">
        <v>48</v>
      </c>
      <c r="F24" s="6" t="s">
        <v>4344</v>
      </c>
      <c r="G24" s="6" t="s">
        <v>6481</v>
      </c>
      <c r="H24" s="6" t="s">
        <v>584</v>
      </c>
      <c r="I24" s="8">
        <v>-0.26</v>
      </c>
      <c r="J24" s="6" t="s">
        <v>107</v>
      </c>
      <c r="K24" s="6" t="s">
        <v>6482</v>
      </c>
      <c r="L24" s="6">
        <f>52%</f>
        <v>0.52</v>
      </c>
      <c r="M24" s="6" t="s">
        <v>6483</v>
      </c>
      <c r="N24" s="6">
        <f>52%</f>
        <v>0.52</v>
      </c>
      <c r="O24" s="6" t="s">
        <v>6484</v>
      </c>
      <c r="P24" s="6" t="s">
        <v>6485</v>
      </c>
      <c r="Q24" s="6">
        <f>0.25</f>
        <v>0.25</v>
      </c>
      <c r="R24" s="6" t="s">
        <v>6486</v>
      </c>
      <c r="S24" s="6">
        <v>127</v>
      </c>
      <c r="T24" s="6" t="s">
        <v>6487</v>
      </c>
      <c r="U24" s="6">
        <f>15%</f>
        <v>0.15</v>
      </c>
      <c r="V24" s="5" t="s">
        <v>6488</v>
      </c>
      <c r="W24" s="5" t="s">
        <v>6489</v>
      </c>
      <c r="X24" s="5" t="s">
        <v>6490</v>
      </c>
      <c r="Y24" s="5" t="s">
        <v>6491</v>
      </c>
      <c r="Z24" s="5" t="s">
        <v>6492</v>
      </c>
      <c r="AA24" s="5" t="s">
        <v>6493</v>
      </c>
      <c r="AB24" s="5" t="s">
        <v>6494</v>
      </c>
      <c r="AC24" s="5" t="s">
        <v>6495</v>
      </c>
      <c r="AD24" s="9" t="s">
        <v>6496</v>
      </c>
    </row>
    <row r="25" spans="1:30" ht="15.75" customHeight="1" x14ac:dyDescent="0.3">
      <c r="A25" s="4">
        <v>24</v>
      </c>
      <c r="B25" s="5" t="s">
        <v>6497</v>
      </c>
      <c r="C25" s="6" t="s">
        <v>31</v>
      </c>
      <c r="D25" s="5" t="s">
        <v>6498</v>
      </c>
      <c r="E25" s="5" t="s">
        <v>33</v>
      </c>
      <c r="F25" s="6" t="s">
        <v>6499</v>
      </c>
      <c r="G25" s="6" t="s">
        <v>6500</v>
      </c>
      <c r="H25" s="6" t="s">
        <v>1059</v>
      </c>
      <c r="I25" s="6" t="s">
        <v>6501</v>
      </c>
      <c r="J25" s="6" t="s">
        <v>321</v>
      </c>
      <c r="K25" s="6" t="s">
        <v>6502</v>
      </c>
      <c r="L25" s="6" t="s">
        <v>669</v>
      </c>
      <c r="M25" s="6" t="s">
        <v>6503</v>
      </c>
      <c r="N25" s="6" t="s">
        <v>669</v>
      </c>
      <c r="O25" s="6" t="s">
        <v>92</v>
      </c>
      <c r="P25" s="6" t="s">
        <v>6504</v>
      </c>
      <c r="Q25" s="6">
        <f>0.38%</f>
        <v>3.8E-3</v>
      </c>
      <c r="R25" s="6" t="s">
        <v>6505</v>
      </c>
      <c r="S25" s="6">
        <v>210</v>
      </c>
      <c r="T25" s="6" t="s">
        <v>6506</v>
      </c>
      <c r="U25" s="8">
        <v>-0.15</v>
      </c>
      <c r="V25" s="5" t="s">
        <v>6507</v>
      </c>
      <c r="W25" s="5" t="s">
        <v>6508</v>
      </c>
      <c r="X25" s="5" t="s">
        <v>6509</v>
      </c>
      <c r="Y25" s="5" t="s">
        <v>6510</v>
      </c>
      <c r="Z25" s="5" t="s">
        <v>6511</v>
      </c>
      <c r="AA25" s="5" t="s">
        <v>864</v>
      </c>
      <c r="AB25" s="5" t="s">
        <v>6512</v>
      </c>
      <c r="AC25" s="5" t="s">
        <v>6513</v>
      </c>
      <c r="AD25" s="9" t="s">
        <v>6514</v>
      </c>
    </row>
    <row r="26" spans="1:30" ht="15.75" customHeight="1" x14ac:dyDescent="0.3">
      <c r="A26" s="4">
        <v>25</v>
      </c>
      <c r="B26" s="5" t="s">
        <v>6515</v>
      </c>
      <c r="C26" s="6" t="s">
        <v>102</v>
      </c>
      <c r="D26" s="5" t="s">
        <v>6516</v>
      </c>
      <c r="E26" s="5" t="s">
        <v>48</v>
      </c>
      <c r="F26" s="6" t="s">
        <v>6517</v>
      </c>
      <c r="G26" s="6" t="s">
        <v>6518</v>
      </c>
      <c r="H26" s="6" t="s">
        <v>798</v>
      </c>
      <c r="I26" s="6" t="s">
        <v>6519</v>
      </c>
      <c r="J26" s="6" t="s">
        <v>824</v>
      </c>
      <c r="K26" s="6" t="s">
        <v>6520</v>
      </c>
      <c r="L26" s="6">
        <f>44%</f>
        <v>0.44</v>
      </c>
      <c r="M26" s="6" t="s">
        <v>6521</v>
      </c>
      <c r="N26" s="6">
        <f>44%</f>
        <v>0.44</v>
      </c>
      <c r="O26" s="6" t="s">
        <v>6522</v>
      </c>
      <c r="P26" s="6" t="s">
        <v>6523</v>
      </c>
      <c r="Q26" s="6">
        <f>2.3%</f>
        <v>2.3E-2</v>
      </c>
      <c r="R26" s="6" t="s">
        <v>6524</v>
      </c>
      <c r="S26" s="6">
        <v>648</v>
      </c>
      <c r="T26" s="6" t="s">
        <v>6525</v>
      </c>
      <c r="U26" s="6">
        <f>40%</f>
        <v>0.4</v>
      </c>
      <c r="V26" s="5" t="s">
        <v>6123</v>
      </c>
      <c r="W26" s="5" t="s">
        <v>6124</v>
      </c>
      <c r="X26" s="5" t="s">
        <v>6526</v>
      </c>
      <c r="Y26" s="5" t="s">
        <v>6527</v>
      </c>
      <c r="Z26" s="5" t="s">
        <v>6528</v>
      </c>
      <c r="AA26" s="5" t="s">
        <v>6529</v>
      </c>
      <c r="AB26" s="5" t="s">
        <v>6509</v>
      </c>
      <c r="AC26" s="5" t="s">
        <v>6510</v>
      </c>
      <c r="AD26" s="9" t="s">
        <v>6530</v>
      </c>
    </row>
    <row r="27" spans="1:30" ht="15.6" x14ac:dyDescent="0.3">
      <c r="A27" s="4">
        <v>26</v>
      </c>
      <c r="B27" s="5" t="s">
        <v>6531</v>
      </c>
      <c r="C27" s="6" t="s">
        <v>291</v>
      </c>
      <c r="D27" s="5" t="s">
        <v>6532</v>
      </c>
      <c r="E27" s="5" t="s">
        <v>48</v>
      </c>
      <c r="F27" s="6" t="s">
        <v>6533</v>
      </c>
      <c r="G27" s="6" t="s">
        <v>6534</v>
      </c>
      <c r="H27" s="6" t="s">
        <v>284</v>
      </c>
      <c r="I27" s="6">
        <f>12%</f>
        <v>0.12</v>
      </c>
      <c r="J27" s="6" t="s">
        <v>118</v>
      </c>
      <c r="K27" s="6" t="s">
        <v>6535</v>
      </c>
      <c r="L27" s="6">
        <f>110%</f>
        <v>1.1000000000000001</v>
      </c>
      <c r="M27" s="6" t="s">
        <v>6536</v>
      </c>
      <c r="N27" s="6">
        <f>110%</f>
        <v>1.1000000000000001</v>
      </c>
      <c r="O27" s="6" t="s">
        <v>6537</v>
      </c>
      <c r="P27" s="6" t="s">
        <v>6538</v>
      </c>
      <c r="Q27" s="6">
        <f>0.28</f>
        <v>0.28000000000000003</v>
      </c>
      <c r="R27" s="6" t="s">
        <v>6539</v>
      </c>
      <c r="S27" s="6">
        <v>119</v>
      </c>
      <c r="T27" s="6" t="s">
        <v>6540</v>
      </c>
      <c r="U27" s="6">
        <f>20%</f>
        <v>0.2</v>
      </c>
      <c r="V27" s="5" t="s">
        <v>6541</v>
      </c>
      <c r="W27" s="5" t="s">
        <v>6542</v>
      </c>
      <c r="X27" s="5" t="s">
        <v>6543</v>
      </c>
      <c r="Y27" s="5" t="s">
        <v>6544</v>
      </c>
      <c r="Z27" s="5" t="s">
        <v>6545</v>
      </c>
      <c r="AA27" s="5" t="s">
        <v>6546</v>
      </c>
      <c r="AB27" s="5" t="s">
        <v>6547</v>
      </c>
      <c r="AC27" s="5" t="s">
        <v>6548</v>
      </c>
      <c r="AD27" s="9" t="s">
        <v>6549</v>
      </c>
    </row>
    <row r="28" spans="1:30" ht="15.6" x14ac:dyDescent="0.3">
      <c r="A28" s="4">
        <v>27</v>
      </c>
      <c r="B28" s="5" t="s">
        <v>6550</v>
      </c>
      <c r="C28" s="6" t="s">
        <v>126</v>
      </c>
      <c r="D28" s="5" t="s">
        <v>6551</v>
      </c>
      <c r="E28" s="5" t="s">
        <v>33</v>
      </c>
      <c r="F28" s="6" t="s">
        <v>6552</v>
      </c>
      <c r="G28" s="6" t="s">
        <v>6553</v>
      </c>
      <c r="H28" s="6" t="s">
        <v>1184</v>
      </c>
      <c r="I28" s="6" t="s">
        <v>6554</v>
      </c>
      <c r="J28" s="6" t="s">
        <v>1184</v>
      </c>
      <c r="K28" s="6" t="s">
        <v>6555</v>
      </c>
      <c r="L28" s="6">
        <f>6.5%</f>
        <v>6.5000000000000002E-2</v>
      </c>
      <c r="M28" s="6" t="s">
        <v>6556</v>
      </c>
      <c r="N28" s="6">
        <f>6.5%</f>
        <v>6.5000000000000002E-2</v>
      </c>
      <c r="O28" s="6" t="s">
        <v>6557</v>
      </c>
      <c r="P28" s="6" t="s">
        <v>6558</v>
      </c>
      <c r="Q28" s="6">
        <f>14%</f>
        <v>0.14000000000000001</v>
      </c>
      <c r="R28" s="6" t="s">
        <v>6559</v>
      </c>
      <c r="S28" s="6">
        <v>392</v>
      </c>
      <c r="T28" s="6" t="s">
        <v>6560</v>
      </c>
      <c r="U28" s="6">
        <f>25%</f>
        <v>0.25</v>
      </c>
      <c r="V28" s="5" t="s">
        <v>6509</v>
      </c>
      <c r="W28" s="5" t="s">
        <v>6510</v>
      </c>
      <c r="X28" s="5" t="s">
        <v>6561</v>
      </c>
      <c r="Y28" s="5" t="s">
        <v>6562</v>
      </c>
      <c r="Z28" s="5" t="s">
        <v>6563</v>
      </c>
      <c r="AA28" s="5" t="s">
        <v>6564</v>
      </c>
      <c r="AB28" s="5" t="s">
        <v>6565</v>
      </c>
      <c r="AC28" s="5" t="s">
        <v>6566</v>
      </c>
      <c r="AD28" s="9" t="s">
        <v>6567</v>
      </c>
    </row>
    <row r="29" spans="1:30" ht="15.6" x14ac:dyDescent="0.3">
      <c r="A29" s="4">
        <v>28</v>
      </c>
      <c r="B29" s="5" t="s">
        <v>6568</v>
      </c>
      <c r="C29" s="6" t="s">
        <v>85</v>
      </c>
      <c r="D29" s="5" t="s">
        <v>6569</v>
      </c>
      <c r="E29" s="5" t="s">
        <v>48</v>
      </c>
      <c r="F29" s="6" t="s">
        <v>6570</v>
      </c>
      <c r="G29" s="6" t="s">
        <v>6571</v>
      </c>
      <c r="H29" s="6" t="s">
        <v>494</v>
      </c>
      <c r="I29" s="6" t="s">
        <v>6519</v>
      </c>
      <c r="J29" s="6" t="s">
        <v>1600</v>
      </c>
      <c r="K29" s="6" t="s">
        <v>6572</v>
      </c>
      <c r="L29" s="8">
        <v>-0.16</v>
      </c>
      <c r="M29" s="6" t="s">
        <v>6573</v>
      </c>
      <c r="N29" s="8">
        <v>-0.16</v>
      </c>
      <c r="O29" s="6" t="s">
        <v>6574</v>
      </c>
      <c r="P29" s="6" t="s">
        <v>6575</v>
      </c>
      <c r="Q29" s="6">
        <f>36%</f>
        <v>0.36</v>
      </c>
      <c r="R29" s="6" t="s">
        <v>6576</v>
      </c>
      <c r="S29" s="6">
        <v>138</v>
      </c>
      <c r="T29" s="6" t="s">
        <v>6577</v>
      </c>
      <c r="U29" s="8">
        <v>-0.22</v>
      </c>
      <c r="V29" s="5" t="s">
        <v>6578</v>
      </c>
      <c r="W29" s="5" t="s">
        <v>6579</v>
      </c>
      <c r="X29" s="5" t="s">
        <v>6580</v>
      </c>
      <c r="Y29" s="5" t="s">
        <v>6581</v>
      </c>
      <c r="Z29" s="5" t="s">
        <v>6582</v>
      </c>
      <c r="AA29" s="5" t="s">
        <v>6581</v>
      </c>
      <c r="AB29" s="5" t="s">
        <v>6583</v>
      </c>
      <c r="AC29" s="5" t="s">
        <v>6581</v>
      </c>
      <c r="AD29" s="9" t="s">
        <v>6584</v>
      </c>
    </row>
    <row r="30" spans="1:30" ht="15.6" x14ac:dyDescent="0.3">
      <c r="A30" s="4">
        <v>29</v>
      </c>
      <c r="B30" s="5" t="s">
        <v>6585</v>
      </c>
      <c r="C30" s="6" t="s">
        <v>185</v>
      </c>
      <c r="D30" s="5" t="s">
        <v>6586</v>
      </c>
      <c r="E30" s="5" t="s">
        <v>33</v>
      </c>
      <c r="F30" s="6" t="s">
        <v>6587</v>
      </c>
      <c r="G30" s="6" t="s">
        <v>6588</v>
      </c>
      <c r="H30" s="6" t="s">
        <v>354</v>
      </c>
      <c r="I30" s="6" t="s">
        <v>6589</v>
      </c>
      <c r="J30" s="6" t="s">
        <v>3618</v>
      </c>
      <c r="K30" s="6" t="s">
        <v>2745</v>
      </c>
      <c r="L30" s="6">
        <f>19%</f>
        <v>0.19</v>
      </c>
      <c r="M30" s="6" t="s">
        <v>6590</v>
      </c>
      <c r="N30" s="6">
        <f>19%</f>
        <v>0.19</v>
      </c>
      <c r="O30" s="6" t="s">
        <v>6591</v>
      </c>
      <c r="P30" s="6" t="s">
        <v>6592</v>
      </c>
      <c r="Q30" s="6">
        <f>1.3%</f>
        <v>1.3000000000000001E-2</v>
      </c>
      <c r="R30" s="6" t="s">
        <v>6593</v>
      </c>
      <c r="S30" s="6">
        <v>611</v>
      </c>
      <c r="T30" s="6" t="s">
        <v>6594</v>
      </c>
      <c r="U30" s="6" t="s">
        <v>9262</v>
      </c>
      <c r="V30" s="5" t="s">
        <v>6595</v>
      </c>
      <c r="W30" s="5" t="s">
        <v>6596</v>
      </c>
      <c r="X30" s="5" t="s">
        <v>6597</v>
      </c>
      <c r="Y30" s="5" t="s">
        <v>6598</v>
      </c>
      <c r="Z30" s="5" t="s">
        <v>6599</v>
      </c>
      <c r="AA30" s="5" t="s">
        <v>6600</v>
      </c>
      <c r="AB30" s="5" t="s">
        <v>6601</v>
      </c>
      <c r="AC30" s="5" t="s">
        <v>6602</v>
      </c>
      <c r="AD30" s="9" t="s">
        <v>6603</v>
      </c>
    </row>
    <row r="31" spans="1:30" ht="15.6" x14ac:dyDescent="0.3">
      <c r="A31" s="4">
        <v>30</v>
      </c>
      <c r="B31" s="5" t="s">
        <v>6604</v>
      </c>
      <c r="C31" s="6" t="s">
        <v>72</v>
      </c>
      <c r="D31" s="5" t="s">
        <v>6605</v>
      </c>
      <c r="E31" s="5" t="s">
        <v>33</v>
      </c>
      <c r="F31" s="6" t="s">
        <v>6606</v>
      </c>
      <c r="G31" s="6" t="s">
        <v>6607</v>
      </c>
      <c r="H31" s="6" t="s">
        <v>4325</v>
      </c>
      <c r="I31" s="6" t="s">
        <v>834</v>
      </c>
      <c r="J31" s="6" t="s">
        <v>2517</v>
      </c>
      <c r="K31" s="6" t="s">
        <v>6608</v>
      </c>
      <c r="L31" s="6">
        <f>4.4%</f>
        <v>4.4000000000000004E-2</v>
      </c>
      <c r="M31" s="6" t="s">
        <v>6609</v>
      </c>
      <c r="N31" s="6">
        <f>4.4%</f>
        <v>4.4000000000000004E-2</v>
      </c>
      <c r="O31" s="6" t="s">
        <v>6610</v>
      </c>
      <c r="P31" s="6" t="s">
        <v>6611</v>
      </c>
      <c r="Q31" s="6">
        <f>80%</f>
        <v>0.8</v>
      </c>
      <c r="R31" s="6" t="s">
        <v>6612</v>
      </c>
      <c r="S31" s="6">
        <v>259</v>
      </c>
      <c r="T31" s="6" t="s">
        <v>6613</v>
      </c>
      <c r="U31" s="6"/>
      <c r="V31" s="5" t="s">
        <v>6614</v>
      </c>
      <c r="W31" s="5" t="s">
        <v>6615</v>
      </c>
      <c r="X31" s="5" t="s">
        <v>6616</v>
      </c>
      <c r="Y31" s="5" t="s">
        <v>6299</v>
      </c>
      <c r="Z31" s="5" t="s">
        <v>6617</v>
      </c>
      <c r="AA31" s="5" t="s">
        <v>6615</v>
      </c>
      <c r="AB31" s="5" t="s">
        <v>6618</v>
      </c>
      <c r="AC31" s="5" t="s">
        <v>6619</v>
      </c>
      <c r="AD31" s="9" t="s">
        <v>6620</v>
      </c>
    </row>
    <row r="32" spans="1:30" ht="15.6" x14ac:dyDescent="0.3">
      <c r="A32" s="4">
        <v>31</v>
      </c>
      <c r="B32" s="5" t="s">
        <v>6621</v>
      </c>
      <c r="C32" s="6" t="s">
        <v>72</v>
      </c>
      <c r="D32" s="5" t="s">
        <v>6622</v>
      </c>
      <c r="E32" s="5" t="s">
        <v>48</v>
      </c>
      <c r="F32" s="6" t="s">
        <v>6623</v>
      </c>
      <c r="G32" s="6" t="s">
        <v>6624</v>
      </c>
      <c r="H32" s="6" t="s">
        <v>411</v>
      </c>
      <c r="I32" s="6" t="s">
        <v>6625</v>
      </c>
      <c r="J32" s="6" t="s">
        <v>667</v>
      </c>
      <c r="K32" s="6" t="s">
        <v>6626</v>
      </c>
      <c r="L32" s="8">
        <v>-0.16</v>
      </c>
      <c r="M32" s="6" t="s">
        <v>6627</v>
      </c>
      <c r="N32" s="8">
        <v>-0.16</v>
      </c>
      <c r="O32" s="6" t="s">
        <v>6628</v>
      </c>
      <c r="P32" s="6" t="s">
        <v>6629</v>
      </c>
      <c r="Q32" s="6">
        <f>0.013%</f>
        <v>1.2999999999999999E-4</v>
      </c>
      <c r="R32" s="6" t="s">
        <v>6630</v>
      </c>
      <c r="S32" s="6">
        <v>543</v>
      </c>
      <c r="T32" s="6" t="s">
        <v>6631</v>
      </c>
      <c r="U32" s="8">
        <v>-0.56000000000000005</v>
      </c>
      <c r="V32" s="5" t="s">
        <v>6632</v>
      </c>
      <c r="W32" s="5" t="s">
        <v>6149</v>
      </c>
      <c r="X32" s="5" t="s">
        <v>6633</v>
      </c>
      <c r="Y32" s="5" t="s">
        <v>6634</v>
      </c>
      <c r="Z32" s="5" t="s">
        <v>6635</v>
      </c>
      <c r="AA32" s="5" t="s">
        <v>6636</v>
      </c>
      <c r="AB32" s="5" t="s">
        <v>6637</v>
      </c>
      <c r="AC32" s="5" t="s">
        <v>6579</v>
      </c>
      <c r="AD32" s="9" t="s">
        <v>6638</v>
      </c>
    </row>
    <row r="33" spans="1:30" ht="15.6" x14ac:dyDescent="0.3">
      <c r="A33" s="4">
        <v>32</v>
      </c>
      <c r="B33" s="5" t="s">
        <v>6639</v>
      </c>
      <c r="C33" s="6" t="s">
        <v>370</v>
      </c>
      <c r="D33" s="5" t="s">
        <v>6640</v>
      </c>
      <c r="E33" s="5" t="s">
        <v>48</v>
      </c>
      <c r="F33" s="6" t="s">
        <v>6641</v>
      </c>
      <c r="G33" s="6" t="s">
        <v>6642</v>
      </c>
      <c r="H33" s="6" t="s">
        <v>131</v>
      </c>
      <c r="I33" s="6" t="s">
        <v>271</v>
      </c>
      <c r="J33" s="6" t="s">
        <v>596</v>
      </c>
      <c r="K33" s="6" t="s">
        <v>2623</v>
      </c>
      <c r="L33" s="8">
        <v>-0.27</v>
      </c>
      <c r="M33" s="6" t="s">
        <v>6643</v>
      </c>
      <c r="N33" s="8">
        <v>-0.27</v>
      </c>
      <c r="O33" s="6" t="s">
        <v>6644</v>
      </c>
      <c r="P33" s="6" t="s">
        <v>6645</v>
      </c>
      <c r="Q33" s="6">
        <f>4.6%</f>
        <v>4.5999999999999999E-2</v>
      </c>
      <c r="R33" s="6" t="s">
        <v>6646</v>
      </c>
      <c r="S33" s="6">
        <v>148</v>
      </c>
      <c r="T33" s="6" t="s">
        <v>6647</v>
      </c>
      <c r="U33" s="8">
        <v>-0.23</v>
      </c>
      <c r="V33" s="5" t="s">
        <v>6648</v>
      </c>
      <c r="W33" s="5" t="s">
        <v>6649</v>
      </c>
      <c r="X33" s="5" t="s">
        <v>6650</v>
      </c>
      <c r="Y33" s="5" t="s">
        <v>6651</v>
      </c>
      <c r="Z33" s="5" t="s">
        <v>6652</v>
      </c>
      <c r="AA33" s="5" t="s">
        <v>6653</v>
      </c>
      <c r="AB33" s="5" t="s">
        <v>6654</v>
      </c>
      <c r="AC33" s="5" t="s">
        <v>6655</v>
      </c>
      <c r="AD33" s="9" t="s">
        <v>6656</v>
      </c>
    </row>
    <row r="34" spans="1:30" ht="15.6" x14ac:dyDescent="0.3">
      <c r="A34" s="4">
        <v>33</v>
      </c>
      <c r="B34" s="5" t="s">
        <v>6657</v>
      </c>
      <c r="C34" s="6" t="s">
        <v>219</v>
      </c>
      <c r="D34" s="5" t="s">
        <v>6658</v>
      </c>
      <c r="E34" s="5" t="s">
        <v>48</v>
      </c>
      <c r="F34" s="6" t="s">
        <v>6659</v>
      </c>
      <c r="G34" s="6" t="s">
        <v>6660</v>
      </c>
      <c r="H34" s="6" t="s">
        <v>131</v>
      </c>
      <c r="I34" s="8">
        <v>-0.51</v>
      </c>
      <c r="J34" s="6" t="s">
        <v>272</v>
      </c>
      <c r="K34" s="6" t="s">
        <v>6661</v>
      </c>
      <c r="L34" s="8">
        <v>-0.33</v>
      </c>
      <c r="M34" s="6" t="s">
        <v>6662</v>
      </c>
      <c r="N34" s="8">
        <v>-0.33</v>
      </c>
      <c r="O34" s="6" t="s">
        <v>6663</v>
      </c>
      <c r="P34" s="6" t="s">
        <v>6664</v>
      </c>
      <c r="Q34" s="6">
        <f>0.22</f>
        <v>0.22</v>
      </c>
      <c r="R34" s="6" t="s">
        <v>6665</v>
      </c>
      <c r="S34" s="6">
        <v>28</v>
      </c>
      <c r="T34" s="6" t="s">
        <v>2416</v>
      </c>
      <c r="U34" s="8">
        <v>-0.38</v>
      </c>
      <c r="V34" s="5" t="s">
        <v>6666</v>
      </c>
      <c r="W34" s="5" t="s">
        <v>6667</v>
      </c>
      <c r="X34" s="5" t="s">
        <v>6668</v>
      </c>
      <c r="Y34" s="5" t="s">
        <v>6669</v>
      </c>
      <c r="Z34" s="5" t="s">
        <v>6670</v>
      </c>
      <c r="AA34" s="5" t="s">
        <v>6667</v>
      </c>
      <c r="AB34" s="5" t="s">
        <v>6671</v>
      </c>
      <c r="AC34" s="5" t="s">
        <v>6672</v>
      </c>
      <c r="AD34" s="9" t="s">
        <v>6673</v>
      </c>
    </row>
    <row r="35" spans="1:30" ht="15.6" x14ac:dyDescent="0.3">
      <c r="A35" s="4">
        <v>34</v>
      </c>
      <c r="B35" s="5" t="s">
        <v>6674</v>
      </c>
      <c r="C35" s="6" t="s">
        <v>291</v>
      </c>
      <c r="D35" s="5" t="s">
        <v>6675</v>
      </c>
      <c r="E35" s="5" t="s">
        <v>48</v>
      </c>
      <c r="F35" s="6" t="s">
        <v>6676</v>
      </c>
      <c r="G35" s="6" t="s">
        <v>6677</v>
      </c>
      <c r="H35" s="6" t="s">
        <v>131</v>
      </c>
      <c r="I35" s="6" t="s">
        <v>3101</v>
      </c>
      <c r="J35" s="6" t="s">
        <v>846</v>
      </c>
      <c r="K35" s="6" t="s">
        <v>6678</v>
      </c>
      <c r="L35" s="6">
        <f>130%</f>
        <v>1.3</v>
      </c>
      <c r="M35" s="6" t="s">
        <v>6679</v>
      </c>
      <c r="N35" s="6">
        <f>130%</f>
        <v>1.3</v>
      </c>
      <c r="O35" s="6" t="s">
        <v>6680</v>
      </c>
      <c r="P35" s="6" t="s">
        <v>6681</v>
      </c>
      <c r="Q35" s="6">
        <f>0.21</f>
        <v>0.21</v>
      </c>
      <c r="R35" s="6" t="s">
        <v>6682</v>
      </c>
      <c r="S35" s="6">
        <v>213</v>
      </c>
      <c r="T35" s="6" t="s">
        <v>6683</v>
      </c>
      <c r="U35" s="6">
        <f>91%</f>
        <v>0.91</v>
      </c>
      <c r="V35" s="5" t="s">
        <v>6684</v>
      </c>
      <c r="W35" s="5" t="s">
        <v>6685</v>
      </c>
      <c r="X35" s="5" t="s">
        <v>6686</v>
      </c>
      <c r="Y35" s="5" t="s">
        <v>6372</v>
      </c>
      <c r="Z35" s="5" t="s">
        <v>6687</v>
      </c>
      <c r="AA35" s="5" t="s">
        <v>6319</v>
      </c>
      <c r="AB35" s="5" t="s">
        <v>6688</v>
      </c>
      <c r="AC35" s="5" t="s">
        <v>6372</v>
      </c>
      <c r="AD35" s="9" t="s">
        <v>6689</v>
      </c>
    </row>
    <row r="36" spans="1:30" ht="15.6" x14ac:dyDescent="0.3">
      <c r="A36" s="4">
        <v>35</v>
      </c>
      <c r="B36" s="5" t="s">
        <v>6690</v>
      </c>
      <c r="C36" s="6" t="s">
        <v>291</v>
      </c>
      <c r="D36" s="5" t="s">
        <v>6691</v>
      </c>
      <c r="E36" s="5" t="s">
        <v>48</v>
      </c>
      <c r="F36" s="6" t="s">
        <v>6692</v>
      </c>
      <c r="G36" s="6" t="s">
        <v>6693</v>
      </c>
      <c r="H36" s="6" t="s">
        <v>38</v>
      </c>
      <c r="I36" s="8">
        <v>-0.28999999999999998</v>
      </c>
      <c r="J36" s="6" t="s">
        <v>1453</v>
      </c>
      <c r="K36" s="6" t="s">
        <v>6694</v>
      </c>
      <c r="L36" s="6">
        <f>41%</f>
        <v>0.41</v>
      </c>
      <c r="M36" s="6" t="s">
        <v>6695</v>
      </c>
      <c r="N36" s="6">
        <f>41%</f>
        <v>0.41</v>
      </c>
      <c r="O36" s="6" t="s">
        <v>6696</v>
      </c>
      <c r="P36" s="6" t="s">
        <v>6697</v>
      </c>
      <c r="Q36" s="6">
        <f>0.14</f>
        <v>0.14000000000000001</v>
      </c>
      <c r="R36" s="6" t="s">
        <v>6698</v>
      </c>
      <c r="S36" s="6">
        <v>85</v>
      </c>
      <c r="T36" s="6" t="s">
        <v>2013</v>
      </c>
      <c r="U36" s="6">
        <f>14%</f>
        <v>0.14000000000000001</v>
      </c>
      <c r="V36" s="5" t="s">
        <v>6699</v>
      </c>
      <c r="W36" s="5" t="s">
        <v>6700</v>
      </c>
      <c r="X36" s="5" t="s">
        <v>6701</v>
      </c>
      <c r="Y36" s="5" t="s">
        <v>6702</v>
      </c>
      <c r="Z36" s="5" t="s">
        <v>6703</v>
      </c>
      <c r="AA36" s="5" t="s">
        <v>6322</v>
      </c>
      <c r="AB36" s="5" t="s">
        <v>6704</v>
      </c>
      <c r="AC36" s="5" t="s">
        <v>6705</v>
      </c>
      <c r="AD36" s="9" t="s">
        <v>6706</v>
      </c>
    </row>
    <row r="37" spans="1:30" ht="15.6" x14ac:dyDescent="0.3">
      <c r="A37" s="4">
        <v>36</v>
      </c>
      <c r="B37" s="5" t="s">
        <v>6707</v>
      </c>
      <c r="C37" s="6" t="s">
        <v>1408</v>
      </c>
      <c r="D37" s="5" t="s">
        <v>6708</v>
      </c>
      <c r="E37" s="5" t="s">
        <v>48</v>
      </c>
      <c r="F37" s="6" t="s">
        <v>6709</v>
      </c>
      <c r="G37" s="6" t="s">
        <v>6710</v>
      </c>
      <c r="H37" s="6" t="s">
        <v>38</v>
      </c>
      <c r="I37" s="8">
        <v>-0.46</v>
      </c>
      <c r="J37" s="6" t="s">
        <v>687</v>
      </c>
      <c r="K37" s="6" t="s">
        <v>6711</v>
      </c>
      <c r="L37" s="6">
        <f>30%</f>
        <v>0.3</v>
      </c>
      <c r="M37" s="6" t="s">
        <v>6712</v>
      </c>
      <c r="N37" s="6">
        <f>30%</f>
        <v>0.3</v>
      </c>
      <c r="O37" s="6" t="s">
        <v>6713</v>
      </c>
      <c r="P37" s="6" t="s">
        <v>6714</v>
      </c>
      <c r="Q37" s="6">
        <f>0.11</f>
        <v>0.11</v>
      </c>
      <c r="R37" s="6" t="s">
        <v>6715</v>
      </c>
      <c r="S37" s="6">
        <v>136</v>
      </c>
      <c r="T37" s="6" t="s">
        <v>6716</v>
      </c>
      <c r="U37" s="6">
        <f>2.1%</f>
        <v>2.1000000000000001E-2</v>
      </c>
      <c r="V37" s="5" t="s">
        <v>6717</v>
      </c>
      <c r="W37" s="5" t="s">
        <v>6718</v>
      </c>
      <c r="X37" s="5" t="s">
        <v>6719</v>
      </c>
      <c r="Y37" s="5" t="s">
        <v>6720</v>
      </c>
      <c r="Z37" s="5" t="s">
        <v>6721</v>
      </c>
      <c r="AA37" s="5" t="s">
        <v>6722</v>
      </c>
      <c r="AB37" s="5" t="s">
        <v>6723</v>
      </c>
      <c r="AC37" s="5" t="s">
        <v>6724</v>
      </c>
      <c r="AD37" s="9" t="s">
        <v>6725</v>
      </c>
    </row>
    <row r="38" spans="1:30" ht="15.6" x14ac:dyDescent="0.3">
      <c r="A38" s="4">
        <v>37</v>
      </c>
      <c r="B38" s="5" t="s">
        <v>6726</v>
      </c>
      <c r="C38" s="6" t="s">
        <v>267</v>
      </c>
      <c r="D38" s="5" t="s">
        <v>6727</v>
      </c>
      <c r="E38" s="5" t="s">
        <v>33</v>
      </c>
      <c r="F38" s="6" t="s">
        <v>6728</v>
      </c>
      <c r="G38" s="6" t="s">
        <v>6729</v>
      </c>
      <c r="H38" s="6" t="s">
        <v>1808</v>
      </c>
      <c r="I38" s="6" t="s">
        <v>6730</v>
      </c>
      <c r="J38" s="6" t="s">
        <v>442</v>
      </c>
      <c r="K38" s="6" t="s">
        <v>6731</v>
      </c>
      <c r="L38" s="6">
        <f>9.6%</f>
        <v>9.6000000000000002E-2</v>
      </c>
      <c r="M38" s="6" t="s">
        <v>6732</v>
      </c>
      <c r="N38" s="6">
        <f>9.6%</f>
        <v>9.6000000000000002E-2</v>
      </c>
      <c r="O38" s="6" t="s">
        <v>6733</v>
      </c>
      <c r="P38" s="6" t="s">
        <v>6734</v>
      </c>
      <c r="Q38" s="6">
        <f>53%</f>
        <v>0.53</v>
      </c>
      <c r="R38" s="6" t="s">
        <v>6735</v>
      </c>
      <c r="S38" s="6">
        <v>880</v>
      </c>
      <c r="T38" s="6" t="s">
        <v>6736</v>
      </c>
      <c r="U38" s="6">
        <f>7.8%</f>
        <v>7.8E-2</v>
      </c>
      <c r="V38" s="5" t="s">
        <v>6737</v>
      </c>
      <c r="W38" s="5" t="s">
        <v>6738</v>
      </c>
      <c r="X38" s="5" t="s">
        <v>6652</v>
      </c>
      <c r="Y38" s="5" t="s">
        <v>6653</v>
      </c>
      <c r="Z38" s="5" t="s">
        <v>6739</v>
      </c>
      <c r="AA38" s="5" t="s">
        <v>6740</v>
      </c>
      <c r="AB38" s="5" t="s">
        <v>6741</v>
      </c>
      <c r="AC38" s="5" t="s">
        <v>6742</v>
      </c>
      <c r="AD38" s="9" t="s">
        <v>6743</v>
      </c>
    </row>
    <row r="39" spans="1:30" ht="15.6" x14ac:dyDescent="0.3">
      <c r="A39" s="4">
        <v>38</v>
      </c>
      <c r="B39" s="5" t="s">
        <v>6744</v>
      </c>
      <c r="C39" s="6" t="s">
        <v>148</v>
      </c>
      <c r="D39" s="5" t="s">
        <v>6745</v>
      </c>
      <c r="E39" s="5" t="s">
        <v>33</v>
      </c>
      <c r="F39" s="6" t="s">
        <v>6746</v>
      </c>
      <c r="G39" s="6" t="s">
        <v>6747</v>
      </c>
      <c r="H39" s="6" t="s">
        <v>1808</v>
      </c>
      <c r="I39" s="6" t="s">
        <v>6748</v>
      </c>
      <c r="J39" s="6" t="s">
        <v>309</v>
      </c>
      <c r="K39" s="6" t="s">
        <v>6749</v>
      </c>
      <c r="L39" s="6">
        <f>26%</f>
        <v>0.26</v>
      </c>
      <c r="M39" s="6" t="s">
        <v>6750</v>
      </c>
      <c r="N39" s="6">
        <f>26%</f>
        <v>0.26</v>
      </c>
      <c r="O39" s="6" t="s">
        <v>6751</v>
      </c>
      <c r="P39" s="6" t="s">
        <v>6752</v>
      </c>
      <c r="Q39" s="6">
        <f>0.86%</f>
        <v>8.6E-3</v>
      </c>
      <c r="R39" s="6" t="s">
        <v>6753</v>
      </c>
      <c r="S39" s="6">
        <v>194</v>
      </c>
      <c r="T39" s="6" t="s">
        <v>6754</v>
      </c>
      <c r="U39" s="8">
        <v>-0.34</v>
      </c>
      <c r="V39" s="5" t="s">
        <v>6755</v>
      </c>
      <c r="W39" s="5" t="s">
        <v>6372</v>
      </c>
      <c r="X39" s="5" t="s">
        <v>6756</v>
      </c>
      <c r="Y39" s="5" t="s">
        <v>6757</v>
      </c>
      <c r="Z39" s="5" t="s">
        <v>6758</v>
      </c>
      <c r="AA39" s="5" t="s">
        <v>6759</v>
      </c>
      <c r="AB39" s="5" t="s">
        <v>6760</v>
      </c>
      <c r="AC39" s="5" t="s">
        <v>6759</v>
      </c>
      <c r="AD39" s="9" t="s">
        <v>6761</v>
      </c>
    </row>
    <row r="40" spans="1:30" ht="15.6" x14ac:dyDescent="0.3">
      <c r="A40" s="4">
        <v>39</v>
      </c>
      <c r="B40" s="5" t="s">
        <v>6762</v>
      </c>
      <c r="C40" s="6" t="s">
        <v>185</v>
      </c>
      <c r="D40" s="5" t="s">
        <v>6763</v>
      </c>
      <c r="E40" s="5" t="s">
        <v>48</v>
      </c>
      <c r="F40" s="6" t="s">
        <v>6764</v>
      </c>
      <c r="G40" s="6" t="s">
        <v>6765</v>
      </c>
      <c r="H40" s="6" t="s">
        <v>1808</v>
      </c>
      <c r="I40" s="6" t="s">
        <v>6766</v>
      </c>
      <c r="J40" s="6" t="s">
        <v>1093</v>
      </c>
      <c r="K40" s="6" t="s">
        <v>6767</v>
      </c>
      <c r="L40" s="6" t="s">
        <v>591</v>
      </c>
      <c r="M40" s="6" t="s">
        <v>6768</v>
      </c>
      <c r="N40" s="6" t="s">
        <v>591</v>
      </c>
      <c r="O40" s="6" t="s">
        <v>814</v>
      </c>
      <c r="P40" s="6" t="s">
        <v>6769</v>
      </c>
      <c r="Q40" s="6">
        <f>6%</f>
        <v>0.06</v>
      </c>
      <c r="R40" s="6" t="s">
        <v>6770</v>
      </c>
      <c r="S40" s="6">
        <v>316</v>
      </c>
      <c r="T40" s="6" t="s">
        <v>6771</v>
      </c>
      <c r="U40" s="8">
        <v>-0.27</v>
      </c>
      <c r="V40" s="5" t="s">
        <v>6772</v>
      </c>
      <c r="W40" s="5" t="s">
        <v>6773</v>
      </c>
      <c r="X40" s="5" t="s">
        <v>6774</v>
      </c>
      <c r="Y40" s="5" t="s">
        <v>6775</v>
      </c>
      <c r="Z40" s="5" t="s">
        <v>6776</v>
      </c>
      <c r="AA40" s="5" t="s">
        <v>6777</v>
      </c>
      <c r="AB40" s="5" t="s">
        <v>6778</v>
      </c>
      <c r="AC40" s="5" t="s">
        <v>6779</v>
      </c>
      <c r="AD40" s="9" t="s">
        <v>6780</v>
      </c>
    </row>
    <row r="41" spans="1:30" ht="15.6" x14ac:dyDescent="0.3">
      <c r="A41" s="4">
        <v>40</v>
      </c>
      <c r="B41" s="5" t="s">
        <v>6781</v>
      </c>
      <c r="C41" s="6" t="s">
        <v>72</v>
      </c>
      <c r="D41" s="5" t="s">
        <v>6782</v>
      </c>
      <c r="E41" s="5" t="s">
        <v>48</v>
      </c>
      <c r="F41" s="6" t="s">
        <v>6783</v>
      </c>
      <c r="G41" s="6" t="s">
        <v>6784</v>
      </c>
      <c r="H41" s="6" t="s">
        <v>1808</v>
      </c>
      <c r="I41" s="6">
        <f>3.6%</f>
        <v>3.6000000000000004E-2</v>
      </c>
      <c r="J41" s="6" t="s">
        <v>3435</v>
      </c>
      <c r="K41" s="6" t="s">
        <v>6785</v>
      </c>
      <c r="L41" s="6" t="s">
        <v>217</v>
      </c>
      <c r="M41" s="6" t="s">
        <v>6786</v>
      </c>
      <c r="N41" s="6" t="s">
        <v>6787</v>
      </c>
      <c r="O41" s="6" t="s">
        <v>6788</v>
      </c>
      <c r="P41" s="6" t="s">
        <v>6789</v>
      </c>
      <c r="Q41" s="6">
        <f>0.22</f>
        <v>0.22</v>
      </c>
      <c r="R41" s="6" t="s">
        <v>6790</v>
      </c>
      <c r="S41" s="6">
        <v>133</v>
      </c>
      <c r="T41" s="6" t="s">
        <v>6791</v>
      </c>
      <c r="U41" s="6">
        <f>65%</f>
        <v>0.65</v>
      </c>
      <c r="V41" s="5" t="s">
        <v>6792</v>
      </c>
      <c r="W41" s="5" t="s">
        <v>6793</v>
      </c>
      <c r="X41" s="5" t="s">
        <v>6794</v>
      </c>
      <c r="Y41" s="5" t="s">
        <v>6357</v>
      </c>
      <c r="Z41" s="5" t="s">
        <v>6795</v>
      </c>
      <c r="AA41" s="5" t="s">
        <v>6796</v>
      </c>
      <c r="AB41" s="5" t="s">
        <v>6797</v>
      </c>
      <c r="AC41" s="5" t="s">
        <v>6793</v>
      </c>
      <c r="AD41" s="9" t="s">
        <v>6798</v>
      </c>
    </row>
    <row r="42" spans="1:30" ht="15.6" x14ac:dyDescent="0.3">
      <c r="A42" s="4">
        <v>41</v>
      </c>
      <c r="B42" s="5" t="s">
        <v>6799</v>
      </c>
      <c r="C42" s="6" t="s">
        <v>46</v>
      </c>
      <c r="D42" s="5" t="s">
        <v>6800</v>
      </c>
      <c r="E42" s="5" t="s">
        <v>48</v>
      </c>
      <c r="F42" s="6" t="s">
        <v>6801</v>
      </c>
      <c r="G42" s="6" t="s">
        <v>6802</v>
      </c>
      <c r="H42" s="6" t="s">
        <v>1609</v>
      </c>
      <c r="I42" s="6" t="s">
        <v>6803</v>
      </c>
      <c r="J42" s="6" t="s">
        <v>2517</v>
      </c>
      <c r="K42" s="6" t="s">
        <v>6804</v>
      </c>
      <c r="L42" s="6">
        <f>29%</f>
        <v>0.28999999999999998</v>
      </c>
      <c r="M42" s="6" t="s">
        <v>6805</v>
      </c>
      <c r="N42" s="6">
        <f>29%</f>
        <v>0.28999999999999998</v>
      </c>
      <c r="O42" s="6" t="s">
        <v>6806</v>
      </c>
      <c r="P42" s="6" t="s">
        <v>6807</v>
      </c>
      <c r="Q42" s="6">
        <f>46%</f>
        <v>0.46</v>
      </c>
      <c r="R42" s="6" t="s">
        <v>6808</v>
      </c>
      <c r="S42" s="6">
        <v>506</v>
      </c>
      <c r="T42" s="6" t="s">
        <v>6809</v>
      </c>
      <c r="U42" s="6">
        <f>3.5%</f>
        <v>3.5000000000000003E-2</v>
      </c>
      <c r="V42" s="5" t="s">
        <v>6509</v>
      </c>
      <c r="W42" s="5" t="s">
        <v>6510</v>
      </c>
      <c r="X42" s="5" t="s">
        <v>6810</v>
      </c>
      <c r="Y42" s="5" t="s">
        <v>6811</v>
      </c>
      <c r="Z42" s="5" t="s">
        <v>6582</v>
      </c>
      <c r="AA42" s="5" t="s">
        <v>6581</v>
      </c>
      <c r="AB42" s="5" t="s">
        <v>6812</v>
      </c>
      <c r="AC42" s="5" t="s">
        <v>6813</v>
      </c>
      <c r="AD42" s="9" t="s">
        <v>6814</v>
      </c>
    </row>
    <row r="43" spans="1:30" ht="15.6" x14ac:dyDescent="0.3">
      <c r="A43" s="4">
        <v>42</v>
      </c>
      <c r="B43" s="5" t="s">
        <v>6815</v>
      </c>
      <c r="C43" s="6" t="s">
        <v>114</v>
      </c>
      <c r="D43" s="5" t="s">
        <v>6816</v>
      </c>
      <c r="E43" s="5" t="s">
        <v>48</v>
      </c>
      <c r="F43" s="6" t="s">
        <v>6817</v>
      </c>
      <c r="G43" s="6" t="s">
        <v>6818</v>
      </c>
      <c r="H43" s="6" t="s">
        <v>1609</v>
      </c>
      <c r="I43" s="6" t="s">
        <v>6519</v>
      </c>
      <c r="J43" s="6" t="s">
        <v>1130</v>
      </c>
      <c r="K43" s="6" t="s">
        <v>6819</v>
      </c>
      <c r="L43" s="8">
        <v>-0.32</v>
      </c>
      <c r="M43" s="6" t="s">
        <v>6820</v>
      </c>
      <c r="N43" s="8">
        <v>-0.32</v>
      </c>
      <c r="O43" s="6" t="s">
        <v>6821</v>
      </c>
      <c r="P43" s="6" t="s">
        <v>6822</v>
      </c>
      <c r="Q43" s="6">
        <f>300%</f>
        <v>3</v>
      </c>
      <c r="R43" s="6" t="s">
        <v>6823</v>
      </c>
      <c r="S43" s="6">
        <v>114</v>
      </c>
      <c r="T43" s="6" t="s">
        <v>6824</v>
      </c>
      <c r="U43" s="6">
        <f>96%</f>
        <v>0.96</v>
      </c>
      <c r="V43" s="5" t="s">
        <v>6737</v>
      </c>
      <c r="W43" s="5" t="s">
        <v>6738</v>
      </c>
      <c r="X43" s="5" t="s">
        <v>6825</v>
      </c>
      <c r="Y43" s="5" t="s">
        <v>6826</v>
      </c>
      <c r="Z43" s="5" t="s">
        <v>6827</v>
      </c>
      <c r="AA43" s="5" t="s">
        <v>6828</v>
      </c>
      <c r="AB43" s="5" t="s">
        <v>6829</v>
      </c>
      <c r="AC43" s="5" t="s">
        <v>6830</v>
      </c>
      <c r="AD43" s="9" t="s">
        <v>6831</v>
      </c>
    </row>
    <row r="44" spans="1:30" ht="15.6" x14ac:dyDescent="0.3">
      <c r="A44" s="4">
        <v>43</v>
      </c>
      <c r="B44" s="5" t="s">
        <v>6832</v>
      </c>
      <c r="C44" s="6" t="s">
        <v>370</v>
      </c>
      <c r="D44" s="5" t="s">
        <v>6833</v>
      </c>
      <c r="E44" s="5" t="s">
        <v>48</v>
      </c>
      <c r="F44" s="6" t="s">
        <v>6834</v>
      </c>
      <c r="G44" s="6" t="s">
        <v>6835</v>
      </c>
      <c r="H44" s="6" t="s">
        <v>374</v>
      </c>
      <c r="I44" s="8">
        <v>-0.18</v>
      </c>
      <c r="J44" s="6" t="s">
        <v>354</v>
      </c>
      <c r="K44" s="6" t="s">
        <v>6836</v>
      </c>
      <c r="L44" s="6">
        <f>9.4%</f>
        <v>9.4E-2</v>
      </c>
      <c r="M44" s="6" t="s">
        <v>6837</v>
      </c>
      <c r="N44" s="6">
        <f>9.4%</f>
        <v>9.4E-2</v>
      </c>
      <c r="O44" s="6" t="s">
        <v>6838</v>
      </c>
      <c r="P44" s="6" t="s">
        <v>6839</v>
      </c>
      <c r="Q44" s="6">
        <f>0.045</f>
        <v>4.4999999999999998E-2</v>
      </c>
      <c r="R44" s="6" t="s">
        <v>6840</v>
      </c>
      <c r="S44" s="6">
        <v>412</v>
      </c>
      <c r="T44" s="6" t="s">
        <v>6841</v>
      </c>
      <c r="U44" s="6">
        <f>11%</f>
        <v>0.11</v>
      </c>
      <c r="V44" s="5" t="s">
        <v>6842</v>
      </c>
      <c r="W44" s="5" t="s">
        <v>6843</v>
      </c>
      <c r="X44" s="5" t="s">
        <v>6844</v>
      </c>
      <c r="Y44" s="5" t="s">
        <v>6845</v>
      </c>
      <c r="Z44" s="5" t="s">
        <v>6846</v>
      </c>
      <c r="AA44" s="5" t="s">
        <v>6847</v>
      </c>
      <c r="AB44" s="5" t="s">
        <v>99</v>
      </c>
      <c r="AC44" s="5" t="s">
        <v>100</v>
      </c>
      <c r="AD44" s="7"/>
    </row>
    <row r="45" spans="1:30" ht="15.6" x14ac:dyDescent="0.3">
      <c r="A45" s="4">
        <v>44</v>
      </c>
      <c r="B45" s="5" t="s">
        <v>6848</v>
      </c>
      <c r="C45" s="6" t="s">
        <v>114</v>
      </c>
      <c r="D45" s="5" t="s">
        <v>6849</v>
      </c>
      <c r="E45" s="5" t="s">
        <v>48</v>
      </c>
      <c r="F45" s="6" t="s">
        <v>6850</v>
      </c>
      <c r="G45" s="6" t="s">
        <v>6851</v>
      </c>
      <c r="H45" s="6" t="s">
        <v>374</v>
      </c>
      <c r="I45" s="6" t="s">
        <v>708</v>
      </c>
      <c r="J45" s="6" t="s">
        <v>1258</v>
      </c>
      <c r="K45" s="6" t="s">
        <v>6852</v>
      </c>
      <c r="L45" s="8">
        <v>-0.17</v>
      </c>
      <c r="M45" s="6" t="s">
        <v>6853</v>
      </c>
      <c r="N45" s="8">
        <v>-0.17</v>
      </c>
      <c r="O45" s="6" t="s">
        <v>6854</v>
      </c>
      <c r="P45" s="6" t="s">
        <v>6855</v>
      </c>
      <c r="Q45" s="6">
        <f>0.15</f>
        <v>0.15</v>
      </c>
      <c r="R45" s="6" t="s">
        <v>6856</v>
      </c>
      <c r="S45" s="6">
        <v>471</v>
      </c>
      <c r="T45" s="6" t="s">
        <v>6857</v>
      </c>
      <c r="U45" s="6">
        <f>63%</f>
        <v>0.63</v>
      </c>
      <c r="V45" s="5" t="s">
        <v>6858</v>
      </c>
      <c r="W45" s="5" t="s">
        <v>6859</v>
      </c>
      <c r="X45" s="5" t="s">
        <v>6860</v>
      </c>
      <c r="Y45" s="5" t="s">
        <v>6861</v>
      </c>
      <c r="Z45" s="5" t="s">
        <v>6862</v>
      </c>
      <c r="AA45" s="5" t="s">
        <v>6863</v>
      </c>
      <c r="AB45" s="5" t="s">
        <v>6864</v>
      </c>
      <c r="AC45" s="5" t="s">
        <v>6865</v>
      </c>
      <c r="AD45" s="9" t="s">
        <v>6866</v>
      </c>
    </row>
    <row r="46" spans="1:30" ht="15.6" x14ac:dyDescent="0.3">
      <c r="A46" s="4">
        <v>45</v>
      </c>
      <c r="B46" s="5" t="s">
        <v>6867</v>
      </c>
      <c r="C46" s="6" t="s">
        <v>72</v>
      </c>
      <c r="D46" s="5" t="s">
        <v>6868</v>
      </c>
      <c r="E46" s="5" t="s">
        <v>48</v>
      </c>
      <c r="F46" s="6" t="s">
        <v>6869</v>
      </c>
      <c r="G46" s="6" t="s">
        <v>6870</v>
      </c>
      <c r="H46" s="6" t="s">
        <v>374</v>
      </c>
      <c r="I46" s="6" t="s">
        <v>6871</v>
      </c>
      <c r="J46" s="6" t="s">
        <v>36</v>
      </c>
      <c r="K46" s="6" t="s">
        <v>6872</v>
      </c>
      <c r="L46" s="8">
        <v>-0.26</v>
      </c>
      <c r="M46" s="6" t="s">
        <v>6873</v>
      </c>
      <c r="N46" s="8">
        <v>-0.26</v>
      </c>
      <c r="O46" s="6" t="s">
        <v>6874</v>
      </c>
      <c r="P46" s="6" t="s">
        <v>6875</v>
      </c>
      <c r="Q46" s="6">
        <f>4.3%</f>
        <v>4.2999999999999997E-2</v>
      </c>
      <c r="R46" s="6" t="s">
        <v>6876</v>
      </c>
      <c r="S46" s="6">
        <v>113</v>
      </c>
      <c r="T46" s="6" t="s">
        <v>6877</v>
      </c>
      <c r="U46" s="6"/>
      <c r="V46" s="5" t="s">
        <v>6878</v>
      </c>
      <c r="W46" s="5" t="s">
        <v>6879</v>
      </c>
      <c r="X46" s="5" t="s">
        <v>6880</v>
      </c>
      <c r="Y46" s="5" t="s">
        <v>6881</v>
      </c>
      <c r="Z46" s="5" t="s">
        <v>6882</v>
      </c>
      <c r="AA46" s="5" t="s">
        <v>6881</v>
      </c>
      <c r="AB46" s="5" t="s">
        <v>6883</v>
      </c>
      <c r="AC46" s="5" t="s">
        <v>6884</v>
      </c>
      <c r="AD46" s="9" t="s">
        <v>6885</v>
      </c>
    </row>
    <row r="47" spans="1:30" ht="15.6" x14ac:dyDescent="0.3">
      <c r="A47" s="4">
        <v>46</v>
      </c>
      <c r="B47" s="5" t="s">
        <v>6886</v>
      </c>
      <c r="C47" s="6" t="s">
        <v>567</v>
      </c>
      <c r="D47" s="5" t="s">
        <v>6887</v>
      </c>
      <c r="E47" s="5" t="s">
        <v>162</v>
      </c>
      <c r="F47" s="6" t="s">
        <v>6888</v>
      </c>
      <c r="G47" s="6" t="s">
        <v>6889</v>
      </c>
      <c r="H47" s="6" t="s">
        <v>272</v>
      </c>
      <c r="I47" s="8">
        <v>-0.86</v>
      </c>
      <c r="J47" s="6" t="s">
        <v>343</v>
      </c>
      <c r="K47" s="6" t="s">
        <v>6890</v>
      </c>
      <c r="L47" s="8">
        <v>-0.24</v>
      </c>
      <c r="M47" s="6" t="s">
        <v>6891</v>
      </c>
      <c r="N47" s="8">
        <v>-0.24</v>
      </c>
      <c r="O47" s="6" t="s">
        <v>6892</v>
      </c>
      <c r="P47" s="6" t="s">
        <v>6893</v>
      </c>
      <c r="Q47" s="6">
        <f>0.023</f>
        <v>2.3E-2</v>
      </c>
      <c r="R47" s="6" t="s">
        <v>6894</v>
      </c>
      <c r="S47" s="6" t="s">
        <v>6895</v>
      </c>
      <c r="T47" s="6" t="s">
        <v>6896</v>
      </c>
      <c r="U47" s="8">
        <v>-0.71</v>
      </c>
      <c r="V47" s="5" t="s">
        <v>6897</v>
      </c>
      <c r="W47" s="5" t="s">
        <v>6898</v>
      </c>
      <c r="X47" s="5" t="s">
        <v>6899</v>
      </c>
      <c r="Y47" s="5" t="s">
        <v>6900</v>
      </c>
      <c r="Z47" s="5" t="s">
        <v>6901</v>
      </c>
      <c r="AA47" s="5" t="s">
        <v>6902</v>
      </c>
      <c r="AB47" s="5" t="s">
        <v>6903</v>
      </c>
      <c r="AC47" s="5" t="s">
        <v>6904</v>
      </c>
      <c r="AD47" s="9" t="s">
        <v>6905</v>
      </c>
    </row>
    <row r="48" spans="1:30" ht="15.6" x14ac:dyDescent="0.3">
      <c r="A48" s="4">
        <v>47</v>
      </c>
      <c r="B48" s="5" t="s">
        <v>6906</v>
      </c>
      <c r="C48" s="6" t="s">
        <v>370</v>
      </c>
      <c r="D48" s="5" t="s">
        <v>6907</v>
      </c>
      <c r="E48" s="5" t="s">
        <v>48</v>
      </c>
      <c r="F48" s="6" t="s">
        <v>6908</v>
      </c>
      <c r="G48" s="6" t="s">
        <v>6909</v>
      </c>
      <c r="H48" s="6" t="s">
        <v>272</v>
      </c>
      <c r="I48" s="6">
        <f>110%</f>
        <v>1.1000000000000001</v>
      </c>
      <c r="J48" s="6" t="s">
        <v>421</v>
      </c>
      <c r="K48" s="6" t="s">
        <v>6910</v>
      </c>
      <c r="L48" s="6">
        <f>170%</f>
        <v>1.7</v>
      </c>
      <c r="M48" s="6" t="s">
        <v>6786</v>
      </c>
      <c r="N48" s="6">
        <f>170%</f>
        <v>1.7</v>
      </c>
      <c r="O48" s="6" t="s">
        <v>6911</v>
      </c>
      <c r="P48" s="6" t="s">
        <v>6912</v>
      </c>
      <c r="Q48" s="6">
        <f>0.15</f>
        <v>0.15</v>
      </c>
      <c r="R48" s="6" t="s">
        <v>6913</v>
      </c>
      <c r="S48" s="6">
        <v>271</v>
      </c>
      <c r="T48" s="6" t="s">
        <v>6914</v>
      </c>
      <c r="U48" s="6">
        <f>560%</f>
        <v>5.6</v>
      </c>
      <c r="V48" s="5" t="s">
        <v>6915</v>
      </c>
      <c r="W48" s="5" t="s">
        <v>6916</v>
      </c>
      <c r="X48" s="5" t="s">
        <v>6917</v>
      </c>
      <c r="Y48" s="5" t="s">
        <v>6916</v>
      </c>
      <c r="Z48" s="5" t="s">
        <v>6918</v>
      </c>
      <c r="AA48" s="5" t="s">
        <v>6916</v>
      </c>
      <c r="AB48" s="5" t="s">
        <v>6919</v>
      </c>
      <c r="AC48" s="5" t="s">
        <v>6920</v>
      </c>
      <c r="AD48" s="9" t="s">
        <v>6921</v>
      </c>
    </row>
    <row r="49" spans="1:30" ht="15.6" x14ac:dyDescent="0.3">
      <c r="A49" s="4">
        <v>48</v>
      </c>
      <c r="B49" s="5" t="s">
        <v>6922</v>
      </c>
      <c r="C49" s="6" t="s">
        <v>1408</v>
      </c>
      <c r="D49" s="5" t="s">
        <v>6923</v>
      </c>
      <c r="E49" s="5" t="s">
        <v>48</v>
      </c>
      <c r="F49" s="6" t="s">
        <v>6924</v>
      </c>
      <c r="G49" s="6" t="s">
        <v>6925</v>
      </c>
      <c r="H49" s="6" t="s">
        <v>397</v>
      </c>
      <c r="I49" s="6" t="s">
        <v>1290</v>
      </c>
      <c r="J49" s="6" t="s">
        <v>1649</v>
      </c>
      <c r="K49" s="6" t="s">
        <v>6926</v>
      </c>
      <c r="L49" s="6">
        <f>16%</f>
        <v>0.16</v>
      </c>
      <c r="M49" s="6" t="s">
        <v>6927</v>
      </c>
      <c r="N49" s="6">
        <f>17%</f>
        <v>0.17</v>
      </c>
      <c r="O49" s="6" t="s">
        <v>6928</v>
      </c>
      <c r="P49" s="6" t="s">
        <v>6929</v>
      </c>
      <c r="Q49" s="6">
        <f>0.0002</f>
        <v>2.0000000000000001E-4</v>
      </c>
      <c r="R49" s="6" t="s">
        <v>6930</v>
      </c>
      <c r="S49" s="6">
        <v>126</v>
      </c>
      <c r="T49" s="6" t="s">
        <v>6931</v>
      </c>
      <c r="U49" s="8">
        <v>-0.44</v>
      </c>
      <c r="V49" s="5" t="s">
        <v>6932</v>
      </c>
      <c r="W49" s="5" t="s">
        <v>6933</v>
      </c>
      <c r="X49" s="5" t="s">
        <v>6934</v>
      </c>
      <c r="Y49" s="5" t="s">
        <v>6935</v>
      </c>
      <c r="Z49" s="5" t="s">
        <v>6936</v>
      </c>
      <c r="AA49" s="5" t="s">
        <v>6935</v>
      </c>
      <c r="AB49" s="5" t="s">
        <v>6937</v>
      </c>
      <c r="AC49" s="5" t="s">
        <v>6938</v>
      </c>
      <c r="AD49" s="7"/>
    </row>
    <row r="50" spans="1:30" ht="15.6" x14ac:dyDescent="0.3">
      <c r="A50" s="4">
        <v>49</v>
      </c>
      <c r="B50" s="5" t="s">
        <v>6939</v>
      </c>
      <c r="C50" s="6" t="s">
        <v>267</v>
      </c>
      <c r="D50" s="5" t="s">
        <v>6940</v>
      </c>
      <c r="E50" s="5" t="s">
        <v>48</v>
      </c>
      <c r="F50" s="6" t="s">
        <v>6941</v>
      </c>
      <c r="G50" s="6" t="s">
        <v>6942</v>
      </c>
      <c r="H50" s="6" t="s">
        <v>397</v>
      </c>
      <c r="I50" s="8">
        <v>-0.65</v>
      </c>
      <c r="J50" s="6" t="s">
        <v>131</v>
      </c>
      <c r="K50" s="6" t="s">
        <v>412</v>
      </c>
      <c r="L50" s="8">
        <v>-0.56000000000000005</v>
      </c>
      <c r="M50" s="6" t="s">
        <v>6943</v>
      </c>
      <c r="N50" s="8">
        <v>-0.56000000000000005</v>
      </c>
      <c r="O50" s="6" t="s">
        <v>6944</v>
      </c>
      <c r="P50" s="6" t="s">
        <v>6945</v>
      </c>
      <c r="Q50" s="6">
        <f>0.033</f>
        <v>3.3000000000000002E-2</v>
      </c>
      <c r="R50" s="6" t="s">
        <v>6946</v>
      </c>
      <c r="S50" s="6">
        <v>63</v>
      </c>
      <c r="T50" s="6" t="s">
        <v>2538</v>
      </c>
      <c r="U50" s="8">
        <v>-0.28999999999999998</v>
      </c>
      <c r="V50" s="5" t="s">
        <v>6947</v>
      </c>
      <c r="W50" s="5" t="s">
        <v>6948</v>
      </c>
      <c r="X50" s="5" t="s">
        <v>6949</v>
      </c>
      <c r="Y50" s="5" t="s">
        <v>6950</v>
      </c>
      <c r="Z50" s="5" t="s">
        <v>6951</v>
      </c>
      <c r="AA50" s="5" t="s">
        <v>6952</v>
      </c>
      <c r="AB50" s="5" t="s">
        <v>6953</v>
      </c>
      <c r="AC50" s="5" t="s">
        <v>6954</v>
      </c>
      <c r="AD50" s="9" t="s">
        <v>6955</v>
      </c>
    </row>
    <row r="51" spans="1:30" ht="15.6" x14ac:dyDescent="0.3">
      <c r="A51" s="4">
        <v>50</v>
      </c>
      <c r="B51" s="5" t="s">
        <v>6956</v>
      </c>
      <c r="C51" s="6" t="s">
        <v>466</v>
      </c>
      <c r="D51" s="5" t="s">
        <v>6957</v>
      </c>
      <c r="E51" s="5" t="s">
        <v>33</v>
      </c>
      <c r="F51" s="6" t="s">
        <v>6958</v>
      </c>
      <c r="G51" s="6" t="s">
        <v>6959</v>
      </c>
      <c r="H51" s="6" t="s">
        <v>397</v>
      </c>
      <c r="I51" s="6" t="s">
        <v>6960</v>
      </c>
      <c r="J51" s="6" t="s">
        <v>540</v>
      </c>
      <c r="K51" s="6" t="s">
        <v>6961</v>
      </c>
      <c r="L51" s="6" t="s">
        <v>380</v>
      </c>
      <c r="M51" s="6" t="s">
        <v>6962</v>
      </c>
      <c r="N51" s="6" t="s">
        <v>380</v>
      </c>
      <c r="O51" s="6" t="s">
        <v>6963</v>
      </c>
      <c r="P51" s="6" t="s">
        <v>6964</v>
      </c>
      <c r="Q51" s="6">
        <f>280%</f>
        <v>2.8</v>
      </c>
      <c r="R51" s="6" t="s">
        <v>6965</v>
      </c>
      <c r="S51" s="6">
        <v>201</v>
      </c>
      <c r="T51" s="6" t="s">
        <v>6966</v>
      </c>
      <c r="U51" s="8">
        <v>-0.12</v>
      </c>
      <c r="V51" s="5" t="s">
        <v>6967</v>
      </c>
      <c r="W51" s="5" t="s">
        <v>6968</v>
      </c>
      <c r="X51" s="5" t="s">
        <v>6969</v>
      </c>
      <c r="Y51" s="5" t="s">
        <v>6970</v>
      </c>
      <c r="Z51" s="5" t="s">
        <v>6971</v>
      </c>
      <c r="AA51" s="5" t="s">
        <v>6972</v>
      </c>
      <c r="AB51" s="5" t="s">
        <v>6973</v>
      </c>
      <c r="AC51" s="5" t="s">
        <v>6974</v>
      </c>
      <c r="AD51" s="9" t="s">
        <v>6975</v>
      </c>
    </row>
    <row r="52" spans="1:30" ht="15.6" x14ac:dyDescent="0.3">
      <c r="A52" s="4">
        <v>51</v>
      </c>
      <c r="B52" s="5" t="s">
        <v>6976</v>
      </c>
      <c r="C52" s="6" t="s">
        <v>72</v>
      </c>
      <c r="D52" s="5" t="s">
        <v>6977</v>
      </c>
      <c r="E52" s="5" t="s">
        <v>48</v>
      </c>
      <c r="F52" s="6" t="s">
        <v>6801</v>
      </c>
      <c r="G52" s="6" t="s">
        <v>6978</v>
      </c>
      <c r="H52" s="6" t="s">
        <v>1649</v>
      </c>
      <c r="I52" s="6" t="s">
        <v>6979</v>
      </c>
      <c r="J52" s="6" t="s">
        <v>332</v>
      </c>
      <c r="K52" s="6" t="s">
        <v>6980</v>
      </c>
      <c r="L52" s="8">
        <v>-0.17</v>
      </c>
      <c r="M52" s="6" t="s">
        <v>6981</v>
      </c>
      <c r="N52" s="8">
        <v>-0.17</v>
      </c>
      <c r="O52" s="6" t="s">
        <v>6982</v>
      </c>
      <c r="P52" s="6" t="s">
        <v>6983</v>
      </c>
      <c r="Q52" s="8">
        <v>-0.5</v>
      </c>
      <c r="R52" s="6" t="s">
        <v>6984</v>
      </c>
      <c r="S52" s="6">
        <v>130</v>
      </c>
      <c r="T52" s="6" t="s">
        <v>6985</v>
      </c>
      <c r="U52" s="8">
        <v>-0.36</v>
      </c>
      <c r="V52" s="5" t="s">
        <v>6810</v>
      </c>
      <c r="W52" s="5" t="s">
        <v>6811</v>
      </c>
      <c r="X52" s="5" t="s">
        <v>6812</v>
      </c>
      <c r="Y52" s="5" t="s">
        <v>6813</v>
      </c>
      <c r="Z52" s="5" t="s">
        <v>6986</v>
      </c>
      <c r="AA52" s="5" t="s">
        <v>6987</v>
      </c>
      <c r="AB52" s="5" t="s">
        <v>6814</v>
      </c>
      <c r="AC52" s="5" t="s">
        <v>6988</v>
      </c>
      <c r="AD52" s="9" t="s">
        <v>6989</v>
      </c>
    </row>
    <row r="53" spans="1:30" ht="15.6" x14ac:dyDescent="0.3">
      <c r="A53" s="4">
        <v>52</v>
      </c>
      <c r="B53" s="5" t="s">
        <v>6990</v>
      </c>
      <c r="C53" s="6" t="s">
        <v>126</v>
      </c>
      <c r="D53" s="5" t="s">
        <v>6991</v>
      </c>
      <c r="E53" s="5" t="s">
        <v>33</v>
      </c>
      <c r="F53" s="6" t="s">
        <v>6992</v>
      </c>
      <c r="G53" s="6" t="s">
        <v>6993</v>
      </c>
      <c r="H53" s="6" t="s">
        <v>1649</v>
      </c>
      <c r="I53" s="6" t="s">
        <v>130</v>
      </c>
      <c r="J53" s="6" t="s">
        <v>2009</v>
      </c>
      <c r="K53" s="6" t="s">
        <v>6994</v>
      </c>
      <c r="L53" s="8">
        <v>-0.24</v>
      </c>
      <c r="M53" s="6" t="s">
        <v>6995</v>
      </c>
      <c r="N53" s="8">
        <v>-0.24</v>
      </c>
      <c r="O53" s="6" t="s">
        <v>6996</v>
      </c>
      <c r="P53" s="6" t="s">
        <v>6997</v>
      </c>
      <c r="Q53" s="6">
        <f>0.76%</f>
        <v>7.6E-3</v>
      </c>
      <c r="R53" s="6" t="s">
        <v>6998</v>
      </c>
      <c r="S53" s="6">
        <v>241</v>
      </c>
      <c r="T53" s="6" t="s">
        <v>6999</v>
      </c>
      <c r="U53" s="8">
        <v>-0.4</v>
      </c>
      <c r="V53" s="5" t="s">
        <v>6509</v>
      </c>
      <c r="W53" s="5" t="s">
        <v>6510</v>
      </c>
      <c r="X53" s="5" t="s">
        <v>7000</v>
      </c>
      <c r="Y53" s="5" t="s">
        <v>6339</v>
      </c>
      <c r="Z53" s="5" t="s">
        <v>7001</v>
      </c>
      <c r="AA53" s="5" t="s">
        <v>6337</v>
      </c>
      <c r="AB53" s="5" t="s">
        <v>7002</v>
      </c>
      <c r="AC53" s="5" t="s">
        <v>7003</v>
      </c>
      <c r="AD53" s="9" t="s">
        <v>7004</v>
      </c>
    </row>
    <row r="54" spans="1:30" ht="15.6" x14ac:dyDescent="0.3">
      <c r="A54" s="4">
        <v>53</v>
      </c>
      <c r="B54" s="5" t="s">
        <v>7005</v>
      </c>
      <c r="C54" s="6" t="s">
        <v>72</v>
      </c>
      <c r="D54" s="5" t="s">
        <v>7006</v>
      </c>
      <c r="E54" s="5" t="s">
        <v>48</v>
      </c>
      <c r="F54" s="6" t="s">
        <v>7007</v>
      </c>
      <c r="G54" s="6" t="s">
        <v>7008</v>
      </c>
      <c r="H54" s="6" t="s">
        <v>1649</v>
      </c>
      <c r="I54" s="6" t="s">
        <v>877</v>
      </c>
      <c r="J54" s="6" t="s">
        <v>332</v>
      </c>
      <c r="K54" s="6" t="s">
        <v>7009</v>
      </c>
      <c r="L54" s="6">
        <f>34%</f>
        <v>0.34</v>
      </c>
      <c r="M54" s="6" t="s">
        <v>7010</v>
      </c>
      <c r="N54" s="6">
        <f>34%</f>
        <v>0.34</v>
      </c>
      <c r="O54" s="6" t="s">
        <v>7011</v>
      </c>
      <c r="P54" s="6" t="s">
        <v>7012</v>
      </c>
      <c r="Q54" s="6">
        <f>2.8%</f>
        <v>2.7999999999999997E-2</v>
      </c>
      <c r="R54" s="6" t="s">
        <v>7013</v>
      </c>
      <c r="S54" s="6">
        <v>98</v>
      </c>
      <c r="T54" s="6" t="s">
        <v>7014</v>
      </c>
      <c r="U54" s="6" t="s">
        <v>7015</v>
      </c>
      <c r="V54" s="5" t="s">
        <v>7016</v>
      </c>
      <c r="W54" s="5" t="s">
        <v>6207</v>
      </c>
      <c r="X54" s="5" t="s">
        <v>7017</v>
      </c>
      <c r="Y54" s="5" t="s">
        <v>6602</v>
      </c>
      <c r="Z54" s="5" t="s">
        <v>7018</v>
      </c>
      <c r="AA54" s="5" t="s">
        <v>7019</v>
      </c>
      <c r="AB54" s="5" t="s">
        <v>7020</v>
      </c>
      <c r="AC54" s="5" t="s">
        <v>7019</v>
      </c>
      <c r="AD54" s="7"/>
    </row>
    <row r="55" spans="1:30" ht="15.6" x14ac:dyDescent="0.3">
      <c r="A55" s="4">
        <v>54</v>
      </c>
      <c r="B55" s="5" t="s">
        <v>7021</v>
      </c>
      <c r="C55" s="6" t="s">
        <v>370</v>
      </c>
      <c r="D55" s="5" t="s">
        <v>7022</v>
      </c>
      <c r="E55" s="5" t="s">
        <v>48</v>
      </c>
      <c r="F55" s="6" t="s">
        <v>7023</v>
      </c>
      <c r="G55" s="6" t="s">
        <v>7024</v>
      </c>
      <c r="H55" s="6" t="s">
        <v>1649</v>
      </c>
      <c r="I55" s="8">
        <v>-0.87</v>
      </c>
      <c r="J55" s="6" t="s">
        <v>2509</v>
      </c>
      <c r="K55" s="6" t="s">
        <v>7025</v>
      </c>
      <c r="L55" s="6" t="s">
        <v>217</v>
      </c>
      <c r="M55" s="6" t="s">
        <v>7026</v>
      </c>
      <c r="N55" s="6">
        <f>0.11%</f>
        <v>1.1000000000000001E-3</v>
      </c>
      <c r="O55" s="6" t="s">
        <v>7027</v>
      </c>
      <c r="P55" s="6" t="s">
        <v>7028</v>
      </c>
      <c r="Q55" s="6">
        <f>0.11</f>
        <v>0.11</v>
      </c>
      <c r="R55" s="6" t="s">
        <v>7029</v>
      </c>
      <c r="S55" s="6">
        <v>14</v>
      </c>
      <c r="T55" s="6">
        <v>586</v>
      </c>
      <c r="U55" s="6">
        <f>1.9%</f>
        <v>1.9E-2</v>
      </c>
      <c r="V55" s="5" t="s">
        <v>7030</v>
      </c>
      <c r="W55" s="5" t="s">
        <v>7031</v>
      </c>
      <c r="X55" s="5" t="s">
        <v>7032</v>
      </c>
      <c r="Y55" s="5" t="s">
        <v>7033</v>
      </c>
      <c r="Z55" s="5" t="s">
        <v>7034</v>
      </c>
      <c r="AA55" s="5" t="s">
        <v>7035</v>
      </c>
      <c r="AB55" s="5" t="s">
        <v>7036</v>
      </c>
      <c r="AC55" s="5" t="s">
        <v>7037</v>
      </c>
      <c r="AD55" s="9" t="s">
        <v>7038</v>
      </c>
    </row>
    <row r="56" spans="1:30" ht="15.6" x14ac:dyDescent="0.3">
      <c r="A56" s="4">
        <v>55</v>
      </c>
      <c r="B56" s="5" t="s">
        <v>7039</v>
      </c>
      <c r="C56" s="6" t="s">
        <v>72</v>
      </c>
      <c r="D56" s="5" t="s">
        <v>7040</v>
      </c>
      <c r="E56" s="5" t="s">
        <v>33</v>
      </c>
      <c r="F56" s="6" t="s">
        <v>7041</v>
      </c>
      <c r="G56" s="6" t="s">
        <v>7042</v>
      </c>
      <c r="H56" s="6" t="s">
        <v>1071</v>
      </c>
      <c r="I56" s="6" t="s">
        <v>7043</v>
      </c>
      <c r="J56" s="6" t="s">
        <v>52</v>
      </c>
      <c r="K56" s="6" t="s">
        <v>7044</v>
      </c>
      <c r="L56" s="6">
        <f>2.8%</f>
        <v>2.7999999999999997E-2</v>
      </c>
      <c r="M56" s="6" t="s">
        <v>7045</v>
      </c>
      <c r="N56" s="6">
        <f>2.8%</f>
        <v>2.7999999999999997E-2</v>
      </c>
      <c r="O56" s="6" t="s">
        <v>7046</v>
      </c>
      <c r="P56" s="6" t="s">
        <v>7047</v>
      </c>
      <c r="Q56" s="6">
        <f>5.1%</f>
        <v>5.0999999999999997E-2</v>
      </c>
      <c r="R56" s="6" t="s">
        <v>7048</v>
      </c>
      <c r="S56" s="6">
        <v>190</v>
      </c>
      <c r="T56" s="6" t="s">
        <v>7049</v>
      </c>
      <c r="U56" s="6">
        <f>6.5%</f>
        <v>6.5000000000000002E-2</v>
      </c>
      <c r="V56" s="5" t="s">
        <v>7050</v>
      </c>
      <c r="W56" s="5" t="s">
        <v>7051</v>
      </c>
      <c r="X56" s="5" t="s">
        <v>7052</v>
      </c>
      <c r="Y56" s="5" t="s">
        <v>7053</v>
      </c>
      <c r="Z56" s="5" t="s">
        <v>7054</v>
      </c>
      <c r="AA56" s="5" t="s">
        <v>7055</v>
      </c>
      <c r="AB56" s="5" t="s">
        <v>7056</v>
      </c>
      <c r="AC56" s="5" t="s">
        <v>7057</v>
      </c>
      <c r="AD56" s="9" t="s">
        <v>7058</v>
      </c>
    </row>
    <row r="57" spans="1:30" ht="15.6" x14ac:dyDescent="0.3">
      <c r="A57" s="4">
        <v>56</v>
      </c>
      <c r="B57" s="5" t="s">
        <v>7059</v>
      </c>
      <c r="C57" s="6" t="s">
        <v>85</v>
      </c>
      <c r="D57" s="5" t="s">
        <v>7060</v>
      </c>
      <c r="E57" s="5" t="s">
        <v>33</v>
      </c>
      <c r="F57" s="6" t="s">
        <v>7061</v>
      </c>
      <c r="G57" s="6" t="s">
        <v>7062</v>
      </c>
      <c r="H57" s="6" t="s">
        <v>1110</v>
      </c>
      <c r="I57" s="8">
        <v>-0.48</v>
      </c>
      <c r="J57" s="6" t="s">
        <v>36</v>
      </c>
      <c r="K57" s="6" t="s">
        <v>7063</v>
      </c>
      <c r="L57" s="6">
        <f>24%</f>
        <v>0.24</v>
      </c>
      <c r="M57" s="6" t="s">
        <v>7064</v>
      </c>
      <c r="N57" s="6">
        <f>24%</f>
        <v>0.24</v>
      </c>
      <c r="O57" s="6" t="s">
        <v>7065</v>
      </c>
      <c r="P57" s="6" t="s">
        <v>7066</v>
      </c>
      <c r="Q57" s="6">
        <f>0.056</f>
        <v>5.6000000000000001E-2</v>
      </c>
      <c r="R57" s="6" t="s">
        <v>7067</v>
      </c>
      <c r="S57" s="6">
        <v>233</v>
      </c>
      <c r="T57" s="6" t="s">
        <v>7068</v>
      </c>
      <c r="U57" s="6">
        <f>64%</f>
        <v>0.64</v>
      </c>
      <c r="V57" s="6"/>
      <c r="W57" s="6"/>
      <c r="X57" s="6"/>
      <c r="Y57" s="6"/>
      <c r="Z57" s="6"/>
      <c r="AA57" s="6"/>
      <c r="AB57" s="6"/>
      <c r="AC57" s="6"/>
      <c r="AD57" s="7"/>
    </row>
    <row r="58" spans="1:30" ht="15.6" x14ac:dyDescent="0.3">
      <c r="A58" s="4">
        <v>57</v>
      </c>
      <c r="B58" s="5" t="s">
        <v>7069</v>
      </c>
      <c r="C58" s="6" t="s">
        <v>1013</v>
      </c>
      <c r="D58" s="5" t="s">
        <v>7070</v>
      </c>
      <c r="E58" s="5" t="s">
        <v>48</v>
      </c>
      <c r="F58" s="6" t="s">
        <v>7071</v>
      </c>
      <c r="G58" s="6" t="s">
        <v>7072</v>
      </c>
      <c r="H58" s="6" t="s">
        <v>1110</v>
      </c>
      <c r="I58" s="8">
        <v>-0.94</v>
      </c>
      <c r="J58" s="6" t="s">
        <v>1184</v>
      </c>
      <c r="K58" s="6" t="s">
        <v>7073</v>
      </c>
      <c r="L58" s="6">
        <f>8.5%</f>
        <v>8.5000000000000006E-2</v>
      </c>
      <c r="M58" s="6" t="s">
        <v>7074</v>
      </c>
      <c r="N58" s="6">
        <f>8.5%</f>
        <v>8.5000000000000006E-2</v>
      </c>
      <c r="O58" s="6" t="s">
        <v>7075</v>
      </c>
      <c r="P58" s="6" t="s">
        <v>7076</v>
      </c>
      <c r="Q58" s="6">
        <f>0.03</f>
        <v>0.03</v>
      </c>
      <c r="R58" s="6" t="s">
        <v>7077</v>
      </c>
      <c r="S58" s="6">
        <v>37</v>
      </c>
      <c r="T58" s="6" t="s">
        <v>2416</v>
      </c>
      <c r="U58" s="8">
        <v>-0.51</v>
      </c>
      <c r="V58" s="5" t="s">
        <v>7078</v>
      </c>
      <c r="W58" s="5" t="s">
        <v>7079</v>
      </c>
      <c r="X58" s="5" t="s">
        <v>7080</v>
      </c>
      <c r="Y58" s="5" t="s">
        <v>7081</v>
      </c>
      <c r="Z58" s="5" t="s">
        <v>7082</v>
      </c>
      <c r="AA58" s="5" t="s">
        <v>7083</v>
      </c>
      <c r="AB58" s="5" t="s">
        <v>7084</v>
      </c>
      <c r="AC58" s="5" t="s">
        <v>7081</v>
      </c>
      <c r="AD58" s="9" t="s">
        <v>7085</v>
      </c>
    </row>
    <row r="59" spans="1:30" ht="15.6" x14ac:dyDescent="0.3">
      <c r="A59" s="4">
        <v>58</v>
      </c>
      <c r="B59" s="5" t="s">
        <v>7086</v>
      </c>
      <c r="C59" s="6" t="s">
        <v>72</v>
      </c>
      <c r="D59" s="5" t="s">
        <v>7087</v>
      </c>
      <c r="E59" s="5" t="s">
        <v>48</v>
      </c>
      <c r="F59" s="6" t="s">
        <v>7088</v>
      </c>
      <c r="G59" s="6" t="s">
        <v>7089</v>
      </c>
      <c r="H59" s="6" t="s">
        <v>1238</v>
      </c>
      <c r="I59" s="6" t="s">
        <v>7090</v>
      </c>
      <c r="J59" s="6" t="s">
        <v>131</v>
      </c>
      <c r="K59" s="6" t="s">
        <v>5135</v>
      </c>
      <c r="L59" s="8">
        <v>-0.22</v>
      </c>
      <c r="M59" s="6" t="s">
        <v>7091</v>
      </c>
      <c r="N59" s="8">
        <v>-0.22</v>
      </c>
      <c r="O59" s="6" t="s">
        <v>7092</v>
      </c>
      <c r="P59" s="6" t="s">
        <v>7093</v>
      </c>
      <c r="Q59" s="6">
        <f>7.8%</f>
        <v>7.8E-2</v>
      </c>
      <c r="R59" s="6" t="s">
        <v>7094</v>
      </c>
      <c r="S59" s="6">
        <v>180</v>
      </c>
      <c r="T59" s="6" t="s">
        <v>2724</v>
      </c>
      <c r="U59" s="6" t="s">
        <v>1788</v>
      </c>
      <c r="V59" s="5" t="s">
        <v>7095</v>
      </c>
      <c r="W59" s="5" t="s">
        <v>7096</v>
      </c>
      <c r="X59" s="5" t="s">
        <v>7097</v>
      </c>
      <c r="Y59" s="5" t="s">
        <v>7096</v>
      </c>
      <c r="Z59" s="5" t="s">
        <v>7098</v>
      </c>
      <c r="AA59" s="5" t="s">
        <v>7099</v>
      </c>
      <c r="AB59" s="5" t="s">
        <v>7100</v>
      </c>
      <c r="AC59" s="5" t="s">
        <v>7101</v>
      </c>
      <c r="AD59" s="9" t="s">
        <v>7102</v>
      </c>
    </row>
    <row r="60" spans="1:30" ht="15.6" x14ac:dyDescent="0.3">
      <c r="A60" s="4">
        <v>59</v>
      </c>
      <c r="B60" s="5" t="s">
        <v>7103</v>
      </c>
      <c r="C60" s="6" t="s">
        <v>72</v>
      </c>
      <c r="D60" s="5" t="s">
        <v>7104</v>
      </c>
      <c r="E60" s="5" t="s">
        <v>33</v>
      </c>
      <c r="F60" s="6" t="s">
        <v>7105</v>
      </c>
      <c r="G60" s="6" t="s">
        <v>7106</v>
      </c>
      <c r="H60" s="6" t="s">
        <v>1238</v>
      </c>
      <c r="I60" s="6" t="s">
        <v>217</v>
      </c>
      <c r="J60" s="6" t="s">
        <v>2776</v>
      </c>
      <c r="K60" s="6" t="s">
        <v>7107</v>
      </c>
      <c r="L60" s="6">
        <f>10%</f>
        <v>0.1</v>
      </c>
      <c r="M60" s="6" t="s">
        <v>7108</v>
      </c>
      <c r="N60" s="6">
        <f>10%</f>
        <v>0.1</v>
      </c>
      <c r="O60" s="6" t="s">
        <v>1031</v>
      </c>
      <c r="P60" s="6" t="s">
        <v>7109</v>
      </c>
      <c r="Q60" s="6">
        <f>0.05</f>
        <v>0.05</v>
      </c>
      <c r="R60" s="6" t="s">
        <v>7110</v>
      </c>
      <c r="S60" s="6">
        <v>124</v>
      </c>
      <c r="T60" s="6" t="s">
        <v>7111</v>
      </c>
      <c r="U60" s="6">
        <f>42%</f>
        <v>0.42</v>
      </c>
      <c r="V60" s="5" t="s">
        <v>7112</v>
      </c>
      <c r="W60" s="5" t="s">
        <v>6602</v>
      </c>
      <c r="X60" s="5" t="s">
        <v>7113</v>
      </c>
      <c r="Y60" s="5" t="s">
        <v>6602</v>
      </c>
      <c r="Z60" s="5" t="s">
        <v>7114</v>
      </c>
      <c r="AA60" s="5" t="s">
        <v>6602</v>
      </c>
      <c r="AB60" s="5" t="s">
        <v>7115</v>
      </c>
      <c r="AC60" s="5" t="s">
        <v>6602</v>
      </c>
      <c r="AD60" s="9" t="s">
        <v>7116</v>
      </c>
    </row>
    <row r="61" spans="1:30" ht="15.6" x14ac:dyDescent="0.3">
      <c r="A61" s="4">
        <v>60</v>
      </c>
      <c r="B61" s="5" t="s">
        <v>7117</v>
      </c>
      <c r="C61" s="6" t="s">
        <v>291</v>
      </c>
      <c r="D61" s="5" t="s">
        <v>7118</v>
      </c>
      <c r="E61" s="5" t="s">
        <v>162</v>
      </c>
      <c r="F61" s="6" t="s">
        <v>7119</v>
      </c>
      <c r="G61" s="6" t="s">
        <v>7120</v>
      </c>
      <c r="H61" s="6" t="s">
        <v>1238</v>
      </c>
      <c r="I61" s="8">
        <v>-0.44</v>
      </c>
      <c r="J61" s="6" t="s">
        <v>3975</v>
      </c>
      <c r="K61" s="6" t="s">
        <v>6872</v>
      </c>
      <c r="L61" s="6" t="s">
        <v>7121</v>
      </c>
      <c r="M61" s="6" t="s">
        <v>7122</v>
      </c>
      <c r="N61" s="6" t="s">
        <v>7121</v>
      </c>
      <c r="O61" s="6" t="s">
        <v>55</v>
      </c>
      <c r="P61" s="6" t="s">
        <v>7123</v>
      </c>
      <c r="Q61" s="6">
        <f>0.00081</f>
        <v>8.0999999999999996E-4</v>
      </c>
      <c r="R61" s="6" t="s">
        <v>7124</v>
      </c>
      <c r="S61" s="6" t="s">
        <v>7125</v>
      </c>
      <c r="T61" s="6" t="s">
        <v>7126</v>
      </c>
      <c r="U61" s="6">
        <f>0.82%</f>
        <v>8.199999999999999E-3</v>
      </c>
      <c r="V61" s="5" t="s">
        <v>7127</v>
      </c>
      <c r="W61" s="5" t="s">
        <v>6283</v>
      </c>
      <c r="X61" s="5" t="s">
        <v>7128</v>
      </c>
      <c r="Y61" s="5" t="s">
        <v>7129</v>
      </c>
      <c r="Z61" s="5" t="s">
        <v>7130</v>
      </c>
      <c r="AA61" s="5" t="s">
        <v>7129</v>
      </c>
      <c r="AB61" s="6"/>
      <c r="AC61" s="6"/>
      <c r="AD61" s="7"/>
    </row>
    <row r="62" spans="1:30" ht="15.6" x14ac:dyDescent="0.3">
      <c r="A62" s="4">
        <v>61</v>
      </c>
      <c r="B62" s="5" t="s">
        <v>7131</v>
      </c>
      <c r="C62" s="6" t="s">
        <v>126</v>
      </c>
      <c r="D62" s="5" t="s">
        <v>7132</v>
      </c>
      <c r="E62" s="5" t="s">
        <v>48</v>
      </c>
      <c r="F62" s="6" t="s">
        <v>7133</v>
      </c>
      <c r="G62" s="6" t="s">
        <v>7134</v>
      </c>
      <c r="H62" s="6" t="s">
        <v>517</v>
      </c>
      <c r="I62" s="6" t="s">
        <v>7135</v>
      </c>
      <c r="J62" s="6" t="s">
        <v>758</v>
      </c>
      <c r="K62" s="6" t="s">
        <v>7136</v>
      </c>
      <c r="L62" s="6" t="s">
        <v>217</v>
      </c>
      <c r="M62" s="6" t="s">
        <v>7137</v>
      </c>
      <c r="N62" s="6" t="s">
        <v>474</v>
      </c>
      <c r="O62" s="6" t="s">
        <v>79</v>
      </c>
      <c r="P62" s="6" t="s">
        <v>7138</v>
      </c>
      <c r="Q62" s="6">
        <f>0.1%</f>
        <v>1E-3</v>
      </c>
      <c r="R62" s="6" t="s">
        <v>7139</v>
      </c>
      <c r="S62" s="6">
        <v>226</v>
      </c>
      <c r="T62" s="6" t="s">
        <v>7140</v>
      </c>
      <c r="U62" s="8">
        <v>-0.23</v>
      </c>
      <c r="V62" s="5" t="s">
        <v>6509</v>
      </c>
      <c r="W62" s="5" t="s">
        <v>6510</v>
      </c>
      <c r="X62" s="5" t="s">
        <v>7141</v>
      </c>
      <c r="Y62" s="5" t="s">
        <v>7142</v>
      </c>
      <c r="Z62" s="5" t="s">
        <v>7143</v>
      </c>
      <c r="AA62" s="5" t="s">
        <v>7144</v>
      </c>
      <c r="AB62" s="5" t="s">
        <v>7145</v>
      </c>
      <c r="AC62" s="5" t="s">
        <v>7146</v>
      </c>
      <c r="AD62" s="9" t="s">
        <v>7147</v>
      </c>
    </row>
    <row r="63" spans="1:30" ht="15.6" x14ac:dyDescent="0.3">
      <c r="A63" s="4">
        <v>62</v>
      </c>
      <c r="B63" s="5" t="s">
        <v>7148</v>
      </c>
      <c r="C63" s="6" t="s">
        <v>31</v>
      </c>
      <c r="D63" s="5" t="s">
        <v>7149</v>
      </c>
      <c r="E63" s="5" t="s">
        <v>48</v>
      </c>
      <c r="F63" s="6" t="s">
        <v>7150</v>
      </c>
      <c r="G63" s="6" t="s">
        <v>7151</v>
      </c>
      <c r="H63" s="6" t="s">
        <v>517</v>
      </c>
      <c r="I63" s="6" t="s">
        <v>7152</v>
      </c>
      <c r="J63" s="6" t="s">
        <v>177</v>
      </c>
      <c r="K63" s="6" t="s">
        <v>607</v>
      </c>
      <c r="L63" s="6">
        <f>15%</f>
        <v>0.15</v>
      </c>
      <c r="M63" s="6" t="s">
        <v>7153</v>
      </c>
      <c r="N63" s="6">
        <f>15%</f>
        <v>0.15</v>
      </c>
      <c r="O63" s="6" t="s">
        <v>7154</v>
      </c>
      <c r="P63" s="6" t="s">
        <v>7155</v>
      </c>
      <c r="Q63" s="6">
        <f>6.4%</f>
        <v>6.4000000000000001E-2</v>
      </c>
      <c r="R63" s="6" t="s">
        <v>7156</v>
      </c>
      <c r="S63" s="6">
        <v>181</v>
      </c>
      <c r="T63" s="6" t="s">
        <v>4786</v>
      </c>
      <c r="U63" s="6">
        <f>10%</f>
        <v>0.1</v>
      </c>
      <c r="V63" s="5" t="s">
        <v>7157</v>
      </c>
      <c r="W63" s="5" t="s">
        <v>7158</v>
      </c>
      <c r="X63" s="5" t="s">
        <v>7159</v>
      </c>
      <c r="Y63" s="5" t="s">
        <v>7158</v>
      </c>
      <c r="Z63" s="5" t="s">
        <v>7160</v>
      </c>
      <c r="AA63" s="5" t="s">
        <v>7158</v>
      </c>
      <c r="AB63" s="5" t="s">
        <v>7161</v>
      </c>
      <c r="AC63" s="5" t="s">
        <v>7158</v>
      </c>
      <c r="AD63" s="9" t="s">
        <v>7162</v>
      </c>
    </row>
    <row r="64" spans="1:30" ht="15.6" x14ac:dyDescent="0.3">
      <c r="A64" s="4">
        <v>63</v>
      </c>
      <c r="B64" s="5" t="s">
        <v>7163</v>
      </c>
      <c r="C64" s="6" t="s">
        <v>291</v>
      </c>
      <c r="D64" s="5" t="s">
        <v>7164</v>
      </c>
      <c r="E64" s="5" t="s">
        <v>33</v>
      </c>
      <c r="F64" s="6" t="s">
        <v>7165</v>
      </c>
      <c r="G64" s="6" t="s">
        <v>7166</v>
      </c>
      <c r="H64" s="6" t="s">
        <v>517</v>
      </c>
      <c r="I64" s="6" t="s">
        <v>7135</v>
      </c>
      <c r="J64" s="6" t="s">
        <v>1048</v>
      </c>
      <c r="K64" s="6" t="s">
        <v>6678</v>
      </c>
      <c r="L64" s="6" t="s">
        <v>2103</v>
      </c>
      <c r="M64" s="6" t="s">
        <v>7167</v>
      </c>
      <c r="N64" s="6" t="s">
        <v>2103</v>
      </c>
      <c r="O64" s="6" t="s">
        <v>7168</v>
      </c>
      <c r="P64" s="6" t="s">
        <v>7169</v>
      </c>
      <c r="Q64" s="6">
        <f>4%</f>
        <v>0.04</v>
      </c>
      <c r="R64" s="6" t="s">
        <v>7170</v>
      </c>
      <c r="S64" s="6">
        <v>83</v>
      </c>
      <c r="T64" s="6" t="s">
        <v>7171</v>
      </c>
      <c r="U64" s="8">
        <v>-0.5</v>
      </c>
      <c r="V64" s="5" t="s">
        <v>7172</v>
      </c>
      <c r="W64" s="5" t="s">
        <v>7173</v>
      </c>
      <c r="X64" s="5" t="s">
        <v>7174</v>
      </c>
      <c r="Y64" s="5" t="s">
        <v>7175</v>
      </c>
      <c r="Z64" s="5" t="s">
        <v>7176</v>
      </c>
      <c r="AA64" s="5" t="s">
        <v>6473</v>
      </c>
      <c r="AB64" s="5" t="s">
        <v>7177</v>
      </c>
      <c r="AC64" s="5" t="s">
        <v>7178</v>
      </c>
      <c r="AD64" s="9" t="s">
        <v>7179</v>
      </c>
    </row>
    <row r="65" spans="1:30" ht="15.6" x14ac:dyDescent="0.3">
      <c r="A65" s="4">
        <v>64</v>
      </c>
      <c r="B65" s="5" t="s">
        <v>7180</v>
      </c>
      <c r="C65" s="6" t="s">
        <v>148</v>
      </c>
      <c r="D65" s="5" t="s">
        <v>7181</v>
      </c>
      <c r="E65" s="5" t="s">
        <v>48</v>
      </c>
      <c r="F65" s="6" t="s">
        <v>7182</v>
      </c>
      <c r="G65" s="6" t="s">
        <v>7183</v>
      </c>
      <c r="H65" s="6" t="s">
        <v>517</v>
      </c>
      <c r="I65" s="6" t="s">
        <v>924</v>
      </c>
      <c r="J65" s="6" t="s">
        <v>1432</v>
      </c>
      <c r="K65" s="6" t="s">
        <v>7184</v>
      </c>
      <c r="L65" s="6">
        <f>20%</f>
        <v>0.2</v>
      </c>
      <c r="M65" s="6" t="s">
        <v>7185</v>
      </c>
      <c r="N65" s="6">
        <f>20%</f>
        <v>0.2</v>
      </c>
      <c r="O65" s="6" t="s">
        <v>7186</v>
      </c>
      <c r="P65" s="6" t="s">
        <v>7187</v>
      </c>
      <c r="Q65" s="6">
        <f>0.052</f>
        <v>5.1999999999999998E-2</v>
      </c>
      <c r="R65" s="6" t="s">
        <v>7188</v>
      </c>
      <c r="S65" s="6">
        <v>259</v>
      </c>
      <c r="T65" s="6" t="s">
        <v>7189</v>
      </c>
      <c r="U65" s="6">
        <f>1.7%</f>
        <v>1.7000000000000001E-2</v>
      </c>
      <c r="V65" s="5" t="s">
        <v>7190</v>
      </c>
      <c r="W65" s="5" t="s">
        <v>7191</v>
      </c>
      <c r="X65" s="5" t="s">
        <v>7192</v>
      </c>
      <c r="Y65" s="5" t="s">
        <v>7193</v>
      </c>
      <c r="Z65" s="5" t="s">
        <v>7194</v>
      </c>
      <c r="AA65" s="5" t="s">
        <v>7193</v>
      </c>
      <c r="AB65" s="5" t="s">
        <v>7195</v>
      </c>
      <c r="AC65" s="5" t="s">
        <v>7196</v>
      </c>
      <c r="AD65" s="9" t="s">
        <v>7197</v>
      </c>
    </row>
    <row r="66" spans="1:30" ht="15.6" x14ac:dyDescent="0.3">
      <c r="A66" s="4">
        <v>65</v>
      </c>
      <c r="B66" s="5" t="s">
        <v>7198</v>
      </c>
      <c r="C66" s="6" t="s">
        <v>173</v>
      </c>
      <c r="D66" s="5" t="s">
        <v>7199</v>
      </c>
      <c r="E66" s="5" t="s">
        <v>48</v>
      </c>
      <c r="F66" s="6" t="s">
        <v>7200</v>
      </c>
      <c r="G66" s="6" t="s">
        <v>7201</v>
      </c>
      <c r="H66" s="6" t="s">
        <v>517</v>
      </c>
      <c r="I66" s="8">
        <v>-0.7</v>
      </c>
      <c r="J66" s="6" t="s">
        <v>1660</v>
      </c>
      <c r="K66" s="6" t="s">
        <v>7202</v>
      </c>
      <c r="L66" s="6">
        <f>9%</f>
        <v>0.09</v>
      </c>
      <c r="M66" s="6" t="s">
        <v>7203</v>
      </c>
      <c r="N66" s="6">
        <f>9%</f>
        <v>0.09</v>
      </c>
      <c r="O66" s="6" t="s">
        <v>7204</v>
      </c>
      <c r="P66" s="6" t="s">
        <v>68</v>
      </c>
      <c r="Q66" s="6">
        <f>0.11</f>
        <v>0.11</v>
      </c>
      <c r="R66" s="6" t="s">
        <v>7205</v>
      </c>
      <c r="S66" s="6">
        <v>67</v>
      </c>
      <c r="T66" s="6" t="s">
        <v>7206</v>
      </c>
      <c r="U66" s="6">
        <f>8.2%</f>
        <v>8.199999999999999E-2</v>
      </c>
      <c r="V66" s="5" t="s">
        <v>7207</v>
      </c>
      <c r="W66" s="5" t="s">
        <v>6107</v>
      </c>
      <c r="X66" s="5" t="s">
        <v>7208</v>
      </c>
      <c r="Y66" s="5" t="s">
        <v>6107</v>
      </c>
      <c r="Z66" s="5" t="s">
        <v>7209</v>
      </c>
      <c r="AA66" s="5" t="s">
        <v>7210</v>
      </c>
      <c r="AB66" s="6"/>
      <c r="AC66" s="6"/>
      <c r="AD66" s="7"/>
    </row>
    <row r="67" spans="1:30" ht="15.6" x14ac:dyDescent="0.3">
      <c r="A67" s="4">
        <v>66</v>
      </c>
      <c r="B67" s="5" t="s">
        <v>7211</v>
      </c>
      <c r="C67" s="6" t="s">
        <v>72</v>
      </c>
      <c r="D67" s="5" t="s">
        <v>7212</v>
      </c>
      <c r="E67" s="5" t="s">
        <v>33</v>
      </c>
      <c r="F67" s="6" t="s">
        <v>7213</v>
      </c>
      <c r="G67" s="6" t="s">
        <v>7214</v>
      </c>
      <c r="H67" s="6" t="s">
        <v>1258</v>
      </c>
      <c r="I67" s="6" t="s">
        <v>7215</v>
      </c>
      <c r="J67" s="6" t="s">
        <v>397</v>
      </c>
      <c r="K67" s="6" t="s">
        <v>7216</v>
      </c>
      <c r="L67" s="8">
        <v>-0.18</v>
      </c>
      <c r="M67" s="6" t="s">
        <v>7217</v>
      </c>
      <c r="N67" s="8">
        <v>-0.18</v>
      </c>
      <c r="O67" s="6" t="s">
        <v>7218</v>
      </c>
      <c r="P67" s="6" t="s">
        <v>7219</v>
      </c>
      <c r="Q67" s="6">
        <f>3.1%</f>
        <v>3.1E-2</v>
      </c>
      <c r="R67" s="6" t="s">
        <v>7220</v>
      </c>
      <c r="S67" s="6">
        <v>113</v>
      </c>
      <c r="T67" s="6" t="s">
        <v>7221</v>
      </c>
      <c r="U67" s="8">
        <v>-0.44</v>
      </c>
      <c r="V67" s="6"/>
      <c r="W67" s="6"/>
      <c r="X67" s="6"/>
      <c r="Y67" s="6"/>
      <c r="Z67" s="6"/>
      <c r="AA67" s="6"/>
      <c r="AB67" s="6"/>
      <c r="AC67" s="6"/>
      <c r="AD67" s="7"/>
    </row>
    <row r="68" spans="1:30" ht="15.6" x14ac:dyDescent="0.3">
      <c r="A68" s="4">
        <v>67</v>
      </c>
      <c r="B68" s="5" t="s">
        <v>7222</v>
      </c>
      <c r="C68" s="6" t="s">
        <v>820</v>
      </c>
      <c r="D68" s="5" t="s">
        <v>7223</v>
      </c>
      <c r="E68" s="5" t="s">
        <v>48</v>
      </c>
      <c r="F68" s="6" t="s">
        <v>7224</v>
      </c>
      <c r="G68" s="6" t="s">
        <v>7225</v>
      </c>
      <c r="H68" s="6" t="s">
        <v>1660</v>
      </c>
      <c r="I68" s="6" t="s">
        <v>7226</v>
      </c>
      <c r="J68" s="6" t="s">
        <v>442</v>
      </c>
      <c r="K68" s="6" t="s">
        <v>7227</v>
      </c>
      <c r="L68" s="8">
        <v>-0.28999999999999998</v>
      </c>
      <c r="M68" s="6" t="s">
        <v>7228</v>
      </c>
      <c r="N68" s="8">
        <v>-0.28999999999999998</v>
      </c>
      <c r="O68" s="6" t="s">
        <v>7229</v>
      </c>
      <c r="P68" s="6" t="s">
        <v>7230</v>
      </c>
      <c r="Q68" s="6">
        <f>14%</f>
        <v>0.14000000000000001</v>
      </c>
      <c r="R68" s="6">
        <v>275</v>
      </c>
      <c r="S68" s="6">
        <v>4</v>
      </c>
      <c r="T68" s="6" t="s">
        <v>7231</v>
      </c>
      <c r="U68" s="8">
        <v>-0.94</v>
      </c>
      <c r="V68" s="5" t="s">
        <v>7232</v>
      </c>
      <c r="W68" s="5" t="s">
        <v>7233</v>
      </c>
      <c r="X68" s="5" t="s">
        <v>7234</v>
      </c>
      <c r="Y68" s="5" t="s">
        <v>7235</v>
      </c>
      <c r="Z68" s="5" t="s">
        <v>7236</v>
      </c>
      <c r="AA68" s="5" t="s">
        <v>7237</v>
      </c>
      <c r="AB68" s="5" t="s">
        <v>7238</v>
      </c>
      <c r="AC68" s="5" t="s">
        <v>7239</v>
      </c>
      <c r="AD68" s="9" t="s">
        <v>7240</v>
      </c>
    </row>
    <row r="69" spans="1:30" ht="15.6" x14ac:dyDescent="0.3">
      <c r="A69" s="4">
        <v>68</v>
      </c>
      <c r="B69" s="5" t="s">
        <v>7241</v>
      </c>
      <c r="C69" s="6" t="s">
        <v>304</v>
      </c>
      <c r="D69" s="5" t="s">
        <v>7242</v>
      </c>
      <c r="E69" s="5" t="s">
        <v>33</v>
      </c>
      <c r="F69" s="6" t="s">
        <v>7243</v>
      </c>
      <c r="G69" s="6" t="s">
        <v>7244</v>
      </c>
      <c r="H69" s="6" t="s">
        <v>296</v>
      </c>
      <c r="I69" s="8">
        <v>-0.97</v>
      </c>
      <c r="J69" s="6" t="s">
        <v>77</v>
      </c>
      <c r="K69" s="6" t="s">
        <v>7245</v>
      </c>
      <c r="L69" s="6">
        <f>79%</f>
        <v>0.79</v>
      </c>
      <c r="M69" s="6" t="s">
        <v>7246</v>
      </c>
      <c r="N69" s="6">
        <f>79%</f>
        <v>0.79</v>
      </c>
      <c r="O69" s="6" t="s">
        <v>7247</v>
      </c>
      <c r="P69" s="6" t="s">
        <v>7248</v>
      </c>
      <c r="Q69" s="6">
        <f>0.13</f>
        <v>0.13</v>
      </c>
      <c r="R69" s="6">
        <v>267</v>
      </c>
      <c r="S69" s="6">
        <v>4</v>
      </c>
      <c r="T69" s="6">
        <v>294</v>
      </c>
      <c r="U69" s="6" t="s">
        <v>9262</v>
      </c>
      <c r="V69" s="5" t="s">
        <v>7249</v>
      </c>
      <c r="W69" s="5" t="s">
        <v>6438</v>
      </c>
      <c r="X69" s="5" t="s">
        <v>7250</v>
      </c>
      <c r="Y69" s="5" t="s">
        <v>6438</v>
      </c>
      <c r="Z69" s="5" t="s">
        <v>7251</v>
      </c>
      <c r="AA69" s="5" t="s">
        <v>6438</v>
      </c>
      <c r="AB69" s="5" t="s">
        <v>7252</v>
      </c>
      <c r="AC69" s="5" t="s">
        <v>7253</v>
      </c>
      <c r="AD69" s="9" t="s">
        <v>7254</v>
      </c>
    </row>
    <row r="70" spans="1:30" ht="15.6" x14ac:dyDescent="0.3">
      <c r="A70" s="4">
        <v>69</v>
      </c>
      <c r="B70" s="5" t="s">
        <v>7255</v>
      </c>
      <c r="C70" s="6" t="s">
        <v>148</v>
      </c>
      <c r="D70" s="5" t="s">
        <v>7256</v>
      </c>
      <c r="E70" s="5" t="s">
        <v>48</v>
      </c>
      <c r="F70" s="6" t="s">
        <v>7257</v>
      </c>
      <c r="G70" s="6" t="s">
        <v>7258</v>
      </c>
      <c r="H70" s="6" t="s">
        <v>296</v>
      </c>
      <c r="I70" s="6" t="s">
        <v>7259</v>
      </c>
      <c r="J70" s="6" t="s">
        <v>1529</v>
      </c>
      <c r="K70" s="6" t="s">
        <v>7260</v>
      </c>
      <c r="L70" s="6">
        <f>5.7%</f>
        <v>5.7000000000000002E-2</v>
      </c>
      <c r="M70" s="6" t="s">
        <v>7261</v>
      </c>
      <c r="N70" s="6">
        <f>5.7%</f>
        <v>5.7000000000000002E-2</v>
      </c>
      <c r="O70" s="6" t="s">
        <v>7262</v>
      </c>
      <c r="P70" s="6" t="s">
        <v>7263</v>
      </c>
      <c r="Q70" s="6">
        <f>4.4%</f>
        <v>4.4000000000000004E-2</v>
      </c>
      <c r="R70" s="6" t="s">
        <v>7264</v>
      </c>
      <c r="S70" s="6">
        <v>167</v>
      </c>
      <c r="T70" s="6" t="s">
        <v>7265</v>
      </c>
      <c r="U70" s="6">
        <f>24%</f>
        <v>0.24</v>
      </c>
      <c r="V70" s="5" t="s">
        <v>7266</v>
      </c>
      <c r="W70" s="5" t="s">
        <v>7267</v>
      </c>
      <c r="X70" s="5" t="s">
        <v>7268</v>
      </c>
      <c r="Y70" s="5" t="s">
        <v>6600</v>
      </c>
      <c r="Z70" s="5" t="s">
        <v>7269</v>
      </c>
      <c r="AA70" s="5" t="s">
        <v>7270</v>
      </c>
      <c r="AB70" s="5" t="s">
        <v>7271</v>
      </c>
      <c r="AC70" s="5" t="s">
        <v>7272</v>
      </c>
      <c r="AD70" s="7"/>
    </row>
    <row r="71" spans="1:30" ht="15.6" x14ac:dyDescent="0.3">
      <c r="A71" s="4">
        <v>70</v>
      </c>
      <c r="B71" s="5" t="s">
        <v>7273</v>
      </c>
      <c r="C71" s="6" t="s">
        <v>567</v>
      </c>
      <c r="D71" s="5" t="s">
        <v>7274</v>
      </c>
      <c r="E71" s="5" t="s">
        <v>33</v>
      </c>
      <c r="F71" s="6" t="s">
        <v>7275</v>
      </c>
      <c r="G71" s="6" t="s">
        <v>7276</v>
      </c>
      <c r="H71" s="6" t="s">
        <v>296</v>
      </c>
      <c r="I71" s="8">
        <v>-0.56000000000000005</v>
      </c>
      <c r="J71" s="6" t="s">
        <v>494</v>
      </c>
      <c r="K71" s="6" t="s">
        <v>7277</v>
      </c>
      <c r="L71" s="8">
        <v>-0.13</v>
      </c>
      <c r="M71" s="6" t="s">
        <v>7278</v>
      </c>
      <c r="N71" s="8">
        <v>-0.13</v>
      </c>
      <c r="O71" s="6" t="s">
        <v>7279</v>
      </c>
      <c r="P71" s="6" t="s">
        <v>7280</v>
      </c>
      <c r="Q71" s="6">
        <f>0.056</f>
        <v>5.6000000000000001E-2</v>
      </c>
      <c r="R71" s="6" t="s">
        <v>7281</v>
      </c>
      <c r="S71" s="6">
        <v>73</v>
      </c>
      <c r="T71" s="6" t="s">
        <v>7282</v>
      </c>
      <c r="U71" s="6">
        <f>350%</f>
        <v>3.5</v>
      </c>
      <c r="V71" s="5" t="s">
        <v>7283</v>
      </c>
      <c r="W71" s="5" t="s">
        <v>6372</v>
      </c>
      <c r="X71" s="5" t="s">
        <v>7284</v>
      </c>
      <c r="Y71" s="5" t="s">
        <v>7285</v>
      </c>
      <c r="Z71" s="5" t="s">
        <v>7286</v>
      </c>
      <c r="AA71" s="5" t="s">
        <v>7287</v>
      </c>
      <c r="AB71" s="6"/>
      <c r="AC71" s="6"/>
      <c r="AD71" s="7"/>
    </row>
    <row r="72" spans="1:30" ht="15.6" x14ac:dyDescent="0.3">
      <c r="A72" s="4">
        <v>71</v>
      </c>
      <c r="B72" s="5" t="s">
        <v>7288</v>
      </c>
      <c r="C72" s="6" t="s">
        <v>102</v>
      </c>
      <c r="D72" s="5" t="s">
        <v>7289</v>
      </c>
      <c r="E72" s="5" t="s">
        <v>48</v>
      </c>
      <c r="F72" s="6" t="s">
        <v>7290</v>
      </c>
      <c r="G72" s="6" t="s">
        <v>7291</v>
      </c>
      <c r="H72" s="6" t="s">
        <v>296</v>
      </c>
      <c r="I72" s="8">
        <v>-0.62</v>
      </c>
      <c r="J72" s="6" t="s">
        <v>482</v>
      </c>
      <c r="K72" s="6" t="s">
        <v>7292</v>
      </c>
      <c r="L72" s="6">
        <f>13%</f>
        <v>0.13</v>
      </c>
      <c r="M72" s="6" t="s">
        <v>7293</v>
      </c>
      <c r="N72" s="6">
        <f>13%</f>
        <v>0.13</v>
      </c>
      <c r="O72" s="6" t="s">
        <v>7294</v>
      </c>
      <c r="P72" s="6" t="s">
        <v>7295</v>
      </c>
      <c r="Q72" s="6">
        <f>0.12</f>
        <v>0.12</v>
      </c>
      <c r="R72" s="6" t="s">
        <v>7296</v>
      </c>
      <c r="S72" s="6">
        <v>127</v>
      </c>
      <c r="T72" s="6" t="s">
        <v>7297</v>
      </c>
      <c r="U72" s="6">
        <f>39%</f>
        <v>0.39</v>
      </c>
      <c r="V72" s="5" t="s">
        <v>7298</v>
      </c>
      <c r="W72" s="5" t="s">
        <v>6700</v>
      </c>
      <c r="X72" s="5" t="s">
        <v>7299</v>
      </c>
      <c r="Y72" s="5" t="s">
        <v>7300</v>
      </c>
      <c r="Z72" s="5" t="s">
        <v>7301</v>
      </c>
      <c r="AA72" s="5" t="s">
        <v>6700</v>
      </c>
      <c r="AB72" s="5" t="s">
        <v>7302</v>
      </c>
      <c r="AC72" s="5" t="s">
        <v>6700</v>
      </c>
      <c r="AD72" s="9" t="s">
        <v>7303</v>
      </c>
    </row>
    <row r="73" spans="1:30" ht="15.6" x14ac:dyDescent="0.3">
      <c r="A73" s="4">
        <v>72</v>
      </c>
      <c r="B73" s="5" t="s">
        <v>7304</v>
      </c>
      <c r="C73" s="6" t="s">
        <v>46</v>
      </c>
      <c r="D73" s="5" t="s">
        <v>7305</v>
      </c>
      <c r="E73" s="6"/>
      <c r="F73" s="6" t="s">
        <v>7306</v>
      </c>
      <c r="G73" s="6" t="s">
        <v>7307</v>
      </c>
      <c r="H73" s="6" t="s">
        <v>2474</v>
      </c>
      <c r="I73" s="8">
        <v>-0.27</v>
      </c>
      <c r="J73" s="6" t="s">
        <v>731</v>
      </c>
      <c r="K73" s="6" t="s">
        <v>799</v>
      </c>
      <c r="L73" s="6" t="s">
        <v>217</v>
      </c>
      <c r="M73" s="6" t="s">
        <v>800</v>
      </c>
      <c r="N73" s="6" t="s">
        <v>217</v>
      </c>
      <c r="O73" s="6" t="s">
        <v>800</v>
      </c>
      <c r="P73" s="6" t="s">
        <v>217</v>
      </c>
      <c r="Q73" s="6">
        <f>0.13</f>
        <v>0.13</v>
      </c>
      <c r="R73" s="6" t="s">
        <v>7308</v>
      </c>
      <c r="S73" s="6">
        <v>106</v>
      </c>
      <c r="T73" s="6" t="s">
        <v>217</v>
      </c>
      <c r="U73" s="6" t="s">
        <v>217</v>
      </c>
      <c r="V73" s="5" t="s">
        <v>7309</v>
      </c>
      <c r="W73" s="5" t="s">
        <v>7310</v>
      </c>
      <c r="X73" s="5" t="s">
        <v>7311</v>
      </c>
      <c r="Y73" s="5" t="s">
        <v>7312</v>
      </c>
      <c r="Z73" s="5" t="s">
        <v>7313</v>
      </c>
      <c r="AA73" s="5" t="s">
        <v>7314</v>
      </c>
      <c r="AB73" s="6"/>
      <c r="AC73" s="6"/>
      <c r="AD73" s="7"/>
    </row>
    <row r="74" spans="1:30" ht="15.6" x14ac:dyDescent="0.3">
      <c r="A74" s="4">
        <v>73</v>
      </c>
      <c r="B74" s="5" t="s">
        <v>7315</v>
      </c>
      <c r="C74" s="6" t="s">
        <v>267</v>
      </c>
      <c r="D74" s="5" t="s">
        <v>7316</v>
      </c>
      <c r="E74" s="5" t="s">
        <v>48</v>
      </c>
      <c r="F74" s="6" t="s">
        <v>7317</v>
      </c>
      <c r="G74" s="6" t="s">
        <v>7318</v>
      </c>
      <c r="H74" s="6" t="s">
        <v>2474</v>
      </c>
      <c r="I74" s="6" t="s">
        <v>4180</v>
      </c>
      <c r="J74" s="6" t="s">
        <v>442</v>
      </c>
      <c r="K74" s="6" t="s">
        <v>770</v>
      </c>
      <c r="L74" s="6">
        <f>48%</f>
        <v>0.48</v>
      </c>
      <c r="M74" s="6" t="s">
        <v>7319</v>
      </c>
      <c r="N74" s="6">
        <f>48%</f>
        <v>0.48</v>
      </c>
      <c r="O74" s="6" t="s">
        <v>7320</v>
      </c>
      <c r="P74" s="6" t="s">
        <v>7321</v>
      </c>
      <c r="Q74" s="6">
        <f>0.057</f>
        <v>5.7000000000000002E-2</v>
      </c>
      <c r="R74" s="6" t="s">
        <v>7322</v>
      </c>
      <c r="S74" s="6">
        <v>158</v>
      </c>
      <c r="T74" s="6" t="s">
        <v>7323</v>
      </c>
      <c r="U74" s="6">
        <f>13%</f>
        <v>0.13</v>
      </c>
      <c r="V74" s="5" t="s">
        <v>7324</v>
      </c>
      <c r="W74" s="5" t="s">
        <v>6602</v>
      </c>
      <c r="X74" s="5" t="s">
        <v>7325</v>
      </c>
      <c r="Y74" s="5" t="s">
        <v>7326</v>
      </c>
      <c r="Z74" s="5" t="s">
        <v>7327</v>
      </c>
      <c r="AA74" s="5" t="s">
        <v>6602</v>
      </c>
      <c r="AB74" s="5" t="s">
        <v>7328</v>
      </c>
      <c r="AC74" s="5" t="s">
        <v>6602</v>
      </c>
      <c r="AD74" s="7"/>
    </row>
    <row r="75" spans="1:30" ht="15.6" x14ac:dyDescent="0.3">
      <c r="A75" s="4">
        <v>74</v>
      </c>
      <c r="B75" s="5" t="s">
        <v>7329</v>
      </c>
      <c r="C75" s="6" t="s">
        <v>85</v>
      </c>
      <c r="D75" s="5" t="s">
        <v>7330</v>
      </c>
      <c r="E75" s="5" t="s">
        <v>33</v>
      </c>
      <c r="F75" s="6" t="s">
        <v>7331</v>
      </c>
      <c r="G75" s="6" t="s">
        <v>7332</v>
      </c>
      <c r="H75" s="6" t="s">
        <v>2474</v>
      </c>
      <c r="I75" s="6" t="s">
        <v>7333</v>
      </c>
      <c r="J75" s="6" t="s">
        <v>1071</v>
      </c>
      <c r="K75" s="6" t="s">
        <v>7334</v>
      </c>
      <c r="L75" s="6">
        <f>20%</f>
        <v>0.2</v>
      </c>
      <c r="M75" s="6" t="s">
        <v>7335</v>
      </c>
      <c r="N75" s="6">
        <f>20%</f>
        <v>0.2</v>
      </c>
      <c r="O75" s="6" t="s">
        <v>7336</v>
      </c>
      <c r="P75" s="6" t="s">
        <v>7337</v>
      </c>
      <c r="Q75" s="6">
        <f>48%</f>
        <v>0.48</v>
      </c>
      <c r="R75" s="6" t="s">
        <v>7338</v>
      </c>
      <c r="S75" s="6">
        <v>44</v>
      </c>
      <c r="T75" s="6" t="s">
        <v>7339</v>
      </c>
      <c r="U75" s="6">
        <f>11%</f>
        <v>0.11</v>
      </c>
      <c r="V75" s="5" t="s">
        <v>7340</v>
      </c>
      <c r="W75" s="5" t="s">
        <v>7341</v>
      </c>
      <c r="X75" s="5" t="s">
        <v>7342</v>
      </c>
      <c r="Y75" s="5" t="s">
        <v>7341</v>
      </c>
      <c r="Z75" s="5" t="s">
        <v>7343</v>
      </c>
      <c r="AA75" s="5" t="s">
        <v>7341</v>
      </c>
      <c r="AB75" s="5" t="s">
        <v>7344</v>
      </c>
      <c r="AC75" s="5" t="s">
        <v>7345</v>
      </c>
      <c r="AD75" s="7"/>
    </row>
    <row r="76" spans="1:30" ht="15.6" x14ac:dyDescent="0.3">
      <c r="A76" s="4">
        <v>75</v>
      </c>
      <c r="B76" s="5" t="s">
        <v>7346</v>
      </c>
      <c r="C76" s="6" t="s">
        <v>114</v>
      </c>
      <c r="D76" s="5" t="s">
        <v>7347</v>
      </c>
      <c r="E76" s="5" t="s">
        <v>48</v>
      </c>
      <c r="F76" s="6" t="s">
        <v>7348</v>
      </c>
      <c r="G76" s="6" t="s">
        <v>7349</v>
      </c>
      <c r="H76" s="6" t="s">
        <v>2474</v>
      </c>
      <c r="I76" s="6" t="s">
        <v>7350</v>
      </c>
      <c r="J76" s="6" t="s">
        <v>1110</v>
      </c>
      <c r="K76" s="6" t="s">
        <v>7351</v>
      </c>
      <c r="L76" s="6">
        <f>39%</f>
        <v>0.39</v>
      </c>
      <c r="M76" s="6" t="s">
        <v>7352</v>
      </c>
      <c r="N76" s="6">
        <f>39%</f>
        <v>0.39</v>
      </c>
      <c r="O76" s="6" t="s">
        <v>7353</v>
      </c>
      <c r="P76" s="6" t="s">
        <v>7354</v>
      </c>
      <c r="Q76" s="6"/>
      <c r="R76" s="6" t="s">
        <v>7355</v>
      </c>
      <c r="S76" s="6">
        <v>300</v>
      </c>
      <c r="T76" s="6" t="s">
        <v>7356</v>
      </c>
      <c r="U76" s="8">
        <v>-0.39</v>
      </c>
      <c r="V76" s="5" t="s">
        <v>7357</v>
      </c>
      <c r="W76" s="5" t="s">
        <v>7237</v>
      </c>
      <c r="X76" s="5" t="s">
        <v>7358</v>
      </c>
      <c r="Y76" s="5" t="s">
        <v>7003</v>
      </c>
      <c r="Z76" s="5" t="s">
        <v>7359</v>
      </c>
      <c r="AA76" s="5" t="s">
        <v>7360</v>
      </c>
      <c r="AB76" s="5" t="s">
        <v>7361</v>
      </c>
      <c r="AC76" s="5" t="s">
        <v>7362</v>
      </c>
      <c r="AD76" s="9" t="s">
        <v>7363</v>
      </c>
    </row>
    <row r="77" spans="1:30" ht="15.6" x14ac:dyDescent="0.3">
      <c r="A77" s="4">
        <v>76</v>
      </c>
      <c r="B77" s="5" t="s">
        <v>7364</v>
      </c>
      <c r="C77" s="6" t="s">
        <v>126</v>
      </c>
      <c r="D77" s="5" t="s">
        <v>7365</v>
      </c>
      <c r="E77" s="5" t="s">
        <v>33</v>
      </c>
      <c r="F77" s="6" t="s">
        <v>7366</v>
      </c>
      <c r="G77" s="6" t="s">
        <v>7367</v>
      </c>
      <c r="H77" s="6" t="s">
        <v>2474</v>
      </c>
      <c r="I77" s="6" t="s">
        <v>7368</v>
      </c>
      <c r="J77" s="6" t="s">
        <v>2474</v>
      </c>
      <c r="K77" s="6" t="s">
        <v>7369</v>
      </c>
      <c r="L77" s="8">
        <v>-0.13</v>
      </c>
      <c r="M77" s="6" t="s">
        <v>7370</v>
      </c>
      <c r="N77" s="8">
        <v>-0.13</v>
      </c>
      <c r="O77" s="6" t="s">
        <v>7371</v>
      </c>
      <c r="P77" s="6" t="s">
        <v>7372</v>
      </c>
      <c r="Q77" s="6">
        <f>140%</f>
        <v>1.4</v>
      </c>
      <c r="R77" s="6" t="s">
        <v>7373</v>
      </c>
      <c r="S77" s="6">
        <v>165</v>
      </c>
      <c r="T77" s="6" t="s">
        <v>7374</v>
      </c>
      <c r="U77" s="8">
        <v>-0.94</v>
      </c>
      <c r="V77" s="5" t="s">
        <v>7375</v>
      </c>
      <c r="W77" s="5" t="s">
        <v>7376</v>
      </c>
      <c r="X77" s="5" t="s">
        <v>7377</v>
      </c>
      <c r="Y77" s="5" t="s">
        <v>7378</v>
      </c>
      <c r="Z77" s="5" t="s">
        <v>7379</v>
      </c>
      <c r="AA77" s="5" t="s">
        <v>7376</v>
      </c>
      <c r="AB77" s="5" t="s">
        <v>7380</v>
      </c>
      <c r="AC77" s="5" t="s">
        <v>7376</v>
      </c>
      <c r="AD77" s="9" t="s">
        <v>7381</v>
      </c>
    </row>
    <row r="78" spans="1:30" ht="15.6" x14ac:dyDescent="0.3">
      <c r="A78" s="4">
        <v>77</v>
      </c>
      <c r="B78" s="5" t="s">
        <v>7382</v>
      </c>
      <c r="C78" s="6" t="s">
        <v>267</v>
      </c>
      <c r="D78" s="5" t="s">
        <v>7383</v>
      </c>
      <c r="E78" s="5" t="s">
        <v>48</v>
      </c>
      <c r="F78" s="6" t="s">
        <v>7384</v>
      </c>
      <c r="G78" s="6" t="s">
        <v>7385</v>
      </c>
      <c r="H78" s="6" t="s">
        <v>2474</v>
      </c>
      <c r="I78" s="6" t="s">
        <v>2350</v>
      </c>
      <c r="J78" s="6" t="s">
        <v>1609</v>
      </c>
      <c r="K78" s="6" t="s">
        <v>7386</v>
      </c>
      <c r="L78" s="6">
        <f>600%</f>
        <v>6</v>
      </c>
      <c r="M78" s="6" t="s">
        <v>7387</v>
      </c>
      <c r="N78" s="6">
        <f>600%</f>
        <v>6</v>
      </c>
      <c r="O78" s="6" t="s">
        <v>7388</v>
      </c>
      <c r="P78" s="6" t="s">
        <v>7389</v>
      </c>
      <c r="Q78" s="6">
        <f>0.13</f>
        <v>0.13</v>
      </c>
      <c r="R78" s="6" t="s">
        <v>7390</v>
      </c>
      <c r="S78" s="6">
        <v>90</v>
      </c>
      <c r="T78" s="6" t="s">
        <v>7391</v>
      </c>
      <c r="U78" s="6" t="s">
        <v>9262</v>
      </c>
      <c r="V78" s="5" t="s">
        <v>7392</v>
      </c>
      <c r="W78" s="5" t="s">
        <v>7393</v>
      </c>
      <c r="X78" s="5" t="s">
        <v>7394</v>
      </c>
      <c r="Y78" s="5" t="s">
        <v>7395</v>
      </c>
      <c r="Z78" s="5" t="s">
        <v>7396</v>
      </c>
      <c r="AA78" s="5" t="s">
        <v>7393</v>
      </c>
      <c r="AB78" s="5" t="s">
        <v>7397</v>
      </c>
      <c r="AC78" s="5" t="s">
        <v>7393</v>
      </c>
      <c r="AD78" s="9" t="s">
        <v>7398</v>
      </c>
    </row>
    <row r="79" spans="1:30" ht="15.6" x14ac:dyDescent="0.3">
      <c r="A79" s="4">
        <v>78</v>
      </c>
      <c r="B79" s="5" t="s">
        <v>7399</v>
      </c>
      <c r="C79" s="6" t="s">
        <v>567</v>
      </c>
      <c r="D79" s="5" t="s">
        <v>7400</v>
      </c>
      <c r="E79" s="5" t="s">
        <v>48</v>
      </c>
      <c r="F79" s="6" t="s">
        <v>7401</v>
      </c>
      <c r="G79" s="6" t="s">
        <v>7402</v>
      </c>
      <c r="H79" s="6" t="s">
        <v>2474</v>
      </c>
      <c r="I79" s="6" t="s">
        <v>6803</v>
      </c>
      <c r="J79" s="6" t="s">
        <v>494</v>
      </c>
      <c r="K79" s="6" t="s">
        <v>5135</v>
      </c>
      <c r="L79" s="6" t="s">
        <v>217</v>
      </c>
      <c r="M79" s="6" t="s">
        <v>7403</v>
      </c>
      <c r="N79" s="6">
        <f>0.038%</f>
        <v>3.7999999999999997E-4</v>
      </c>
      <c r="O79" s="6" t="s">
        <v>7404</v>
      </c>
      <c r="P79" s="6" t="s">
        <v>7405</v>
      </c>
      <c r="Q79" s="8">
        <v>-0.28000000000000003</v>
      </c>
      <c r="R79" s="6" t="s">
        <v>7406</v>
      </c>
      <c r="S79" s="6">
        <v>199</v>
      </c>
      <c r="T79" s="6" t="s">
        <v>7407</v>
      </c>
      <c r="U79" s="8">
        <v>-0.4</v>
      </c>
      <c r="V79" s="5" t="s">
        <v>7408</v>
      </c>
      <c r="W79" s="5" t="s">
        <v>6581</v>
      </c>
      <c r="X79" s="5" t="s">
        <v>7409</v>
      </c>
      <c r="Y79" s="5" t="s">
        <v>7410</v>
      </c>
      <c r="Z79" s="5" t="s">
        <v>7411</v>
      </c>
      <c r="AA79" s="5" t="s">
        <v>7412</v>
      </c>
      <c r="AB79" s="5" t="s">
        <v>7413</v>
      </c>
      <c r="AC79" s="5" t="s">
        <v>7414</v>
      </c>
      <c r="AD79" s="7"/>
    </row>
    <row r="80" spans="1:30" ht="15.6" x14ac:dyDescent="0.3">
      <c r="A80" s="4">
        <v>79</v>
      </c>
      <c r="B80" s="5" t="s">
        <v>7415</v>
      </c>
      <c r="C80" s="6" t="s">
        <v>114</v>
      </c>
      <c r="D80" s="5" t="s">
        <v>7416</v>
      </c>
      <c r="E80" s="5" t="s">
        <v>162</v>
      </c>
      <c r="F80" s="6" t="s">
        <v>7417</v>
      </c>
      <c r="G80" s="6" t="s">
        <v>7418</v>
      </c>
      <c r="H80" s="6" t="s">
        <v>950</v>
      </c>
      <c r="I80" s="6" t="s">
        <v>7419</v>
      </c>
      <c r="J80" s="6" t="s">
        <v>973</v>
      </c>
      <c r="K80" s="6" t="s">
        <v>7420</v>
      </c>
      <c r="L80" s="6" t="s">
        <v>217</v>
      </c>
      <c r="M80" s="6" t="s">
        <v>7421</v>
      </c>
      <c r="N80" s="8">
        <v>-0.13</v>
      </c>
      <c r="O80" s="6" t="s">
        <v>7422</v>
      </c>
      <c r="P80" s="6" t="s">
        <v>7423</v>
      </c>
      <c r="Q80" s="6">
        <f>81%</f>
        <v>0.81</v>
      </c>
      <c r="R80" s="6" t="s">
        <v>7424</v>
      </c>
      <c r="S80" s="6">
        <v>82</v>
      </c>
      <c r="T80" s="6">
        <v>869</v>
      </c>
      <c r="U80" s="6">
        <f>0.46%</f>
        <v>4.5999999999999999E-3</v>
      </c>
      <c r="V80" s="5" t="s">
        <v>7425</v>
      </c>
      <c r="W80" s="5" t="s">
        <v>7426</v>
      </c>
      <c r="X80" s="5" t="s">
        <v>7427</v>
      </c>
      <c r="Y80" s="5" t="s">
        <v>7428</v>
      </c>
      <c r="Z80" s="5" t="s">
        <v>7429</v>
      </c>
      <c r="AA80" s="5" t="s">
        <v>7430</v>
      </c>
      <c r="AB80" s="5" t="s">
        <v>7431</v>
      </c>
      <c r="AC80" s="5" t="s">
        <v>7432</v>
      </c>
      <c r="AD80" s="9" t="s">
        <v>7433</v>
      </c>
    </row>
    <row r="81" spans="1:30" ht="15.6" x14ac:dyDescent="0.3">
      <c r="A81" s="4">
        <v>80</v>
      </c>
      <c r="B81" s="5" t="s">
        <v>7434</v>
      </c>
      <c r="C81" s="6" t="s">
        <v>60</v>
      </c>
      <c r="D81" s="5" t="s">
        <v>7435</v>
      </c>
      <c r="E81" s="5" t="s">
        <v>48</v>
      </c>
      <c r="F81" s="6" t="s">
        <v>7007</v>
      </c>
      <c r="G81" s="6" t="s">
        <v>7436</v>
      </c>
      <c r="H81" s="6" t="s">
        <v>950</v>
      </c>
      <c r="I81" s="6" t="s">
        <v>7437</v>
      </c>
      <c r="J81" s="6" t="s">
        <v>272</v>
      </c>
      <c r="K81" s="6" t="s">
        <v>7438</v>
      </c>
      <c r="L81" s="6" t="s">
        <v>3016</v>
      </c>
      <c r="M81" s="6" t="s">
        <v>7439</v>
      </c>
      <c r="N81" s="6" t="s">
        <v>3016</v>
      </c>
      <c r="O81" s="6" t="s">
        <v>7440</v>
      </c>
      <c r="P81" s="6" t="s">
        <v>7441</v>
      </c>
      <c r="Q81" s="8">
        <v>-0.41</v>
      </c>
      <c r="R81" s="6" t="s">
        <v>1105</v>
      </c>
      <c r="S81" s="6">
        <v>30</v>
      </c>
      <c r="T81" s="6" t="s">
        <v>1263</v>
      </c>
      <c r="U81" s="8">
        <v>-0.21</v>
      </c>
      <c r="V81" s="5" t="s">
        <v>7016</v>
      </c>
      <c r="W81" s="5" t="s">
        <v>6207</v>
      </c>
      <c r="X81" s="5" t="s">
        <v>7017</v>
      </c>
      <c r="Y81" s="5" t="s">
        <v>6602</v>
      </c>
      <c r="Z81" s="5" t="s">
        <v>7018</v>
      </c>
      <c r="AA81" s="5" t="s">
        <v>7019</v>
      </c>
      <c r="AB81" s="5" t="s">
        <v>7020</v>
      </c>
      <c r="AC81" s="5" t="s">
        <v>7019</v>
      </c>
      <c r="AD81" s="7"/>
    </row>
    <row r="82" spans="1:30" ht="15.6" x14ac:dyDescent="0.3">
      <c r="A82" s="4">
        <v>81</v>
      </c>
      <c r="B82" s="5" t="s">
        <v>7442</v>
      </c>
      <c r="C82" s="6" t="s">
        <v>126</v>
      </c>
      <c r="D82" s="5" t="s">
        <v>7443</v>
      </c>
      <c r="E82" s="5" t="s">
        <v>33</v>
      </c>
      <c r="F82" s="6" t="s">
        <v>7444</v>
      </c>
      <c r="G82" s="6" t="s">
        <v>7445</v>
      </c>
      <c r="H82" s="6" t="s">
        <v>950</v>
      </c>
      <c r="I82" s="6" t="s">
        <v>7446</v>
      </c>
      <c r="J82" s="6" t="s">
        <v>667</v>
      </c>
      <c r="K82" s="6" t="s">
        <v>7447</v>
      </c>
      <c r="L82" s="6" t="s">
        <v>1818</v>
      </c>
      <c r="M82" s="6" t="s">
        <v>7448</v>
      </c>
      <c r="N82" s="6" t="s">
        <v>1818</v>
      </c>
      <c r="O82" s="6" t="s">
        <v>7449</v>
      </c>
      <c r="P82" s="6" t="s">
        <v>7450</v>
      </c>
      <c r="Q82" s="8">
        <v>-0.49</v>
      </c>
      <c r="R82" s="6" t="s">
        <v>7451</v>
      </c>
      <c r="S82" s="6">
        <v>100</v>
      </c>
      <c r="T82" s="6" t="s">
        <v>7452</v>
      </c>
      <c r="U82" s="8">
        <v>-0.51</v>
      </c>
      <c r="V82" s="5" t="s">
        <v>7453</v>
      </c>
      <c r="W82" s="5" t="s">
        <v>7454</v>
      </c>
      <c r="X82" s="5" t="s">
        <v>7455</v>
      </c>
      <c r="Y82" s="5" t="s">
        <v>7456</v>
      </c>
      <c r="Z82" s="5" t="s">
        <v>7457</v>
      </c>
      <c r="AA82" s="5" t="s">
        <v>7458</v>
      </c>
      <c r="AB82" s="6"/>
      <c r="AC82" s="6"/>
      <c r="AD82" s="7"/>
    </row>
    <row r="83" spans="1:30" ht="15.6" x14ac:dyDescent="0.3">
      <c r="A83" s="4">
        <v>82</v>
      </c>
      <c r="B83" s="5" t="s">
        <v>7459</v>
      </c>
      <c r="C83" s="6" t="s">
        <v>72</v>
      </c>
      <c r="D83" s="5" t="s">
        <v>7460</v>
      </c>
      <c r="E83" s="5" t="s">
        <v>48</v>
      </c>
      <c r="F83" s="6" t="s">
        <v>7461</v>
      </c>
      <c r="G83" s="6" t="s">
        <v>7462</v>
      </c>
      <c r="H83" s="6" t="s">
        <v>950</v>
      </c>
      <c r="I83" s="6" t="s">
        <v>7463</v>
      </c>
      <c r="J83" s="6" t="s">
        <v>296</v>
      </c>
      <c r="K83" s="6" t="s">
        <v>7464</v>
      </c>
      <c r="L83" s="8">
        <v>-0.14000000000000001</v>
      </c>
      <c r="M83" s="6" t="s">
        <v>7465</v>
      </c>
      <c r="N83" s="8">
        <v>-0.14000000000000001</v>
      </c>
      <c r="O83" s="6" t="s">
        <v>7466</v>
      </c>
      <c r="P83" s="6" t="s">
        <v>7467</v>
      </c>
      <c r="Q83" s="6">
        <f>3.6%</f>
        <v>3.6000000000000004E-2</v>
      </c>
      <c r="R83" s="6" t="s">
        <v>7468</v>
      </c>
      <c r="S83" s="6">
        <v>35</v>
      </c>
      <c r="T83" s="6" t="s">
        <v>2798</v>
      </c>
      <c r="U83" s="6">
        <f>100%</f>
        <v>1</v>
      </c>
      <c r="V83" s="6"/>
      <c r="W83" s="6"/>
      <c r="X83" s="6"/>
      <c r="Y83" s="6"/>
      <c r="Z83" s="6"/>
      <c r="AA83" s="6"/>
      <c r="AB83" s="6"/>
      <c r="AC83" s="6"/>
      <c r="AD83" s="7"/>
    </row>
    <row r="84" spans="1:30" ht="15.6" x14ac:dyDescent="0.3">
      <c r="A84" s="4">
        <v>83</v>
      </c>
      <c r="B84" s="5" t="s">
        <v>7469</v>
      </c>
      <c r="C84" s="6" t="s">
        <v>567</v>
      </c>
      <c r="D84" s="5" t="s">
        <v>7470</v>
      </c>
      <c r="E84" s="5" t="s">
        <v>48</v>
      </c>
      <c r="F84" s="6" t="s">
        <v>7471</v>
      </c>
      <c r="G84" s="6" t="s">
        <v>7472</v>
      </c>
      <c r="H84" s="6" t="s">
        <v>1432</v>
      </c>
      <c r="I84" s="6" t="s">
        <v>130</v>
      </c>
      <c r="J84" s="6" t="s">
        <v>1365</v>
      </c>
      <c r="K84" s="6" t="s">
        <v>7473</v>
      </c>
      <c r="L84" s="8">
        <v>-0.25</v>
      </c>
      <c r="M84" s="6" t="s">
        <v>7474</v>
      </c>
      <c r="N84" s="8">
        <v>-0.25</v>
      </c>
      <c r="O84" s="6" t="s">
        <v>7475</v>
      </c>
      <c r="P84" s="6" t="s">
        <v>7476</v>
      </c>
      <c r="Q84" s="8">
        <v>-0.88</v>
      </c>
      <c r="R84" s="6" t="s">
        <v>7477</v>
      </c>
      <c r="S84" s="6">
        <v>551</v>
      </c>
      <c r="T84" s="6" t="s">
        <v>4520</v>
      </c>
      <c r="U84" s="8">
        <v>-0.77</v>
      </c>
      <c r="V84" s="5" t="s">
        <v>7478</v>
      </c>
      <c r="W84" s="5" t="s">
        <v>7479</v>
      </c>
      <c r="X84" s="5" t="s">
        <v>7480</v>
      </c>
      <c r="Y84" s="5" t="s">
        <v>7481</v>
      </c>
      <c r="Z84" s="5" t="s">
        <v>7482</v>
      </c>
      <c r="AA84" s="5" t="s">
        <v>7483</v>
      </c>
      <c r="AB84" s="5" t="s">
        <v>7484</v>
      </c>
      <c r="AC84" s="5" t="s">
        <v>7485</v>
      </c>
      <c r="AD84" s="9" t="s">
        <v>7486</v>
      </c>
    </row>
    <row r="85" spans="1:30" ht="15.6" x14ac:dyDescent="0.3">
      <c r="A85" s="4">
        <v>84</v>
      </c>
      <c r="B85" s="5" t="s">
        <v>7487</v>
      </c>
      <c r="C85" s="6" t="s">
        <v>370</v>
      </c>
      <c r="D85" s="5" t="s">
        <v>7488</v>
      </c>
      <c r="E85" s="5" t="s">
        <v>48</v>
      </c>
      <c r="F85" s="6" t="s">
        <v>7489</v>
      </c>
      <c r="G85" s="6" t="s">
        <v>7490</v>
      </c>
      <c r="H85" s="6" t="s">
        <v>1432</v>
      </c>
      <c r="I85" s="6" t="s">
        <v>295</v>
      </c>
      <c r="J85" s="6" t="s">
        <v>411</v>
      </c>
      <c r="K85" s="6" t="s">
        <v>7491</v>
      </c>
      <c r="L85" s="6">
        <f>16%</f>
        <v>0.16</v>
      </c>
      <c r="M85" s="6" t="s">
        <v>7492</v>
      </c>
      <c r="N85" s="6">
        <f>16%</f>
        <v>0.16</v>
      </c>
      <c r="O85" s="6" t="s">
        <v>7493</v>
      </c>
      <c r="P85" s="6" t="s">
        <v>7494</v>
      </c>
      <c r="Q85" s="8">
        <v>-0.27</v>
      </c>
      <c r="R85" s="6" t="s">
        <v>7495</v>
      </c>
      <c r="S85" s="6">
        <v>205</v>
      </c>
      <c r="T85" s="6" t="s">
        <v>7496</v>
      </c>
      <c r="U85" s="8">
        <v>-0.24</v>
      </c>
      <c r="V85" s="5" t="s">
        <v>7497</v>
      </c>
      <c r="W85" s="5" t="s">
        <v>7498</v>
      </c>
      <c r="X85" s="5" t="s">
        <v>7499</v>
      </c>
      <c r="Y85" s="5" t="s">
        <v>7500</v>
      </c>
      <c r="Z85" s="5" t="s">
        <v>7501</v>
      </c>
      <c r="AA85" s="5" t="s">
        <v>7502</v>
      </c>
      <c r="AB85" s="5" t="s">
        <v>7503</v>
      </c>
      <c r="AC85" s="5" t="s">
        <v>7504</v>
      </c>
      <c r="AD85" s="9" t="s">
        <v>7505</v>
      </c>
    </row>
    <row r="86" spans="1:30" ht="15.6" x14ac:dyDescent="0.3">
      <c r="A86" s="4">
        <v>85</v>
      </c>
      <c r="B86" s="5" t="s">
        <v>7506</v>
      </c>
      <c r="C86" s="6" t="s">
        <v>114</v>
      </c>
      <c r="D86" s="5" t="s">
        <v>7507</v>
      </c>
      <c r="E86" s="5" t="s">
        <v>48</v>
      </c>
      <c r="F86" s="6" t="s">
        <v>7508</v>
      </c>
      <c r="G86" s="6" t="s">
        <v>7509</v>
      </c>
      <c r="H86" s="6" t="s">
        <v>1432</v>
      </c>
      <c r="I86" s="6" t="s">
        <v>7510</v>
      </c>
      <c r="J86" s="6" t="s">
        <v>1479</v>
      </c>
      <c r="K86" s="6" t="s">
        <v>1039</v>
      </c>
      <c r="L86" s="8">
        <v>-0.13</v>
      </c>
      <c r="M86" s="6" t="s">
        <v>7511</v>
      </c>
      <c r="N86" s="8">
        <v>-0.13</v>
      </c>
      <c r="O86" s="6" t="s">
        <v>7512</v>
      </c>
      <c r="P86" s="6" t="s">
        <v>7513</v>
      </c>
      <c r="Q86" s="6">
        <f>7%</f>
        <v>7.0000000000000007E-2</v>
      </c>
      <c r="R86" s="6" t="s">
        <v>7514</v>
      </c>
      <c r="S86" s="6">
        <v>73</v>
      </c>
      <c r="T86" s="6" t="s">
        <v>7515</v>
      </c>
      <c r="U86" s="6">
        <f>1.1%</f>
        <v>1.1000000000000001E-2</v>
      </c>
      <c r="V86" s="6"/>
      <c r="W86" s="6"/>
      <c r="X86" s="6"/>
      <c r="Y86" s="6"/>
      <c r="Z86" s="6"/>
      <c r="AA86" s="6"/>
      <c r="AB86" s="6"/>
      <c r="AC86" s="6"/>
      <c r="AD86" s="7"/>
    </row>
    <row r="87" spans="1:30" ht="15.6" x14ac:dyDescent="0.3">
      <c r="A87" s="4">
        <v>86</v>
      </c>
      <c r="B87" s="5" t="s">
        <v>7516</v>
      </c>
      <c r="C87" s="6" t="s">
        <v>72</v>
      </c>
      <c r="D87" s="5" t="s">
        <v>7517</v>
      </c>
      <c r="E87" s="6"/>
      <c r="F87" s="6" t="s">
        <v>7518</v>
      </c>
      <c r="G87" s="6" t="s">
        <v>7519</v>
      </c>
      <c r="H87" s="6" t="s">
        <v>1432</v>
      </c>
      <c r="I87" s="6">
        <f>38%</f>
        <v>0.38</v>
      </c>
      <c r="J87" s="6" t="s">
        <v>454</v>
      </c>
      <c r="K87" s="6" t="s">
        <v>799</v>
      </c>
      <c r="L87" s="6" t="s">
        <v>217</v>
      </c>
      <c r="M87" s="6" t="s">
        <v>800</v>
      </c>
      <c r="N87" s="6" t="s">
        <v>217</v>
      </c>
      <c r="O87" s="6" t="s">
        <v>800</v>
      </c>
      <c r="P87" s="6" t="s">
        <v>217</v>
      </c>
      <c r="Q87" s="6">
        <f>0.016</f>
        <v>1.6E-2</v>
      </c>
      <c r="R87" s="6" t="s">
        <v>7520</v>
      </c>
      <c r="S87" s="6">
        <v>370</v>
      </c>
      <c r="T87" s="6" t="s">
        <v>217</v>
      </c>
      <c r="U87" s="6" t="s">
        <v>217</v>
      </c>
      <c r="V87" s="5" t="s">
        <v>7521</v>
      </c>
      <c r="W87" s="5" t="s">
        <v>7522</v>
      </c>
      <c r="X87" s="5" t="s">
        <v>7523</v>
      </c>
      <c r="Y87" s="5" t="s">
        <v>7524</v>
      </c>
      <c r="Z87" s="5" t="s">
        <v>7525</v>
      </c>
      <c r="AA87" s="5" t="s">
        <v>7524</v>
      </c>
      <c r="AB87" s="5" t="s">
        <v>7526</v>
      </c>
      <c r="AC87" s="5" t="s">
        <v>7522</v>
      </c>
      <c r="AD87" s="9" t="s">
        <v>7527</v>
      </c>
    </row>
    <row r="88" spans="1:30" ht="15.6" x14ac:dyDescent="0.3">
      <c r="A88" s="4">
        <v>87</v>
      </c>
      <c r="B88" s="5" t="s">
        <v>7528</v>
      </c>
      <c r="C88" s="6" t="s">
        <v>114</v>
      </c>
      <c r="D88" s="5" t="s">
        <v>7529</v>
      </c>
      <c r="E88" s="5" t="s">
        <v>48</v>
      </c>
      <c r="F88" s="6" t="s">
        <v>7530</v>
      </c>
      <c r="G88" s="6" t="s">
        <v>7531</v>
      </c>
      <c r="H88" s="6" t="s">
        <v>199</v>
      </c>
      <c r="I88" s="6" t="s">
        <v>7532</v>
      </c>
      <c r="J88" s="6" t="s">
        <v>131</v>
      </c>
      <c r="K88" s="6" t="s">
        <v>1401</v>
      </c>
      <c r="L88" s="8">
        <v>-0.39</v>
      </c>
      <c r="M88" s="6" t="s">
        <v>7533</v>
      </c>
      <c r="N88" s="8">
        <v>-0.39</v>
      </c>
      <c r="O88" s="6" t="s">
        <v>7534</v>
      </c>
      <c r="P88" s="6" t="s">
        <v>7535</v>
      </c>
      <c r="Q88" s="8">
        <v>-0.11</v>
      </c>
      <c r="R88" s="6" t="s">
        <v>7536</v>
      </c>
      <c r="S88" s="6">
        <v>100</v>
      </c>
      <c r="T88" s="6" t="s">
        <v>7537</v>
      </c>
      <c r="U88" s="8">
        <v>-0.19</v>
      </c>
      <c r="V88" s="5" t="s">
        <v>7538</v>
      </c>
      <c r="W88" s="5" t="s">
        <v>7539</v>
      </c>
      <c r="X88" s="5" t="s">
        <v>7540</v>
      </c>
      <c r="Y88" s="5" t="s">
        <v>6283</v>
      </c>
      <c r="Z88" s="5" t="s">
        <v>7541</v>
      </c>
      <c r="AA88" s="5" t="s">
        <v>7542</v>
      </c>
      <c r="AB88" s="5" t="s">
        <v>7543</v>
      </c>
      <c r="AC88" s="5" t="s">
        <v>7544</v>
      </c>
      <c r="AD88" s="7"/>
    </row>
    <row r="89" spans="1:30" ht="15.6" x14ac:dyDescent="0.3">
      <c r="A89" s="4">
        <v>88</v>
      </c>
      <c r="B89" s="5" t="s">
        <v>7545</v>
      </c>
      <c r="C89" s="6" t="s">
        <v>1013</v>
      </c>
      <c r="D89" s="5" t="s">
        <v>7546</v>
      </c>
      <c r="E89" s="5" t="s">
        <v>48</v>
      </c>
      <c r="F89" s="6" t="s">
        <v>7547</v>
      </c>
      <c r="G89" s="6" t="s">
        <v>7548</v>
      </c>
      <c r="H89" s="6" t="s">
        <v>199</v>
      </c>
      <c r="I89" s="8">
        <v>-0.37</v>
      </c>
      <c r="J89" s="6" t="s">
        <v>225</v>
      </c>
      <c r="K89" s="6" t="s">
        <v>7549</v>
      </c>
      <c r="L89" s="6">
        <f>51%</f>
        <v>0.51</v>
      </c>
      <c r="M89" s="6" t="s">
        <v>7550</v>
      </c>
      <c r="N89" s="6">
        <f>51%</f>
        <v>0.51</v>
      </c>
      <c r="O89" s="6" t="s">
        <v>7551</v>
      </c>
      <c r="P89" s="6" t="s">
        <v>7552</v>
      </c>
      <c r="Q89" s="6">
        <f>0.055</f>
        <v>5.5E-2</v>
      </c>
      <c r="R89" s="6" t="s">
        <v>7553</v>
      </c>
      <c r="S89" s="6">
        <v>100</v>
      </c>
      <c r="T89" s="6" t="s">
        <v>7554</v>
      </c>
      <c r="U89" s="6">
        <f>5.1%</f>
        <v>5.0999999999999997E-2</v>
      </c>
      <c r="V89" s="5" t="s">
        <v>7555</v>
      </c>
      <c r="W89" s="5" t="s">
        <v>6207</v>
      </c>
      <c r="X89" s="5" t="s">
        <v>7556</v>
      </c>
      <c r="Y89" s="5" t="s">
        <v>7557</v>
      </c>
      <c r="Z89" s="5" t="s">
        <v>7558</v>
      </c>
      <c r="AA89" s="5" t="s">
        <v>7559</v>
      </c>
      <c r="AB89" s="5" t="s">
        <v>7560</v>
      </c>
      <c r="AC89" s="5" t="s">
        <v>7561</v>
      </c>
      <c r="AD89" s="7"/>
    </row>
    <row r="90" spans="1:30" ht="15.6" x14ac:dyDescent="0.3">
      <c r="A90" s="4">
        <v>89</v>
      </c>
      <c r="B90" s="5" t="s">
        <v>7562</v>
      </c>
      <c r="C90" s="6" t="s">
        <v>304</v>
      </c>
      <c r="D90" s="5" t="s">
        <v>7563</v>
      </c>
      <c r="E90" s="5" t="s">
        <v>48</v>
      </c>
      <c r="F90" s="6" t="s">
        <v>7564</v>
      </c>
      <c r="G90" s="6" t="s">
        <v>7565</v>
      </c>
      <c r="H90" s="6" t="s">
        <v>199</v>
      </c>
      <c r="I90" s="8">
        <v>-0.44</v>
      </c>
      <c r="J90" s="6" t="s">
        <v>984</v>
      </c>
      <c r="K90" s="6" t="s">
        <v>7566</v>
      </c>
      <c r="L90" s="6">
        <f>30%</f>
        <v>0.3</v>
      </c>
      <c r="M90" s="6" t="s">
        <v>7567</v>
      </c>
      <c r="N90" s="6">
        <f>30%</f>
        <v>0.3</v>
      </c>
      <c r="O90" s="6" t="s">
        <v>7568</v>
      </c>
      <c r="P90" s="6" t="s">
        <v>7569</v>
      </c>
      <c r="Q90" s="6">
        <f>0.0076</f>
        <v>7.6E-3</v>
      </c>
      <c r="R90" s="6" t="s">
        <v>7570</v>
      </c>
      <c r="S90" s="6">
        <v>730</v>
      </c>
      <c r="T90" s="6" t="s">
        <v>7571</v>
      </c>
      <c r="U90" s="6">
        <f>0.6%</f>
        <v>6.0000000000000001E-3</v>
      </c>
      <c r="V90" s="5" t="s">
        <v>6794</v>
      </c>
      <c r="W90" s="5" t="s">
        <v>6357</v>
      </c>
      <c r="X90" s="5" t="s">
        <v>7572</v>
      </c>
      <c r="Y90" s="5" t="s">
        <v>7326</v>
      </c>
      <c r="Z90" s="5" t="s">
        <v>7573</v>
      </c>
      <c r="AA90" s="5" t="s">
        <v>7574</v>
      </c>
      <c r="AB90" s="5" t="s">
        <v>7575</v>
      </c>
      <c r="AC90" s="5" t="s">
        <v>7033</v>
      </c>
      <c r="AD90" s="9" t="s">
        <v>7576</v>
      </c>
    </row>
    <row r="91" spans="1:30" ht="15.6" x14ac:dyDescent="0.3">
      <c r="A91" s="4">
        <v>90</v>
      </c>
      <c r="B91" s="5" t="s">
        <v>7577</v>
      </c>
      <c r="C91" s="6" t="s">
        <v>72</v>
      </c>
      <c r="D91" s="5" t="s">
        <v>7578</v>
      </c>
      <c r="E91" s="5" t="s">
        <v>48</v>
      </c>
      <c r="F91" s="6" t="s">
        <v>7579</v>
      </c>
      <c r="G91" s="6" t="s">
        <v>7580</v>
      </c>
      <c r="H91" s="6" t="s">
        <v>199</v>
      </c>
      <c r="I91" s="8">
        <v>-0.53</v>
      </c>
      <c r="J91" s="6" t="s">
        <v>973</v>
      </c>
      <c r="K91" s="6" t="s">
        <v>7581</v>
      </c>
      <c r="L91" s="8">
        <v>-0.02</v>
      </c>
      <c r="M91" s="6" t="s">
        <v>7582</v>
      </c>
      <c r="N91" s="8">
        <v>-0.02</v>
      </c>
      <c r="O91" s="6" t="s">
        <v>7583</v>
      </c>
      <c r="P91" s="6" t="s">
        <v>7584</v>
      </c>
      <c r="Q91" s="6">
        <f>0.024</f>
        <v>2.4E-2</v>
      </c>
      <c r="R91" s="6" t="s">
        <v>7585</v>
      </c>
      <c r="S91" s="6">
        <v>4</v>
      </c>
      <c r="T91" s="6" t="s">
        <v>7586</v>
      </c>
      <c r="U91" s="6"/>
      <c r="V91" s="6"/>
      <c r="W91" s="6"/>
      <c r="X91" s="6"/>
      <c r="Y91" s="6"/>
      <c r="Z91" s="6"/>
      <c r="AA91" s="6"/>
      <c r="AB91" s="6"/>
      <c r="AC91" s="6"/>
      <c r="AD91" s="7"/>
    </row>
    <row r="92" spans="1:30" ht="15.6" x14ac:dyDescent="0.3">
      <c r="A92" s="4">
        <v>91</v>
      </c>
      <c r="B92" s="5" t="s">
        <v>7587</v>
      </c>
      <c r="C92" s="6" t="s">
        <v>126</v>
      </c>
      <c r="D92" s="5" t="s">
        <v>7588</v>
      </c>
      <c r="E92" s="5" t="s">
        <v>48</v>
      </c>
      <c r="F92" s="6" t="s">
        <v>7589</v>
      </c>
      <c r="G92" s="6" t="s">
        <v>7590</v>
      </c>
      <c r="H92" s="6" t="s">
        <v>199</v>
      </c>
      <c r="I92" s="8">
        <v>-0.93</v>
      </c>
      <c r="J92" s="6" t="s">
        <v>1649</v>
      </c>
      <c r="K92" s="6" t="s">
        <v>7591</v>
      </c>
      <c r="L92" s="8">
        <v>-0.48</v>
      </c>
      <c r="M92" s="6" t="s">
        <v>7592</v>
      </c>
      <c r="N92" s="8">
        <v>-0.48</v>
      </c>
      <c r="O92" s="6" t="s">
        <v>7593</v>
      </c>
      <c r="P92" s="6" t="s">
        <v>7594</v>
      </c>
      <c r="Q92" s="6">
        <f>0.038</f>
        <v>3.7999999999999999E-2</v>
      </c>
      <c r="R92" s="6">
        <v>754</v>
      </c>
      <c r="S92" s="6">
        <v>28</v>
      </c>
      <c r="T92" s="6" t="s">
        <v>7595</v>
      </c>
      <c r="U92" s="6">
        <f>2.9%</f>
        <v>2.8999999999999998E-2</v>
      </c>
      <c r="V92" s="5" t="s">
        <v>7596</v>
      </c>
      <c r="W92" s="5" t="s">
        <v>7597</v>
      </c>
      <c r="X92" s="5" t="s">
        <v>7598</v>
      </c>
      <c r="Y92" s="5" t="s">
        <v>7597</v>
      </c>
      <c r="Z92" s="6"/>
      <c r="AA92" s="6"/>
      <c r="AB92" s="6"/>
      <c r="AC92" s="6"/>
      <c r="AD92" s="7"/>
    </row>
    <row r="93" spans="1:30" ht="15.6" x14ac:dyDescent="0.3">
      <c r="A93" s="4">
        <v>92</v>
      </c>
      <c r="B93" s="5" t="s">
        <v>7599</v>
      </c>
      <c r="C93" s="6" t="s">
        <v>304</v>
      </c>
      <c r="D93" s="5" t="s">
        <v>7600</v>
      </c>
      <c r="E93" s="5" t="s">
        <v>33</v>
      </c>
      <c r="F93" s="6" t="s">
        <v>7601</v>
      </c>
      <c r="G93" s="6" t="s">
        <v>7602</v>
      </c>
      <c r="H93" s="6" t="s">
        <v>199</v>
      </c>
      <c r="I93" s="8">
        <v>-0.61</v>
      </c>
      <c r="J93" s="6" t="s">
        <v>272</v>
      </c>
      <c r="K93" s="6" t="s">
        <v>7603</v>
      </c>
      <c r="L93" s="8">
        <v>-0.4</v>
      </c>
      <c r="M93" s="6" t="s">
        <v>7604</v>
      </c>
      <c r="N93" s="8">
        <v>-0.4</v>
      </c>
      <c r="O93" s="6" t="s">
        <v>7605</v>
      </c>
      <c r="P93" s="6" t="s">
        <v>7606</v>
      </c>
      <c r="Q93" s="6">
        <f>0.052</f>
        <v>5.1999999999999998E-2</v>
      </c>
      <c r="R93" s="6">
        <v>782</v>
      </c>
      <c r="S93" s="6">
        <v>8</v>
      </c>
      <c r="T93" s="6" t="s">
        <v>7607</v>
      </c>
      <c r="U93" s="6">
        <f>15%</f>
        <v>0.15</v>
      </c>
      <c r="V93" s="5" t="s">
        <v>7608</v>
      </c>
      <c r="W93" s="5" t="s">
        <v>7609</v>
      </c>
      <c r="X93" s="5" t="s">
        <v>7610</v>
      </c>
      <c r="Y93" s="5" t="s">
        <v>7609</v>
      </c>
      <c r="Z93" s="5" t="s">
        <v>7611</v>
      </c>
      <c r="AA93" s="5" t="s">
        <v>7612</v>
      </c>
      <c r="AB93" s="6"/>
      <c r="AC93" s="6"/>
      <c r="AD93" s="7"/>
    </row>
    <row r="94" spans="1:30" ht="15.6" x14ac:dyDescent="0.3">
      <c r="A94" s="4">
        <v>93</v>
      </c>
      <c r="B94" s="5" t="s">
        <v>7613</v>
      </c>
      <c r="C94" s="6" t="s">
        <v>304</v>
      </c>
      <c r="D94" s="5" t="s">
        <v>7614</v>
      </c>
      <c r="E94" s="5" t="s">
        <v>33</v>
      </c>
      <c r="F94" s="6" t="s">
        <v>7615</v>
      </c>
      <c r="G94" s="6" t="s">
        <v>7616</v>
      </c>
      <c r="H94" s="6" t="s">
        <v>431</v>
      </c>
      <c r="I94" s="6" t="s">
        <v>6347</v>
      </c>
      <c r="J94" s="6" t="s">
        <v>118</v>
      </c>
      <c r="K94" s="6" t="s">
        <v>7617</v>
      </c>
      <c r="L94" s="6" t="s">
        <v>7618</v>
      </c>
      <c r="M94" s="6" t="s">
        <v>7619</v>
      </c>
      <c r="N94" s="6" t="s">
        <v>7618</v>
      </c>
      <c r="O94" s="6" t="s">
        <v>7620</v>
      </c>
      <c r="P94" s="6" t="s">
        <v>7621</v>
      </c>
      <c r="Q94" s="6">
        <f>2.4%</f>
        <v>2.4E-2</v>
      </c>
      <c r="R94" s="6" t="s">
        <v>7622</v>
      </c>
      <c r="S94" s="6">
        <v>239</v>
      </c>
      <c r="T94" s="6" t="s">
        <v>7623</v>
      </c>
      <c r="U94" s="6">
        <f>20%</f>
        <v>0.2</v>
      </c>
      <c r="V94" s="6"/>
      <c r="W94" s="6"/>
      <c r="X94" s="6"/>
      <c r="Y94" s="6"/>
      <c r="Z94" s="6"/>
      <c r="AA94" s="6"/>
      <c r="AB94" s="6"/>
      <c r="AC94" s="6"/>
      <c r="AD94" s="7"/>
    </row>
    <row r="95" spans="1:30" ht="15.6" x14ac:dyDescent="0.3">
      <c r="A95" s="4">
        <v>94</v>
      </c>
      <c r="B95" s="5" t="s">
        <v>7624</v>
      </c>
      <c r="C95" s="6" t="s">
        <v>304</v>
      </c>
      <c r="D95" s="5" t="s">
        <v>7625</v>
      </c>
      <c r="E95" s="5" t="s">
        <v>48</v>
      </c>
      <c r="F95" s="6" t="s">
        <v>7626</v>
      </c>
      <c r="G95" s="6" t="s">
        <v>7627</v>
      </c>
      <c r="H95" s="6" t="s">
        <v>431</v>
      </c>
      <c r="I95" s="8">
        <v>-0.46</v>
      </c>
      <c r="J95" s="6" t="s">
        <v>571</v>
      </c>
      <c r="K95" s="6" t="s">
        <v>226</v>
      </c>
      <c r="L95" s="6">
        <f>13%</f>
        <v>0.13</v>
      </c>
      <c r="M95" s="6" t="s">
        <v>1556</v>
      </c>
      <c r="N95" s="6">
        <f>13%</f>
        <v>0.13</v>
      </c>
      <c r="O95" s="6" t="s">
        <v>7628</v>
      </c>
      <c r="P95" s="6" t="s">
        <v>7629</v>
      </c>
      <c r="Q95" s="6">
        <f>0.026</f>
        <v>2.5999999999999999E-2</v>
      </c>
      <c r="R95" s="6" t="s">
        <v>7630</v>
      </c>
      <c r="S95" s="6">
        <v>67</v>
      </c>
      <c r="T95" s="6" t="s">
        <v>6333</v>
      </c>
      <c r="U95" s="6">
        <f>9.8%</f>
        <v>9.8000000000000004E-2</v>
      </c>
      <c r="V95" s="5" t="s">
        <v>7631</v>
      </c>
      <c r="W95" s="5" t="s">
        <v>7632</v>
      </c>
      <c r="X95" s="5" t="s">
        <v>7633</v>
      </c>
      <c r="Y95" s="5" t="s">
        <v>7632</v>
      </c>
      <c r="Z95" s="5" t="s">
        <v>7634</v>
      </c>
      <c r="AA95" s="5" t="s">
        <v>7632</v>
      </c>
      <c r="AB95" s="5" t="s">
        <v>7635</v>
      </c>
      <c r="AC95" s="5" t="s">
        <v>7632</v>
      </c>
      <c r="AD95" s="7"/>
    </row>
    <row r="96" spans="1:30" ht="15.6" x14ac:dyDescent="0.3">
      <c r="A96" s="4">
        <v>95</v>
      </c>
      <c r="B96" s="5" t="s">
        <v>7636</v>
      </c>
      <c r="C96" s="6" t="s">
        <v>173</v>
      </c>
      <c r="D96" s="5" t="s">
        <v>7637</v>
      </c>
      <c r="E96" s="5" t="s">
        <v>48</v>
      </c>
      <c r="F96" s="6" t="s">
        <v>7638</v>
      </c>
      <c r="G96" s="6" t="s">
        <v>7639</v>
      </c>
      <c r="H96" s="6" t="s">
        <v>431</v>
      </c>
      <c r="I96" s="6" t="s">
        <v>7640</v>
      </c>
      <c r="J96" s="6" t="s">
        <v>1443</v>
      </c>
      <c r="K96" s="6" t="s">
        <v>7641</v>
      </c>
      <c r="L96" s="6" t="s">
        <v>3325</v>
      </c>
      <c r="M96" s="6" t="s">
        <v>7642</v>
      </c>
      <c r="N96" s="6" t="s">
        <v>3325</v>
      </c>
      <c r="O96" s="6" t="s">
        <v>7643</v>
      </c>
      <c r="P96" s="6" t="s">
        <v>7644</v>
      </c>
      <c r="Q96" s="6">
        <f>2.7%</f>
        <v>2.7000000000000003E-2</v>
      </c>
      <c r="R96" s="6" t="s">
        <v>7645</v>
      </c>
      <c r="S96" s="6">
        <v>553</v>
      </c>
      <c r="T96" s="6" t="s">
        <v>7646</v>
      </c>
      <c r="U96" s="6" t="s">
        <v>3915</v>
      </c>
      <c r="V96" s="5" t="s">
        <v>6509</v>
      </c>
      <c r="W96" s="5" t="s">
        <v>6510</v>
      </c>
      <c r="X96" s="6"/>
      <c r="Y96" s="6"/>
      <c r="Z96" s="6"/>
      <c r="AA96" s="6"/>
      <c r="AB96" s="6"/>
      <c r="AC96" s="6"/>
      <c r="AD96" s="7"/>
    </row>
    <row r="97" spans="1:30" ht="15.6" x14ac:dyDescent="0.3">
      <c r="A97" s="4">
        <v>96</v>
      </c>
      <c r="B97" s="5" t="s">
        <v>7647</v>
      </c>
      <c r="C97" s="6" t="s">
        <v>291</v>
      </c>
      <c r="D97" s="5" t="s">
        <v>7648</v>
      </c>
      <c r="E97" s="5" t="s">
        <v>33</v>
      </c>
      <c r="F97" s="6" t="s">
        <v>7649</v>
      </c>
      <c r="G97" s="6" t="s">
        <v>7650</v>
      </c>
      <c r="H97" s="6" t="s">
        <v>431</v>
      </c>
      <c r="I97" s="6" t="s">
        <v>1195</v>
      </c>
      <c r="J97" s="6" t="s">
        <v>454</v>
      </c>
      <c r="K97" s="6" t="s">
        <v>7651</v>
      </c>
      <c r="L97" s="8">
        <v>-0.17</v>
      </c>
      <c r="M97" s="6" t="s">
        <v>7652</v>
      </c>
      <c r="N97" s="8">
        <v>-0.17</v>
      </c>
      <c r="O97" s="6" t="s">
        <v>7653</v>
      </c>
      <c r="P97" s="6" t="s">
        <v>7654</v>
      </c>
      <c r="Q97" s="6">
        <f>4.6%</f>
        <v>4.5999999999999999E-2</v>
      </c>
      <c r="R97" s="6" t="s">
        <v>7655</v>
      </c>
      <c r="S97" s="6">
        <v>58</v>
      </c>
      <c r="T97" s="6" t="s">
        <v>3597</v>
      </c>
      <c r="U97" s="6">
        <f>1.4%</f>
        <v>1.3999999999999999E-2</v>
      </c>
      <c r="V97" s="5" t="s">
        <v>7656</v>
      </c>
      <c r="W97" s="5" t="s">
        <v>7657</v>
      </c>
      <c r="X97" s="5" t="s">
        <v>7658</v>
      </c>
      <c r="Y97" s="5" t="s">
        <v>7659</v>
      </c>
      <c r="Z97" s="5" t="s">
        <v>7660</v>
      </c>
      <c r="AA97" s="5" t="s">
        <v>7661</v>
      </c>
      <c r="AB97" s="6"/>
      <c r="AC97" s="6"/>
      <c r="AD97" s="7"/>
    </row>
    <row r="98" spans="1:30" ht="15.6" x14ac:dyDescent="0.3">
      <c r="A98" s="4">
        <v>97</v>
      </c>
      <c r="B98" s="5" t="s">
        <v>7662</v>
      </c>
      <c r="C98" s="6" t="s">
        <v>72</v>
      </c>
      <c r="D98" s="5" t="s">
        <v>7663</v>
      </c>
      <c r="E98" s="5" t="s">
        <v>48</v>
      </c>
      <c r="F98" s="6" t="s">
        <v>7664</v>
      </c>
      <c r="G98" s="6" t="s">
        <v>7665</v>
      </c>
      <c r="H98" s="6" t="s">
        <v>431</v>
      </c>
      <c r="I98" s="8">
        <v>-0.56000000000000005</v>
      </c>
      <c r="J98" s="6" t="s">
        <v>1390</v>
      </c>
      <c r="K98" s="6" t="s">
        <v>119</v>
      </c>
      <c r="L98" s="8">
        <v>-0.12</v>
      </c>
      <c r="M98" s="6" t="s">
        <v>779</v>
      </c>
      <c r="N98" s="8">
        <v>-0.12</v>
      </c>
      <c r="O98" s="6" t="s">
        <v>7666</v>
      </c>
      <c r="P98" s="6" t="s">
        <v>7667</v>
      </c>
      <c r="Q98" s="6">
        <f>0.033</f>
        <v>3.3000000000000002E-2</v>
      </c>
      <c r="R98" s="6" t="s">
        <v>7668</v>
      </c>
      <c r="S98" s="6">
        <v>71</v>
      </c>
      <c r="T98" s="6" t="s">
        <v>7669</v>
      </c>
      <c r="U98" s="8">
        <v>-0.3</v>
      </c>
      <c r="V98" s="5" t="s">
        <v>7670</v>
      </c>
      <c r="W98" s="5" t="s">
        <v>7671</v>
      </c>
      <c r="X98" s="5" t="s">
        <v>7672</v>
      </c>
      <c r="Y98" s="5" t="s">
        <v>7671</v>
      </c>
      <c r="Z98" s="5" t="s">
        <v>7673</v>
      </c>
      <c r="AA98" s="5" t="s">
        <v>7674</v>
      </c>
      <c r="AB98" s="5" t="s">
        <v>7675</v>
      </c>
      <c r="AC98" s="5" t="s">
        <v>7671</v>
      </c>
      <c r="AD98" s="7"/>
    </row>
    <row r="99" spans="1:30" ht="15.6" x14ac:dyDescent="0.3">
      <c r="A99" s="4">
        <v>98</v>
      </c>
      <c r="B99" s="5" t="s">
        <v>7676</v>
      </c>
      <c r="C99" s="6" t="s">
        <v>72</v>
      </c>
      <c r="D99" s="5" t="s">
        <v>7677</v>
      </c>
      <c r="E99" s="5" t="s">
        <v>33</v>
      </c>
      <c r="F99" s="6" t="s">
        <v>7678</v>
      </c>
      <c r="G99" s="6" t="s">
        <v>7679</v>
      </c>
      <c r="H99" s="6" t="s">
        <v>431</v>
      </c>
      <c r="I99" s="6" t="s">
        <v>7680</v>
      </c>
      <c r="J99" s="6" t="s">
        <v>296</v>
      </c>
      <c r="K99" s="6" t="s">
        <v>7369</v>
      </c>
      <c r="L99" s="6">
        <f>77%</f>
        <v>0.77</v>
      </c>
      <c r="M99" s="6" t="s">
        <v>7681</v>
      </c>
      <c r="N99" s="6">
        <f>77%</f>
        <v>0.77</v>
      </c>
      <c r="O99" s="6" t="s">
        <v>7682</v>
      </c>
      <c r="P99" s="6" t="s">
        <v>7683</v>
      </c>
      <c r="Q99" s="6">
        <f>0.084</f>
        <v>8.4000000000000005E-2</v>
      </c>
      <c r="R99" s="6" t="s">
        <v>7684</v>
      </c>
      <c r="S99" s="6">
        <v>140</v>
      </c>
      <c r="T99" s="6" t="s">
        <v>7685</v>
      </c>
      <c r="U99" s="6" t="s">
        <v>9262</v>
      </c>
      <c r="V99" s="5" t="s">
        <v>7686</v>
      </c>
      <c r="W99" s="5" t="s">
        <v>7300</v>
      </c>
      <c r="X99" s="5" t="s">
        <v>7687</v>
      </c>
      <c r="Y99" s="5" t="s">
        <v>7300</v>
      </c>
      <c r="Z99" s="5" t="s">
        <v>7688</v>
      </c>
      <c r="AA99" s="5" t="s">
        <v>7300</v>
      </c>
      <c r="AB99" s="5" t="s">
        <v>7299</v>
      </c>
      <c r="AC99" s="5" t="s">
        <v>7300</v>
      </c>
      <c r="AD99" s="9" t="s">
        <v>7689</v>
      </c>
    </row>
    <row r="100" spans="1:30" ht="15.6" x14ac:dyDescent="0.3">
      <c r="A100" s="4">
        <v>99</v>
      </c>
      <c r="B100" s="5" t="s">
        <v>7690</v>
      </c>
      <c r="C100" s="6" t="s">
        <v>114</v>
      </c>
      <c r="D100" s="5" t="s">
        <v>7691</v>
      </c>
      <c r="E100" s="5" t="s">
        <v>48</v>
      </c>
      <c r="F100" s="6" t="s">
        <v>7692</v>
      </c>
      <c r="G100" s="6" t="s">
        <v>7693</v>
      </c>
      <c r="H100" s="6" t="s">
        <v>431</v>
      </c>
      <c r="I100" s="8">
        <v>-0.4</v>
      </c>
      <c r="J100" s="6" t="s">
        <v>1453</v>
      </c>
      <c r="K100" s="6" t="s">
        <v>7694</v>
      </c>
      <c r="L100" s="8">
        <v>-0.23</v>
      </c>
      <c r="M100" s="6" t="s">
        <v>7695</v>
      </c>
      <c r="N100" s="8">
        <v>-0.23</v>
      </c>
      <c r="O100" s="6" t="s">
        <v>6350</v>
      </c>
      <c r="P100" s="6" t="s">
        <v>7696</v>
      </c>
      <c r="Q100" s="6">
        <f>0.029</f>
        <v>2.9000000000000001E-2</v>
      </c>
      <c r="R100" s="6" t="s">
        <v>7697</v>
      </c>
      <c r="S100" s="6">
        <v>488</v>
      </c>
      <c r="T100" s="6" t="s">
        <v>7698</v>
      </c>
      <c r="U100" s="6">
        <f>2.1%</f>
        <v>2.1000000000000001E-2</v>
      </c>
      <c r="V100" s="5" t="s">
        <v>7699</v>
      </c>
      <c r="W100" s="5" t="s">
        <v>7237</v>
      </c>
      <c r="X100" s="5" t="s">
        <v>7700</v>
      </c>
      <c r="Y100" s="5" t="s">
        <v>6319</v>
      </c>
      <c r="Z100" s="5" t="s">
        <v>7701</v>
      </c>
      <c r="AA100" s="5" t="s">
        <v>7702</v>
      </c>
      <c r="AB100" s="5" t="s">
        <v>7703</v>
      </c>
      <c r="AC100" s="5" t="s">
        <v>7702</v>
      </c>
      <c r="AD100" s="7"/>
    </row>
    <row r="101" spans="1:30" ht="15.6" x14ac:dyDescent="0.3">
      <c r="A101" s="4">
        <v>100</v>
      </c>
      <c r="B101" s="5" t="s">
        <v>7704</v>
      </c>
      <c r="C101" s="6" t="s">
        <v>72</v>
      </c>
      <c r="D101" s="5" t="s">
        <v>7705</v>
      </c>
      <c r="E101" s="5" t="s">
        <v>33</v>
      </c>
      <c r="F101" s="6" t="s">
        <v>7706</v>
      </c>
      <c r="G101" s="6" t="s">
        <v>7707</v>
      </c>
      <c r="H101" s="6" t="s">
        <v>431</v>
      </c>
      <c r="I101" s="8">
        <v>-0.9</v>
      </c>
      <c r="J101" s="6" t="s">
        <v>296</v>
      </c>
      <c r="K101" s="6" t="s">
        <v>7708</v>
      </c>
      <c r="L101" s="6">
        <f>91%</f>
        <v>0.91</v>
      </c>
      <c r="M101" s="6" t="s">
        <v>6628</v>
      </c>
      <c r="N101" s="6">
        <f>91%</f>
        <v>0.91</v>
      </c>
      <c r="O101" s="6" t="s">
        <v>7709</v>
      </c>
      <c r="P101" s="6" t="s">
        <v>7710</v>
      </c>
      <c r="Q101" s="6">
        <f>0.025</f>
        <v>2.5000000000000001E-2</v>
      </c>
      <c r="R101" s="6" t="s">
        <v>7711</v>
      </c>
      <c r="S101" s="6">
        <v>15</v>
      </c>
      <c r="T101" s="6" t="s">
        <v>7712</v>
      </c>
      <c r="U101" s="6">
        <f>90%</f>
        <v>0.9</v>
      </c>
      <c r="V101" s="5" t="s">
        <v>7713</v>
      </c>
      <c r="W101" s="5" t="s">
        <v>7714</v>
      </c>
      <c r="X101" s="5" t="s">
        <v>7715</v>
      </c>
      <c r="Y101" s="5" t="s">
        <v>7716</v>
      </c>
      <c r="Z101" s="5" t="s">
        <v>7717</v>
      </c>
      <c r="AA101" s="5" t="s">
        <v>7718</v>
      </c>
      <c r="AB101" s="5" t="s">
        <v>7719</v>
      </c>
      <c r="AC101" s="5" t="s">
        <v>7720</v>
      </c>
      <c r="AD101" s="9" t="s">
        <v>7721</v>
      </c>
    </row>
    <row r="102" spans="1:30" ht="15.6" x14ac:dyDescent="0.3">
      <c r="A102" s="4">
        <v>101</v>
      </c>
      <c r="B102" s="5" t="s">
        <v>7722</v>
      </c>
      <c r="C102" s="6" t="s">
        <v>31</v>
      </c>
      <c r="D102" s="5" t="s">
        <v>7723</v>
      </c>
      <c r="E102" s="5" t="s">
        <v>33</v>
      </c>
      <c r="F102" s="6" t="s">
        <v>886</v>
      </c>
      <c r="G102" s="6" t="s">
        <v>7724</v>
      </c>
      <c r="H102" s="6" t="s">
        <v>1453</v>
      </c>
      <c r="I102" s="6" t="s">
        <v>1168</v>
      </c>
      <c r="J102" s="6" t="s">
        <v>3975</v>
      </c>
      <c r="K102" s="6" t="s">
        <v>4666</v>
      </c>
      <c r="L102" s="6" t="s">
        <v>217</v>
      </c>
      <c r="M102" s="6" t="s">
        <v>7725</v>
      </c>
      <c r="N102" s="6" t="s">
        <v>5311</v>
      </c>
      <c r="O102" s="6" t="s">
        <v>7726</v>
      </c>
      <c r="P102" s="6" t="s">
        <v>7727</v>
      </c>
      <c r="Q102" s="6">
        <f>0.34%</f>
        <v>3.4000000000000002E-3</v>
      </c>
      <c r="R102" s="6" t="s">
        <v>7728</v>
      </c>
      <c r="S102" s="6">
        <v>8</v>
      </c>
      <c r="T102" s="6" t="s">
        <v>2951</v>
      </c>
      <c r="U102" s="8">
        <v>-0.65</v>
      </c>
      <c r="V102" s="5" t="s">
        <v>6648</v>
      </c>
      <c r="W102" s="5" t="s">
        <v>6649</v>
      </c>
      <c r="X102" s="5" t="s">
        <v>7729</v>
      </c>
      <c r="Y102" s="5" t="s">
        <v>7730</v>
      </c>
      <c r="Z102" s="5" t="s">
        <v>7731</v>
      </c>
      <c r="AA102" s="5" t="s">
        <v>7732</v>
      </c>
      <c r="AB102" s="5" t="s">
        <v>7733</v>
      </c>
      <c r="AC102" s="5" t="s">
        <v>7734</v>
      </c>
      <c r="AD102" s="7"/>
    </row>
    <row r="103" spans="1:30" ht="15.6" x14ac:dyDescent="0.3">
      <c r="A103" s="4">
        <v>102</v>
      </c>
      <c r="B103" s="5" t="s">
        <v>7735</v>
      </c>
      <c r="C103" s="6" t="s">
        <v>60</v>
      </c>
      <c r="D103" s="5" t="s">
        <v>7736</v>
      </c>
      <c r="E103" s="5" t="s">
        <v>48</v>
      </c>
      <c r="F103" s="6" t="s">
        <v>7737</v>
      </c>
      <c r="G103" s="6" t="s">
        <v>7738</v>
      </c>
      <c r="H103" s="6" t="s">
        <v>1453</v>
      </c>
      <c r="I103" s="6" t="s">
        <v>7463</v>
      </c>
      <c r="J103" s="6" t="s">
        <v>606</v>
      </c>
      <c r="K103" s="6" t="s">
        <v>7739</v>
      </c>
      <c r="L103" s="8">
        <v>-0.25</v>
      </c>
      <c r="M103" s="6" t="s">
        <v>7740</v>
      </c>
      <c r="N103" s="8">
        <v>-0.25</v>
      </c>
      <c r="O103" s="6" t="s">
        <v>7741</v>
      </c>
      <c r="P103" s="6" t="s">
        <v>7742</v>
      </c>
      <c r="Q103" s="8">
        <v>-0.54</v>
      </c>
      <c r="R103" s="6" t="s">
        <v>7743</v>
      </c>
      <c r="S103" s="6">
        <v>158</v>
      </c>
      <c r="T103" s="6" t="s">
        <v>7744</v>
      </c>
      <c r="U103" s="8">
        <v>-0.61</v>
      </c>
      <c r="V103" s="5" t="s">
        <v>7745</v>
      </c>
      <c r="W103" s="5" t="s">
        <v>7746</v>
      </c>
      <c r="X103" s="5" t="s">
        <v>7747</v>
      </c>
      <c r="Y103" s="5" t="s">
        <v>7748</v>
      </c>
      <c r="Z103" s="5" t="s">
        <v>7749</v>
      </c>
      <c r="AA103" s="5" t="s">
        <v>7750</v>
      </c>
      <c r="AB103" s="5" t="s">
        <v>7751</v>
      </c>
      <c r="AC103" s="5" t="s">
        <v>7752</v>
      </c>
      <c r="AD103" s="9" t="s">
        <v>7753</v>
      </c>
    </row>
    <row r="104" spans="1:30" ht="15.6" x14ac:dyDescent="0.3">
      <c r="A104" s="4">
        <v>103</v>
      </c>
      <c r="B104" s="5" t="s">
        <v>7754</v>
      </c>
      <c r="C104" s="6" t="s">
        <v>85</v>
      </c>
      <c r="D104" s="5" t="s">
        <v>7755</v>
      </c>
      <c r="E104" s="5" t="s">
        <v>33</v>
      </c>
      <c r="F104" s="6" t="s">
        <v>7756</v>
      </c>
      <c r="G104" s="6" t="s">
        <v>7757</v>
      </c>
      <c r="H104" s="6" t="s">
        <v>1453</v>
      </c>
      <c r="I104" s="8">
        <v>-0.87</v>
      </c>
      <c r="J104" s="6" t="s">
        <v>259</v>
      </c>
      <c r="K104" s="6" t="s">
        <v>7758</v>
      </c>
      <c r="L104" s="6" t="s">
        <v>573</v>
      </c>
      <c r="M104" s="6" t="s">
        <v>7759</v>
      </c>
      <c r="N104" s="6" t="s">
        <v>4443</v>
      </c>
      <c r="O104" s="6" t="s">
        <v>7760</v>
      </c>
      <c r="P104" s="6" t="s">
        <v>7761</v>
      </c>
      <c r="Q104" s="6">
        <f>0.00048</f>
        <v>4.8000000000000001E-4</v>
      </c>
      <c r="R104" s="6" t="s">
        <v>7762</v>
      </c>
      <c r="S104" s="6">
        <v>177</v>
      </c>
      <c r="T104" s="6" t="s">
        <v>7763</v>
      </c>
      <c r="U104" s="6">
        <f>66%</f>
        <v>0.66</v>
      </c>
      <c r="V104" s="5" t="s">
        <v>7764</v>
      </c>
      <c r="W104" s="5" t="s">
        <v>7765</v>
      </c>
      <c r="X104" s="5" t="s">
        <v>7766</v>
      </c>
      <c r="Y104" s="5" t="s">
        <v>7765</v>
      </c>
      <c r="Z104" s="5" t="s">
        <v>7767</v>
      </c>
      <c r="AA104" s="5" t="s">
        <v>7765</v>
      </c>
      <c r="AB104" s="5" t="s">
        <v>7768</v>
      </c>
      <c r="AC104" s="5" t="s">
        <v>7769</v>
      </c>
      <c r="AD104" s="9" t="s">
        <v>7770</v>
      </c>
    </row>
    <row r="105" spans="1:30" ht="15.6" x14ac:dyDescent="0.3">
      <c r="A105" s="4">
        <v>104</v>
      </c>
      <c r="B105" s="5" t="s">
        <v>7771</v>
      </c>
      <c r="C105" s="6" t="s">
        <v>370</v>
      </c>
      <c r="D105" s="5" t="s">
        <v>7772</v>
      </c>
      <c r="E105" s="5" t="s">
        <v>48</v>
      </c>
      <c r="F105" s="6" t="s">
        <v>7773</v>
      </c>
      <c r="G105" s="6" t="s">
        <v>7774</v>
      </c>
      <c r="H105" s="6" t="s">
        <v>1453</v>
      </c>
      <c r="I105" s="6" t="s">
        <v>7775</v>
      </c>
      <c r="J105" s="6" t="s">
        <v>284</v>
      </c>
      <c r="K105" s="6" t="s">
        <v>7776</v>
      </c>
      <c r="L105" s="6">
        <f>24%</f>
        <v>0.24</v>
      </c>
      <c r="M105" s="6" t="s">
        <v>7777</v>
      </c>
      <c r="N105" s="6">
        <f>24%</f>
        <v>0.24</v>
      </c>
      <c r="O105" s="6" t="s">
        <v>7778</v>
      </c>
      <c r="P105" s="6" t="s">
        <v>7779</v>
      </c>
      <c r="Q105" s="6">
        <f>41%</f>
        <v>0.41</v>
      </c>
      <c r="R105" s="6" t="s">
        <v>7780</v>
      </c>
      <c r="S105" s="6">
        <v>33</v>
      </c>
      <c r="T105" s="6" t="s">
        <v>703</v>
      </c>
      <c r="U105" s="6">
        <f>4.1%</f>
        <v>4.0999999999999995E-2</v>
      </c>
      <c r="V105" s="5" t="s">
        <v>7781</v>
      </c>
      <c r="W105" s="5" t="s">
        <v>7782</v>
      </c>
      <c r="X105" s="5" t="s">
        <v>7783</v>
      </c>
      <c r="Y105" s="5" t="s">
        <v>6602</v>
      </c>
      <c r="Z105" s="5" t="s">
        <v>7784</v>
      </c>
      <c r="AA105" s="5" t="s">
        <v>6602</v>
      </c>
      <c r="AB105" s="6"/>
      <c r="AC105" s="6"/>
      <c r="AD105" s="7"/>
    </row>
    <row r="106" spans="1:30" ht="15.6" x14ac:dyDescent="0.3">
      <c r="A106" s="4">
        <v>105</v>
      </c>
      <c r="B106" s="5" t="s">
        <v>7785</v>
      </c>
      <c r="C106" s="6" t="s">
        <v>173</v>
      </c>
      <c r="D106" s="5" t="s">
        <v>7786</v>
      </c>
      <c r="E106" s="5" t="s">
        <v>33</v>
      </c>
      <c r="F106" s="6" t="s">
        <v>7787</v>
      </c>
      <c r="G106" s="6" t="s">
        <v>7788</v>
      </c>
      <c r="H106" s="6" t="s">
        <v>1453</v>
      </c>
      <c r="I106" s="8">
        <v>-0.63</v>
      </c>
      <c r="J106" s="6" t="s">
        <v>259</v>
      </c>
      <c r="K106" s="6" t="s">
        <v>78</v>
      </c>
      <c r="L106" s="8">
        <v>-0.12</v>
      </c>
      <c r="M106" s="6" t="s">
        <v>7789</v>
      </c>
      <c r="N106" s="8">
        <v>-0.12</v>
      </c>
      <c r="O106" s="6" t="s">
        <v>7790</v>
      </c>
      <c r="P106" s="6" t="s">
        <v>7791</v>
      </c>
      <c r="Q106" s="6">
        <f>0.042</f>
        <v>4.2000000000000003E-2</v>
      </c>
      <c r="R106" s="6" t="s">
        <v>7792</v>
      </c>
      <c r="S106" s="6">
        <v>138</v>
      </c>
      <c r="T106" s="6" t="s">
        <v>7793</v>
      </c>
      <c r="U106" s="6">
        <f>41%</f>
        <v>0.41</v>
      </c>
      <c r="V106" s="5" t="s">
        <v>7794</v>
      </c>
      <c r="W106" s="5" t="s">
        <v>7795</v>
      </c>
      <c r="X106" s="5" t="s">
        <v>7796</v>
      </c>
      <c r="Y106" s="5" t="s">
        <v>7797</v>
      </c>
      <c r="Z106" s="6"/>
      <c r="AA106" s="6"/>
      <c r="AB106" s="6"/>
      <c r="AC106" s="6"/>
      <c r="AD106" s="7"/>
    </row>
    <row r="107" spans="1:30" ht="15.6" x14ac:dyDescent="0.3">
      <c r="A107" s="4">
        <v>106</v>
      </c>
      <c r="B107" s="5" t="s">
        <v>7798</v>
      </c>
      <c r="C107" s="6" t="s">
        <v>173</v>
      </c>
      <c r="D107" s="5" t="s">
        <v>7799</v>
      </c>
      <c r="E107" s="5" t="s">
        <v>48</v>
      </c>
      <c r="F107" s="6" t="s">
        <v>7800</v>
      </c>
      <c r="G107" s="6" t="s">
        <v>7801</v>
      </c>
      <c r="H107" s="6" t="s">
        <v>309</v>
      </c>
      <c r="I107" s="6">
        <f>37%</f>
        <v>0.37</v>
      </c>
      <c r="J107" s="6" t="s">
        <v>250</v>
      </c>
      <c r="K107" s="6" t="s">
        <v>7802</v>
      </c>
      <c r="L107" s="6">
        <f>170%</f>
        <v>1.7</v>
      </c>
      <c r="M107" s="6" t="s">
        <v>7803</v>
      </c>
      <c r="N107" s="6">
        <f>170%</f>
        <v>1.7</v>
      </c>
      <c r="O107" s="6" t="s">
        <v>7804</v>
      </c>
      <c r="P107" s="6" t="s">
        <v>7805</v>
      </c>
      <c r="Q107" s="6">
        <f>0.033</f>
        <v>3.3000000000000002E-2</v>
      </c>
      <c r="R107" s="6" t="s">
        <v>7806</v>
      </c>
      <c r="S107" s="6">
        <v>76</v>
      </c>
      <c r="T107" s="6" t="s">
        <v>7807</v>
      </c>
      <c r="U107" s="6">
        <f>220%</f>
        <v>2.2000000000000002</v>
      </c>
      <c r="V107" s="5" t="s">
        <v>7808</v>
      </c>
      <c r="W107" s="5" t="s">
        <v>6164</v>
      </c>
      <c r="X107" s="5" t="s">
        <v>7809</v>
      </c>
      <c r="Y107" s="5" t="s">
        <v>7810</v>
      </c>
      <c r="Z107" s="5" t="s">
        <v>7811</v>
      </c>
      <c r="AA107" s="5" t="s">
        <v>7812</v>
      </c>
      <c r="AB107" s="5" t="s">
        <v>7813</v>
      </c>
      <c r="AC107" s="5" t="s">
        <v>7814</v>
      </c>
      <c r="AD107" s="7"/>
    </row>
    <row r="108" spans="1:30" ht="15.6" x14ac:dyDescent="0.3">
      <c r="A108" s="4">
        <v>107</v>
      </c>
      <c r="B108" s="5" t="s">
        <v>7815</v>
      </c>
      <c r="C108" s="6" t="s">
        <v>370</v>
      </c>
      <c r="D108" s="5" t="s">
        <v>7816</v>
      </c>
      <c r="E108" s="5" t="s">
        <v>48</v>
      </c>
      <c r="F108" s="6" t="s">
        <v>7817</v>
      </c>
      <c r="G108" s="6" t="s">
        <v>7818</v>
      </c>
      <c r="H108" s="6" t="s">
        <v>309</v>
      </c>
      <c r="I108" s="8">
        <v>-0.92</v>
      </c>
      <c r="J108" s="6" t="s">
        <v>494</v>
      </c>
      <c r="K108" s="6" t="s">
        <v>7819</v>
      </c>
      <c r="L108" s="8">
        <v>-0.51</v>
      </c>
      <c r="M108" s="6" t="s">
        <v>7820</v>
      </c>
      <c r="N108" s="8">
        <v>-0.51</v>
      </c>
      <c r="O108" s="6" t="s">
        <v>7821</v>
      </c>
      <c r="P108" s="6" t="s">
        <v>7822</v>
      </c>
      <c r="Q108" s="6">
        <f>0.072</f>
        <v>7.1999999999999995E-2</v>
      </c>
      <c r="R108" s="6" t="s">
        <v>7823</v>
      </c>
      <c r="S108" s="6">
        <v>10</v>
      </c>
      <c r="T108" s="6" t="s">
        <v>7824</v>
      </c>
      <c r="U108" s="6">
        <f>1.5%</f>
        <v>1.4999999999999999E-2</v>
      </c>
      <c r="V108" s="5" t="s">
        <v>7825</v>
      </c>
      <c r="W108" s="5" t="s">
        <v>7826</v>
      </c>
      <c r="X108" s="5" t="s">
        <v>7827</v>
      </c>
      <c r="Y108" s="5" t="s">
        <v>7828</v>
      </c>
      <c r="Z108" s="5" t="s">
        <v>7829</v>
      </c>
      <c r="AA108" s="5" t="s">
        <v>7830</v>
      </c>
      <c r="AB108" s="5" t="s">
        <v>7831</v>
      </c>
      <c r="AC108" s="5" t="s">
        <v>7830</v>
      </c>
      <c r="AD108" s="9" t="s">
        <v>7832</v>
      </c>
    </row>
    <row r="109" spans="1:30" ht="15.6" x14ac:dyDescent="0.3">
      <c r="A109" s="4">
        <v>108</v>
      </c>
      <c r="B109" s="5" t="s">
        <v>7833</v>
      </c>
      <c r="C109" s="6" t="s">
        <v>1408</v>
      </c>
      <c r="D109" s="5" t="s">
        <v>7834</v>
      </c>
      <c r="E109" s="5" t="s">
        <v>33</v>
      </c>
      <c r="F109" s="6" t="s">
        <v>7835</v>
      </c>
      <c r="G109" s="6" t="s">
        <v>7836</v>
      </c>
      <c r="H109" s="6" t="s">
        <v>309</v>
      </c>
      <c r="I109" s="8">
        <v>-0.59</v>
      </c>
      <c r="J109" s="6" t="s">
        <v>2776</v>
      </c>
      <c r="K109" s="6" t="s">
        <v>7837</v>
      </c>
      <c r="L109" s="6">
        <f>37%</f>
        <v>0.37</v>
      </c>
      <c r="M109" s="6" t="s">
        <v>7838</v>
      </c>
      <c r="N109" s="6">
        <f>37%</f>
        <v>0.37</v>
      </c>
      <c r="O109" s="6" t="s">
        <v>7839</v>
      </c>
      <c r="P109" s="6" t="s">
        <v>7840</v>
      </c>
      <c r="Q109" s="6">
        <f>0.0099</f>
        <v>9.9000000000000008E-3</v>
      </c>
      <c r="R109" s="6" t="s">
        <v>7841</v>
      </c>
      <c r="S109" s="6">
        <v>366</v>
      </c>
      <c r="T109" s="6" t="s">
        <v>7842</v>
      </c>
      <c r="U109" s="6">
        <f>44%</f>
        <v>0.44</v>
      </c>
      <c r="V109" s="5" t="s">
        <v>7843</v>
      </c>
      <c r="W109" s="5" t="s">
        <v>7844</v>
      </c>
      <c r="X109" s="5" t="s">
        <v>7845</v>
      </c>
      <c r="Y109" s="5" t="s">
        <v>7846</v>
      </c>
      <c r="Z109" s="5" t="s">
        <v>7847</v>
      </c>
      <c r="AA109" s="5" t="s">
        <v>7848</v>
      </c>
      <c r="AB109" s="5" t="s">
        <v>7849</v>
      </c>
      <c r="AC109" s="5" t="s">
        <v>7850</v>
      </c>
      <c r="AD109" s="7"/>
    </row>
    <row r="110" spans="1:30" ht="15.6" x14ac:dyDescent="0.3">
      <c r="A110" s="4">
        <v>109</v>
      </c>
      <c r="B110" s="5" t="s">
        <v>7851</v>
      </c>
      <c r="C110" s="6" t="s">
        <v>148</v>
      </c>
      <c r="D110" s="5" t="s">
        <v>7852</v>
      </c>
      <c r="E110" s="5" t="s">
        <v>48</v>
      </c>
      <c r="F110" s="6" t="s">
        <v>7853</v>
      </c>
      <c r="G110" s="6" t="s">
        <v>7854</v>
      </c>
      <c r="H110" s="6" t="s">
        <v>309</v>
      </c>
      <c r="I110" s="8">
        <v>-0.43</v>
      </c>
      <c r="J110" s="6" t="s">
        <v>177</v>
      </c>
      <c r="K110" s="6" t="s">
        <v>7855</v>
      </c>
      <c r="L110" s="8">
        <v>-0.34</v>
      </c>
      <c r="M110" s="6" t="s">
        <v>7856</v>
      </c>
      <c r="N110" s="8">
        <v>-0.34</v>
      </c>
      <c r="O110" s="6" t="s">
        <v>7857</v>
      </c>
      <c r="P110" s="6" t="s">
        <v>7858</v>
      </c>
      <c r="Q110" s="6">
        <f>0.046</f>
        <v>4.5999999999999999E-2</v>
      </c>
      <c r="R110" s="6">
        <v>559</v>
      </c>
      <c r="S110" s="6">
        <v>31</v>
      </c>
      <c r="T110" s="6">
        <v>475</v>
      </c>
      <c r="U110" s="6">
        <f>20%</f>
        <v>0.2</v>
      </c>
      <c r="V110" s="5" t="s">
        <v>7859</v>
      </c>
      <c r="W110" s="5" t="s">
        <v>7860</v>
      </c>
      <c r="X110" s="5" t="s">
        <v>7861</v>
      </c>
      <c r="Y110" s="5" t="s">
        <v>7345</v>
      </c>
      <c r="Z110" s="5" t="s">
        <v>7862</v>
      </c>
      <c r="AA110" s="5" t="s">
        <v>7863</v>
      </c>
      <c r="AB110" s="5" t="s">
        <v>7864</v>
      </c>
      <c r="AC110" s="5" t="s">
        <v>7865</v>
      </c>
      <c r="AD110" s="9" t="s">
        <v>7866</v>
      </c>
    </row>
    <row r="111" spans="1:30" ht="15.6" x14ac:dyDescent="0.3">
      <c r="A111" s="4">
        <v>110</v>
      </c>
      <c r="B111" s="5" t="s">
        <v>7867</v>
      </c>
      <c r="C111" s="6" t="s">
        <v>85</v>
      </c>
      <c r="D111" s="5" t="s">
        <v>7868</v>
      </c>
      <c r="E111" s="5" t="s">
        <v>48</v>
      </c>
      <c r="F111" s="6" t="s">
        <v>7869</v>
      </c>
      <c r="G111" s="6" t="s">
        <v>7870</v>
      </c>
      <c r="H111" s="6" t="s">
        <v>309</v>
      </c>
      <c r="I111" s="8">
        <v>-0.66</v>
      </c>
      <c r="J111" s="6" t="s">
        <v>1110</v>
      </c>
      <c r="K111" s="6" t="s">
        <v>7871</v>
      </c>
      <c r="L111" s="6">
        <f>25%</f>
        <v>0.25</v>
      </c>
      <c r="M111" s="6" t="s">
        <v>7872</v>
      </c>
      <c r="N111" s="6">
        <f>25%</f>
        <v>0.25</v>
      </c>
      <c r="O111" s="6" t="s">
        <v>7873</v>
      </c>
      <c r="P111" s="6" t="s">
        <v>6683</v>
      </c>
      <c r="Q111" s="6">
        <f>0.05</f>
        <v>0.05</v>
      </c>
      <c r="R111" s="6" t="s">
        <v>5557</v>
      </c>
      <c r="S111" s="6">
        <v>3</v>
      </c>
      <c r="T111" s="6">
        <v>548</v>
      </c>
      <c r="U111" s="6">
        <f>45%</f>
        <v>0.45</v>
      </c>
      <c r="V111" s="5" t="s">
        <v>7874</v>
      </c>
      <c r="W111" s="5" t="s">
        <v>7875</v>
      </c>
      <c r="X111" s="5" t="s">
        <v>7876</v>
      </c>
      <c r="Y111" s="5" t="s">
        <v>7875</v>
      </c>
      <c r="Z111" s="6"/>
      <c r="AA111" s="6"/>
      <c r="AB111" s="6"/>
      <c r="AC111" s="6"/>
      <c r="AD111" s="7"/>
    </row>
    <row r="112" spans="1:30" ht="15.6" x14ac:dyDescent="0.3">
      <c r="A112" s="4">
        <v>111</v>
      </c>
      <c r="B112" s="5" t="s">
        <v>7877</v>
      </c>
      <c r="C112" s="6" t="s">
        <v>304</v>
      </c>
      <c r="D112" s="5" t="s">
        <v>7878</v>
      </c>
      <c r="E112" s="5" t="s">
        <v>33</v>
      </c>
      <c r="F112" s="6" t="s">
        <v>7879</v>
      </c>
      <c r="G112" s="6" t="s">
        <v>7880</v>
      </c>
      <c r="H112" s="6" t="s">
        <v>309</v>
      </c>
      <c r="I112" s="6" t="s">
        <v>7881</v>
      </c>
      <c r="J112" s="6" t="s">
        <v>354</v>
      </c>
      <c r="K112" s="6" t="s">
        <v>7882</v>
      </c>
      <c r="L112" s="6">
        <f>40%</f>
        <v>0.4</v>
      </c>
      <c r="M112" s="6" t="s">
        <v>7883</v>
      </c>
      <c r="N112" s="6">
        <f>40%</f>
        <v>0.4</v>
      </c>
      <c r="O112" s="6" t="s">
        <v>7884</v>
      </c>
      <c r="P112" s="6" t="s">
        <v>7885</v>
      </c>
      <c r="Q112" s="6">
        <f>94%</f>
        <v>0.94</v>
      </c>
      <c r="R112" s="6" t="s">
        <v>7886</v>
      </c>
      <c r="S112" s="6">
        <v>35</v>
      </c>
      <c r="T112" s="6" t="s">
        <v>7887</v>
      </c>
      <c r="U112" s="8">
        <v>-0.12</v>
      </c>
      <c r="V112" s="5" t="s">
        <v>7888</v>
      </c>
      <c r="W112" s="5" t="s">
        <v>6372</v>
      </c>
      <c r="X112" s="5" t="s">
        <v>7889</v>
      </c>
      <c r="Y112" s="5" t="s">
        <v>7890</v>
      </c>
      <c r="Z112" s="5" t="s">
        <v>7891</v>
      </c>
      <c r="AA112" s="5" t="s">
        <v>7892</v>
      </c>
      <c r="AB112" s="6"/>
      <c r="AC112" s="6"/>
      <c r="AD112" s="7"/>
    </row>
    <row r="113" spans="1:30" ht="15.6" x14ac:dyDescent="0.3">
      <c r="A113" s="4">
        <v>112</v>
      </c>
      <c r="B113" s="5" t="s">
        <v>7893</v>
      </c>
      <c r="C113" s="6" t="s">
        <v>291</v>
      </c>
      <c r="D113" s="5" t="s">
        <v>7894</v>
      </c>
      <c r="E113" s="5" t="s">
        <v>48</v>
      </c>
      <c r="F113" s="6" t="s">
        <v>7895</v>
      </c>
      <c r="G113" s="6" t="s">
        <v>7896</v>
      </c>
      <c r="H113" s="6" t="s">
        <v>309</v>
      </c>
      <c r="I113" s="6" t="s">
        <v>5134</v>
      </c>
      <c r="J113" s="6" t="s">
        <v>131</v>
      </c>
      <c r="K113" s="6" t="s">
        <v>7897</v>
      </c>
      <c r="L113" s="8">
        <v>-0.3</v>
      </c>
      <c r="M113" s="6" t="s">
        <v>7898</v>
      </c>
      <c r="N113" s="8">
        <v>-0.3</v>
      </c>
      <c r="O113" s="6" t="s">
        <v>7899</v>
      </c>
      <c r="P113" s="6" t="s">
        <v>7900</v>
      </c>
      <c r="Q113" s="8">
        <v>-0.73</v>
      </c>
      <c r="R113" s="6" t="s">
        <v>7901</v>
      </c>
      <c r="S113" s="6">
        <v>852</v>
      </c>
      <c r="T113" s="6" t="s">
        <v>535</v>
      </c>
      <c r="U113" s="8">
        <v>-0.78</v>
      </c>
      <c r="V113" s="6"/>
      <c r="W113" s="6"/>
      <c r="X113" s="6"/>
      <c r="Y113" s="6"/>
      <c r="Z113" s="6"/>
      <c r="AA113" s="6"/>
      <c r="AB113" s="6"/>
      <c r="AC113" s="6"/>
      <c r="AD113" s="7"/>
    </row>
    <row r="114" spans="1:30" ht="15.6" x14ac:dyDescent="0.3">
      <c r="A114" s="4">
        <v>113</v>
      </c>
      <c r="B114" s="5" t="s">
        <v>7902</v>
      </c>
      <c r="C114" s="6" t="s">
        <v>2277</v>
      </c>
      <c r="D114" s="5" t="s">
        <v>7903</v>
      </c>
      <c r="E114" s="5" t="s">
        <v>48</v>
      </c>
      <c r="F114" s="6" t="s">
        <v>2277</v>
      </c>
      <c r="G114" s="6" t="s">
        <v>7904</v>
      </c>
      <c r="H114" s="6" t="s">
        <v>309</v>
      </c>
      <c r="I114" s="6" t="s">
        <v>7905</v>
      </c>
      <c r="J114" s="6" t="s">
        <v>1491</v>
      </c>
      <c r="K114" s="6" t="s">
        <v>7739</v>
      </c>
      <c r="L114" s="8">
        <v>-0.45</v>
      </c>
      <c r="M114" s="6" t="s">
        <v>7906</v>
      </c>
      <c r="N114" s="8">
        <v>-0.45</v>
      </c>
      <c r="O114" s="6" t="s">
        <v>7907</v>
      </c>
      <c r="P114" s="6" t="s">
        <v>7908</v>
      </c>
      <c r="Q114" s="8">
        <v>-0.36</v>
      </c>
      <c r="R114" s="6" t="s">
        <v>7909</v>
      </c>
      <c r="S114" s="6">
        <v>228</v>
      </c>
      <c r="T114" s="6" t="s">
        <v>1032</v>
      </c>
      <c r="U114" s="8">
        <v>-0.49</v>
      </c>
      <c r="V114" s="5" t="s">
        <v>7910</v>
      </c>
      <c r="W114" s="5" t="s">
        <v>7750</v>
      </c>
      <c r="X114" s="6"/>
      <c r="Y114" s="6"/>
      <c r="Z114" s="6"/>
      <c r="AA114" s="6"/>
      <c r="AB114" s="6"/>
      <c r="AC114" s="6"/>
      <c r="AD114" s="7"/>
    </row>
    <row r="115" spans="1:30" ht="15.6" x14ac:dyDescent="0.3">
      <c r="A115" s="4">
        <v>114</v>
      </c>
      <c r="B115" s="5" t="s">
        <v>7911</v>
      </c>
      <c r="C115" s="6" t="s">
        <v>304</v>
      </c>
      <c r="D115" s="5" t="s">
        <v>7912</v>
      </c>
      <c r="E115" s="5" t="s">
        <v>33</v>
      </c>
      <c r="F115" s="6" t="s">
        <v>7913</v>
      </c>
      <c r="G115" s="6" t="s">
        <v>7914</v>
      </c>
      <c r="H115" s="6" t="s">
        <v>309</v>
      </c>
      <c r="I115" s="8">
        <v>-0.2</v>
      </c>
      <c r="J115" s="6" t="s">
        <v>250</v>
      </c>
      <c r="K115" s="6" t="s">
        <v>7915</v>
      </c>
      <c r="L115" s="6">
        <f>5.8%</f>
        <v>5.7999999999999996E-2</v>
      </c>
      <c r="M115" s="6" t="s">
        <v>7916</v>
      </c>
      <c r="N115" s="6">
        <f>5.8%</f>
        <v>5.7999999999999996E-2</v>
      </c>
      <c r="O115" s="6" t="s">
        <v>7917</v>
      </c>
      <c r="P115" s="6" t="s">
        <v>7918</v>
      </c>
      <c r="Q115" s="6">
        <f>0.053</f>
        <v>5.2999999999999999E-2</v>
      </c>
      <c r="R115" s="6" t="s">
        <v>7919</v>
      </c>
      <c r="S115" s="6">
        <v>259</v>
      </c>
      <c r="T115" s="6" t="s">
        <v>7920</v>
      </c>
      <c r="U115" s="8">
        <v>-0.81</v>
      </c>
      <c r="V115" s="5" t="s">
        <v>7921</v>
      </c>
      <c r="W115" s="5" t="s">
        <v>7922</v>
      </c>
      <c r="X115" s="6"/>
      <c r="Y115" s="6"/>
      <c r="Z115" s="6"/>
      <c r="AA115" s="6"/>
      <c r="AB115" s="6"/>
      <c r="AC115" s="6"/>
      <c r="AD115" s="7"/>
    </row>
    <row r="116" spans="1:30" ht="15.6" x14ac:dyDescent="0.3">
      <c r="A116" s="4">
        <v>115</v>
      </c>
      <c r="B116" s="5" t="s">
        <v>7923</v>
      </c>
      <c r="C116" s="6" t="s">
        <v>31</v>
      </c>
      <c r="D116" s="5" t="s">
        <v>7924</v>
      </c>
      <c r="E116" s="5" t="s">
        <v>33</v>
      </c>
      <c r="F116" s="6" t="s">
        <v>7925</v>
      </c>
      <c r="G116" s="6" t="s">
        <v>7926</v>
      </c>
      <c r="H116" s="6" t="s">
        <v>309</v>
      </c>
      <c r="I116" s="8">
        <v>-0.28000000000000003</v>
      </c>
      <c r="J116" s="6" t="s">
        <v>3435</v>
      </c>
      <c r="K116" s="6" t="s">
        <v>2923</v>
      </c>
      <c r="L116" s="6">
        <f>28%</f>
        <v>0.28000000000000003</v>
      </c>
      <c r="M116" s="6" t="s">
        <v>7927</v>
      </c>
      <c r="N116" s="6">
        <f>28%</f>
        <v>0.28000000000000003</v>
      </c>
      <c r="O116" s="6" t="s">
        <v>7928</v>
      </c>
      <c r="P116" s="6" t="s">
        <v>7929</v>
      </c>
      <c r="Q116" s="6">
        <f>0.025</f>
        <v>2.5000000000000001E-2</v>
      </c>
      <c r="R116" s="6" t="s">
        <v>7930</v>
      </c>
      <c r="S116" s="6">
        <v>14</v>
      </c>
      <c r="T116" s="6" t="s">
        <v>7931</v>
      </c>
      <c r="U116" s="6">
        <f>130%</f>
        <v>1.3</v>
      </c>
      <c r="V116" s="5" t="s">
        <v>7932</v>
      </c>
      <c r="W116" s="5" t="s">
        <v>7933</v>
      </c>
      <c r="X116" s="5" t="s">
        <v>7934</v>
      </c>
      <c r="Y116" s="5" t="s">
        <v>7935</v>
      </c>
      <c r="Z116" s="6"/>
      <c r="AA116" s="6"/>
      <c r="AB116" s="6"/>
      <c r="AC116" s="6"/>
      <c r="AD116" s="7"/>
    </row>
    <row r="117" spans="1:30" ht="15.6" x14ac:dyDescent="0.3">
      <c r="A117" s="4">
        <v>116</v>
      </c>
      <c r="B117" s="5" t="s">
        <v>7936</v>
      </c>
      <c r="C117" s="6" t="s">
        <v>102</v>
      </c>
      <c r="D117" s="5" t="s">
        <v>7937</v>
      </c>
      <c r="E117" s="5" t="s">
        <v>48</v>
      </c>
      <c r="F117" s="6" t="s">
        <v>7938</v>
      </c>
      <c r="G117" s="6" t="s">
        <v>7939</v>
      </c>
      <c r="H117" s="6" t="s">
        <v>309</v>
      </c>
      <c r="I117" s="6" t="s">
        <v>3777</v>
      </c>
      <c r="J117" s="6" t="s">
        <v>90</v>
      </c>
      <c r="K117" s="6" t="s">
        <v>4588</v>
      </c>
      <c r="L117" s="6" t="s">
        <v>217</v>
      </c>
      <c r="M117" s="6" t="s">
        <v>7940</v>
      </c>
      <c r="N117" s="6" t="s">
        <v>51</v>
      </c>
      <c r="O117" s="6" t="s">
        <v>7941</v>
      </c>
      <c r="P117" s="6" t="s">
        <v>7942</v>
      </c>
      <c r="Q117" s="6">
        <f>0.038</f>
        <v>3.7999999999999999E-2</v>
      </c>
      <c r="R117" s="6" t="s">
        <v>7943</v>
      </c>
      <c r="S117" s="6">
        <v>6</v>
      </c>
      <c r="T117" s="6" t="s">
        <v>7944</v>
      </c>
      <c r="U117" s="6">
        <f>3.6%</f>
        <v>3.6000000000000004E-2</v>
      </c>
      <c r="V117" s="6"/>
      <c r="W117" s="6"/>
      <c r="X117" s="6"/>
      <c r="Y117" s="6"/>
      <c r="Z117" s="6"/>
      <c r="AA117" s="6"/>
      <c r="AB117" s="6"/>
      <c r="AC117" s="6"/>
      <c r="AD117" s="7"/>
    </row>
    <row r="118" spans="1:30" ht="15.6" x14ac:dyDescent="0.3">
      <c r="A118" s="4">
        <v>117</v>
      </c>
      <c r="B118" s="5" t="s">
        <v>7945</v>
      </c>
      <c r="C118" s="6" t="s">
        <v>85</v>
      </c>
      <c r="D118" s="5" t="s">
        <v>7946</v>
      </c>
      <c r="E118" s="5" t="s">
        <v>162</v>
      </c>
      <c r="F118" s="6" t="s">
        <v>7947</v>
      </c>
      <c r="G118" s="6" t="s">
        <v>7948</v>
      </c>
      <c r="H118" s="6" t="s">
        <v>309</v>
      </c>
      <c r="I118" s="8">
        <v>-0.41</v>
      </c>
      <c r="J118" s="6" t="s">
        <v>2492</v>
      </c>
      <c r="K118" s="6" t="s">
        <v>7277</v>
      </c>
      <c r="L118" s="6" t="s">
        <v>3141</v>
      </c>
      <c r="M118" s="6" t="s">
        <v>7949</v>
      </c>
      <c r="N118" s="6" t="s">
        <v>3141</v>
      </c>
      <c r="O118" s="6" t="s">
        <v>6076</v>
      </c>
      <c r="P118" s="6" t="s">
        <v>7950</v>
      </c>
      <c r="Q118" s="6">
        <f>0.057</f>
        <v>5.7000000000000002E-2</v>
      </c>
      <c r="R118" s="6" t="s">
        <v>2780</v>
      </c>
      <c r="S118" s="6">
        <v>3</v>
      </c>
      <c r="T118" s="6" t="s">
        <v>7951</v>
      </c>
      <c r="U118" s="6">
        <f>0.16%</f>
        <v>1.6000000000000001E-3</v>
      </c>
      <c r="V118" s="5" t="s">
        <v>7952</v>
      </c>
      <c r="W118" s="5" t="s">
        <v>6103</v>
      </c>
      <c r="X118" s="5" t="s">
        <v>7953</v>
      </c>
      <c r="Y118" s="5" t="s">
        <v>7954</v>
      </c>
      <c r="Z118" s="6"/>
      <c r="AA118" s="6"/>
      <c r="AB118" s="6"/>
      <c r="AC118" s="6"/>
      <c r="AD118" s="7"/>
    </row>
    <row r="119" spans="1:30" ht="15.6" x14ac:dyDescent="0.3">
      <c r="A119" s="4">
        <v>118</v>
      </c>
      <c r="B119" s="5" t="s">
        <v>7955</v>
      </c>
      <c r="C119" s="6" t="s">
        <v>60</v>
      </c>
      <c r="D119" s="5" t="s">
        <v>7956</v>
      </c>
      <c r="E119" s="5" t="s">
        <v>33</v>
      </c>
      <c r="F119" s="6" t="s">
        <v>7957</v>
      </c>
      <c r="G119" s="6" t="s">
        <v>7958</v>
      </c>
      <c r="H119" s="6" t="s">
        <v>309</v>
      </c>
      <c r="I119" s="6">
        <f>39%</f>
        <v>0.39</v>
      </c>
      <c r="J119" s="6" t="s">
        <v>950</v>
      </c>
      <c r="K119" s="6" t="s">
        <v>7959</v>
      </c>
      <c r="L119" s="6">
        <f>110%</f>
        <v>1.1000000000000001</v>
      </c>
      <c r="M119" s="6" t="s">
        <v>7960</v>
      </c>
      <c r="N119" s="6">
        <f>110%</f>
        <v>1.1000000000000001</v>
      </c>
      <c r="O119" s="6" t="s">
        <v>7961</v>
      </c>
      <c r="P119" s="6" t="s">
        <v>7962</v>
      </c>
      <c r="Q119" s="6">
        <f>0.033</f>
        <v>3.3000000000000002E-2</v>
      </c>
      <c r="R119" s="6" t="s">
        <v>7963</v>
      </c>
      <c r="S119" s="6">
        <v>286</v>
      </c>
      <c r="T119" s="6" t="s">
        <v>7964</v>
      </c>
      <c r="U119" s="6">
        <f>12%</f>
        <v>0.12</v>
      </c>
      <c r="V119" s="5" t="s">
        <v>7965</v>
      </c>
      <c r="W119" s="5" t="s">
        <v>7966</v>
      </c>
      <c r="X119" s="5" t="s">
        <v>7967</v>
      </c>
      <c r="Y119" s="5" t="s">
        <v>7033</v>
      </c>
      <c r="Z119" s="5" t="s">
        <v>6975</v>
      </c>
      <c r="AA119" s="5" t="s">
        <v>7968</v>
      </c>
      <c r="AB119" s="5" t="s">
        <v>7969</v>
      </c>
      <c r="AC119" s="5" t="s">
        <v>7970</v>
      </c>
      <c r="AD119" s="7"/>
    </row>
    <row r="120" spans="1:30" ht="15.6" x14ac:dyDescent="0.3">
      <c r="A120" s="4">
        <v>119</v>
      </c>
      <c r="B120" s="5" t="s">
        <v>7971</v>
      </c>
      <c r="C120" s="6" t="s">
        <v>567</v>
      </c>
      <c r="D120" s="5" t="s">
        <v>7972</v>
      </c>
      <c r="E120" s="5" t="s">
        <v>48</v>
      </c>
      <c r="F120" s="6" t="s">
        <v>7973</v>
      </c>
      <c r="G120" s="6" t="s">
        <v>7974</v>
      </c>
      <c r="H120" s="6" t="s">
        <v>1491</v>
      </c>
      <c r="I120" s="6" t="s">
        <v>3997</v>
      </c>
      <c r="J120" s="6" t="s">
        <v>719</v>
      </c>
      <c r="K120" s="6" t="s">
        <v>7975</v>
      </c>
      <c r="L120" s="6" t="s">
        <v>217</v>
      </c>
      <c r="M120" s="6" t="s">
        <v>7976</v>
      </c>
      <c r="N120" s="6">
        <f>0.015%</f>
        <v>1.4999999999999999E-4</v>
      </c>
      <c r="O120" s="6" t="s">
        <v>7977</v>
      </c>
      <c r="P120" s="6" t="s">
        <v>7978</v>
      </c>
      <c r="Q120" s="6">
        <f>0.025</f>
        <v>2.5000000000000001E-2</v>
      </c>
      <c r="R120" s="6" t="s">
        <v>7979</v>
      </c>
      <c r="S120" s="6">
        <v>79</v>
      </c>
      <c r="T120" s="6" t="s">
        <v>7980</v>
      </c>
      <c r="U120" s="6">
        <f>5.7%</f>
        <v>5.7000000000000002E-2</v>
      </c>
      <c r="V120" s="5" t="s">
        <v>7981</v>
      </c>
      <c r="W120" s="5" t="s">
        <v>7982</v>
      </c>
      <c r="X120" s="6"/>
      <c r="Y120" s="6"/>
      <c r="Z120" s="6"/>
      <c r="AA120" s="6"/>
      <c r="AB120" s="6"/>
      <c r="AC120" s="6"/>
      <c r="AD120" s="7"/>
    </row>
    <row r="121" spans="1:30" ht="15.6" x14ac:dyDescent="0.3">
      <c r="A121" s="4">
        <v>120</v>
      </c>
      <c r="B121" s="5" t="s">
        <v>7983</v>
      </c>
      <c r="C121" s="6" t="s">
        <v>267</v>
      </c>
      <c r="D121" s="5" t="s">
        <v>7984</v>
      </c>
      <c r="E121" s="5" t="s">
        <v>33</v>
      </c>
      <c r="F121" s="6" t="s">
        <v>7985</v>
      </c>
      <c r="G121" s="6" t="s">
        <v>7986</v>
      </c>
      <c r="H121" s="6" t="s">
        <v>1491</v>
      </c>
      <c r="I121" s="8">
        <v>-0.61</v>
      </c>
      <c r="J121" s="6" t="s">
        <v>571</v>
      </c>
      <c r="K121" s="6" t="s">
        <v>7987</v>
      </c>
      <c r="L121" s="8">
        <v>-0.22</v>
      </c>
      <c r="M121" s="6" t="s">
        <v>7988</v>
      </c>
      <c r="N121" s="8">
        <v>-0.22</v>
      </c>
      <c r="O121" s="6" t="s">
        <v>7989</v>
      </c>
      <c r="P121" s="6" t="s">
        <v>7990</v>
      </c>
      <c r="Q121" s="6">
        <f>0.007</f>
        <v>7.0000000000000001E-3</v>
      </c>
      <c r="R121" s="6">
        <v>14</v>
      </c>
      <c r="S121" s="6">
        <v>0</v>
      </c>
      <c r="T121" s="6">
        <v>64</v>
      </c>
      <c r="U121" s="6">
        <f>1.6%</f>
        <v>1.6E-2</v>
      </c>
      <c r="V121" s="5" t="s">
        <v>7991</v>
      </c>
      <c r="W121" s="5" t="s">
        <v>7992</v>
      </c>
      <c r="X121" s="5" t="s">
        <v>7993</v>
      </c>
      <c r="Y121" s="5" t="s">
        <v>7992</v>
      </c>
      <c r="Z121" s="5" t="s">
        <v>7994</v>
      </c>
      <c r="AA121" s="5" t="s">
        <v>7933</v>
      </c>
      <c r="AB121" s="6"/>
      <c r="AC121" s="6"/>
      <c r="AD121" s="7"/>
    </row>
    <row r="122" spans="1:30" ht="15.6" x14ac:dyDescent="0.3">
      <c r="A122" s="4">
        <v>121</v>
      </c>
      <c r="B122" s="5" t="s">
        <v>7995</v>
      </c>
      <c r="C122" s="6" t="s">
        <v>148</v>
      </c>
      <c r="D122" s="5" t="s">
        <v>7996</v>
      </c>
      <c r="E122" s="5" t="s">
        <v>48</v>
      </c>
      <c r="F122" s="6" t="s">
        <v>7997</v>
      </c>
      <c r="G122" s="6" t="s">
        <v>7998</v>
      </c>
      <c r="H122" s="6" t="s">
        <v>1491</v>
      </c>
      <c r="I122" s="8">
        <v>-0.87</v>
      </c>
      <c r="J122" s="6" t="s">
        <v>719</v>
      </c>
      <c r="K122" s="6" t="s">
        <v>7739</v>
      </c>
      <c r="L122" s="6" t="s">
        <v>1290</v>
      </c>
      <c r="M122" s="6" t="s">
        <v>7999</v>
      </c>
      <c r="N122" s="6" t="s">
        <v>1290</v>
      </c>
      <c r="O122" s="6" t="s">
        <v>8000</v>
      </c>
      <c r="P122" s="6" t="s">
        <v>8001</v>
      </c>
      <c r="Q122" s="6">
        <f>0.046</f>
        <v>4.5999999999999999E-2</v>
      </c>
      <c r="R122" s="6" t="s">
        <v>8002</v>
      </c>
      <c r="S122" s="6">
        <v>228</v>
      </c>
      <c r="T122" s="6" t="s">
        <v>8003</v>
      </c>
      <c r="U122" s="6">
        <f>19%</f>
        <v>0.19</v>
      </c>
      <c r="V122" s="6"/>
      <c r="W122" s="6"/>
      <c r="X122" s="6"/>
      <c r="Y122" s="6"/>
      <c r="Z122" s="6"/>
      <c r="AA122" s="6"/>
      <c r="AB122" s="6"/>
      <c r="AC122" s="6"/>
      <c r="AD122" s="7"/>
    </row>
    <row r="123" spans="1:30" ht="15.6" x14ac:dyDescent="0.3">
      <c r="A123" s="4">
        <v>122</v>
      </c>
      <c r="B123" s="5" t="s">
        <v>8004</v>
      </c>
      <c r="C123" s="6" t="s">
        <v>267</v>
      </c>
      <c r="D123" s="5" t="s">
        <v>8005</v>
      </c>
      <c r="E123" s="5" t="s">
        <v>33</v>
      </c>
      <c r="F123" s="6" t="s">
        <v>8006</v>
      </c>
      <c r="G123" s="6" t="s">
        <v>8007</v>
      </c>
      <c r="H123" s="6" t="s">
        <v>1491</v>
      </c>
      <c r="I123" s="6" t="s">
        <v>6501</v>
      </c>
      <c r="J123" s="6" t="s">
        <v>2009</v>
      </c>
      <c r="K123" s="6" t="s">
        <v>5295</v>
      </c>
      <c r="L123" s="6">
        <f>16%</f>
        <v>0.16</v>
      </c>
      <c r="M123" s="6" t="s">
        <v>8008</v>
      </c>
      <c r="N123" s="6">
        <f>16%</f>
        <v>0.16</v>
      </c>
      <c r="O123" s="6" t="s">
        <v>848</v>
      </c>
      <c r="P123" s="6" t="s">
        <v>8009</v>
      </c>
      <c r="Q123" s="6">
        <f>0.11%</f>
        <v>1.1000000000000001E-3</v>
      </c>
      <c r="R123" s="6" t="s">
        <v>8010</v>
      </c>
      <c r="S123" s="6">
        <v>31</v>
      </c>
      <c r="T123" s="6" t="s">
        <v>8011</v>
      </c>
      <c r="U123" s="8">
        <v>-0.78</v>
      </c>
      <c r="V123" s="5" t="s">
        <v>8012</v>
      </c>
      <c r="W123" s="5" t="s">
        <v>8013</v>
      </c>
      <c r="X123" s="5" t="s">
        <v>8014</v>
      </c>
      <c r="Y123" s="5" t="s">
        <v>8015</v>
      </c>
      <c r="Z123" s="5" t="s">
        <v>8016</v>
      </c>
      <c r="AA123" s="5" t="s">
        <v>8017</v>
      </c>
      <c r="AB123" s="5" t="s">
        <v>8018</v>
      </c>
      <c r="AC123" s="5" t="s">
        <v>8019</v>
      </c>
      <c r="AD123" s="7"/>
    </row>
    <row r="124" spans="1:30" ht="15.6" x14ac:dyDescent="0.3">
      <c r="A124" s="4">
        <v>123</v>
      </c>
      <c r="B124" s="5" t="s">
        <v>8020</v>
      </c>
      <c r="C124" s="6" t="s">
        <v>820</v>
      </c>
      <c r="D124" s="5" t="s">
        <v>8021</v>
      </c>
      <c r="E124" s="5" t="s">
        <v>33</v>
      </c>
      <c r="F124" s="6" t="s">
        <v>8022</v>
      </c>
      <c r="G124" s="6" t="s">
        <v>8023</v>
      </c>
      <c r="H124" s="6" t="s">
        <v>1491</v>
      </c>
      <c r="I124" s="6" t="s">
        <v>834</v>
      </c>
      <c r="J124" s="6" t="s">
        <v>38</v>
      </c>
      <c r="K124" s="6" t="s">
        <v>2677</v>
      </c>
      <c r="L124" s="6" t="s">
        <v>387</v>
      </c>
      <c r="M124" s="6" t="s">
        <v>8024</v>
      </c>
      <c r="N124" s="6" t="s">
        <v>387</v>
      </c>
      <c r="O124" s="6" t="s">
        <v>8025</v>
      </c>
      <c r="P124" s="6" t="s">
        <v>8026</v>
      </c>
      <c r="Q124" s="8">
        <v>-0.64</v>
      </c>
      <c r="R124" s="6" t="s">
        <v>8027</v>
      </c>
      <c r="S124" s="6">
        <v>412</v>
      </c>
      <c r="T124" s="6" t="s">
        <v>8028</v>
      </c>
      <c r="U124" s="8">
        <v>-0.7</v>
      </c>
      <c r="V124" s="5" t="s">
        <v>8029</v>
      </c>
      <c r="W124" s="5" t="s">
        <v>7933</v>
      </c>
      <c r="X124" s="5" t="s">
        <v>8030</v>
      </c>
      <c r="Y124" s="5" t="s">
        <v>8031</v>
      </c>
      <c r="Z124" s="6"/>
      <c r="AA124" s="6"/>
      <c r="AB124" s="6"/>
      <c r="AC124" s="6"/>
      <c r="AD124" s="7"/>
    </row>
    <row r="125" spans="1:30" ht="15.6" x14ac:dyDescent="0.3">
      <c r="A125" s="4">
        <v>124</v>
      </c>
      <c r="B125" s="5" t="s">
        <v>8032</v>
      </c>
      <c r="C125" s="6" t="s">
        <v>72</v>
      </c>
      <c r="D125" s="5" t="s">
        <v>8033</v>
      </c>
      <c r="E125" s="5" t="s">
        <v>162</v>
      </c>
      <c r="F125" s="6" t="s">
        <v>4148</v>
      </c>
      <c r="G125" s="6" t="s">
        <v>8034</v>
      </c>
      <c r="H125" s="6" t="s">
        <v>1491</v>
      </c>
      <c r="I125" s="8">
        <v>-0.86</v>
      </c>
      <c r="J125" s="6" t="s">
        <v>731</v>
      </c>
      <c r="K125" s="6" t="s">
        <v>8035</v>
      </c>
      <c r="L125" s="8">
        <v>-0.49</v>
      </c>
      <c r="M125" s="6" t="s">
        <v>8036</v>
      </c>
      <c r="N125" s="8">
        <v>-0.49</v>
      </c>
      <c r="O125" s="6" t="s">
        <v>8037</v>
      </c>
      <c r="P125" s="6" t="s">
        <v>8038</v>
      </c>
      <c r="Q125" s="6">
        <f>0.036</f>
        <v>3.5999999999999997E-2</v>
      </c>
      <c r="R125" s="6">
        <v>753</v>
      </c>
      <c r="S125" s="6">
        <v>16</v>
      </c>
      <c r="T125" s="6" t="s">
        <v>535</v>
      </c>
      <c r="U125" s="8">
        <v>-0.95</v>
      </c>
      <c r="V125" s="5" t="s">
        <v>8039</v>
      </c>
      <c r="W125" s="5" t="s">
        <v>8040</v>
      </c>
      <c r="X125" s="5" t="s">
        <v>8041</v>
      </c>
      <c r="Y125" s="5" t="s">
        <v>8042</v>
      </c>
      <c r="Z125" s="6"/>
      <c r="AA125" s="6"/>
      <c r="AB125" s="6"/>
      <c r="AC125" s="6"/>
      <c r="AD125" s="7"/>
    </row>
    <row r="126" spans="1:30" ht="15.6" x14ac:dyDescent="0.3">
      <c r="A126" s="4">
        <v>125</v>
      </c>
      <c r="B126" s="5" t="s">
        <v>8043</v>
      </c>
      <c r="C126" s="6" t="s">
        <v>546</v>
      </c>
      <c r="D126" s="5" t="s">
        <v>8044</v>
      </c>
      <c r="E126" s="5" t="s">
        <v>48</v>
      </c>
      <c r="F126" s="6" t="s">
        <v>8045</v>
      </c>
      <c r="G126" s="6" t="s">
        <v>8046</v>
      </c>
      <c r="H126" s="6" t="s">
        <v>1491</v>
      </c>
      <c r="I126" s="6">
        <f>2.8%</f>
        <v>2.7999999999999997E-2</v>
      </c>
      <c r="J126" s="6" t="s">
        <v>1390</v>
      </c>
      <c r="K126" s="6" t="s">
        <v>273</v>
      </c>
      <c r="L126" s="6">
        <f>35%</f>
        <v>0.35</v>
      </c>
      <c r="M126" s="6" t="s">
        <v>8047</v>
      </c>
      <c r="N126" s="6">
        <f>35%</f>
        <v>0.35</v>
      </c>
      <c r="O126" s="6" t="s">
        <v>8048</v>
      </c>
      <c r="P126" s="6" t="s">
        <v>8049</v>
      </c>
      <c r="Q126" s="6">
        <f>0.059</f>
        <v>5.8999999999999997E-2</v>
      </c>
      <c r="R126" s="6" t="s">
        <v>8050</v>
      </c>
      <c r="S126" s="6">
        <v>78</v>
      </c>
      <c r="T126" s="6" t="s">
        <v>8051</v>
      </c>
      <c r="U126" s="6">
        <f>110%</f>
        <v>1.1000000000000001</v>
      </c>
      <c r="V126" s="5" t="s">
        <v>6915</v>
      </c>
      <c r="W126" s="5" t="s">
        <v>6916</v>
      </c>
      <c r="X126" s="5" t="s">
        <v>6921</v>
      </c>
      <c r="Y126" s="5" t="s">
        <v>6916</v>
      </c>
      <c r="Z126" s="6"/>
      <c r="AA126" s="6"/>
      <c r="AB126" s="6"/>
      <c r="AC126" s="6"/>
      <c r="AD126" s="7"/>
    </row>
    <row r="127" spans="1:30" ht="15.6" x14ac:dyDescent="0.3">
      <c r="A127" s="4">
        <v>126</v>
      </c>
      <c r="B127" s="5" t="s">
        <v>8052</v>
      </c>
      <c r="C127" s="6" t="s">
        <v>304</v>
      </c>
      <c r="D127" s="5" t="s">
        <v>8053</v>
      </c>
      <c r="E127" s="6"/>
      <c r="F127" s="6" t="s">
        <v>8054</v>
      </c>
      <c r="G127" s="6" t="s">
        <v>8055</v>
      </c>
      <c r="H127" s="6" t="s">
        <v>1491</v>
      </c>
      <c r="I127" s="6">
        <f>260%</f>
        <v>2.6</v>
      </c>
      <c r="J127" s="6" t="s">
        <v>984</v>
      </c>
      <c r="K127" s="6" t="s">
        <v>799</v>
      </c>
      <c r="L127" s="6" t="s">
        <v>217</v>
      </c>
      <c r="M127" s="6" t="s">
        <v>800</v>
      </c>
      <c r="N127" s="6" t="s">
        <v>217</v>
      </c>
      <c r="O127" s="6" t="s">
        <v>800</v>
      </c>
      <c r="P127" s="6" t="s">
        <v>217</v>
      </c>
      <c r="Q127" s="6">
        <f>0.059</f>
        <v>5.8999999999999997E-2</v>
      </c>
      <c r="R127" s="6" t="s">
        <v>8056</v>
      </c>
      <c r="S127" s="6">
        <v>30</v>
      </c>
      <c r="T127" s="6" t="s">
        <v>217</v>
      </c>
      <c r="U127" s="6" t="s">
        <v>217</v>
      </c>
      <c r="V127" s="5" t="s">
        <v>8057</v>
      </c>
      <c r="W127" s="5" t="s">
        <v>8058</v>
      </c>
      <c r="X127" s="5" t="s">
        <v>8059</v>
      </c>
      <c r="Y127" s="5" t="s">
        <v>8058</v>
      </c>
      <c r="Z127" s="6"/>
      <c r="AA127" s="6"/>
      <c r="AB127" s="6"/>
      <c r="AC127" s="6"/>
      <c r="AD127" s="7"/>
    </row>
    <row r="128" spans="1:30" ht="15.6" x14ac:dyDescent="0.3">
      <c r="A128" s="4">
        <v>127</v>
      </c>
      <c r="B128" s="5" t="s">
        <v>8060</v>
      </c>
      <c r="C128" s="6" t="s">
        <v>85</v>
      </c>
      <c r="D128" s="5" t="s">
        <v>8061</v>
      </c>
      <c r="E128" s="5" t="s">
        <v>162</v>
      </c>
      <c r="F128" s="6" t="s">
        <v>8062</v>
      </c>
      <c r="G128" s="6" t="s">
        <v>8063</v>
      </c>
      <c r="H128" s="6" t="s">
        <v>1491</v>
      </c>
      <c r="I128" s="6">
        <f>430%</f>
        <v>4.3</v>
      </c>
      <c r="J128" s="6" t="s">
        <v>236</v>
      </c>
      <c r="K128" s="6" t="s">
        <v>5429</v>
      </c>
      <c r="L128" s="6">
        <f>34%</f>
        <v>0.34</v>
      </c>
      <c r="M128" s="6" t="s">
        <v>8064</v>
      </c>
      <c r="N128" s="6">
        <f>34%</f>
        <v>0.34</v>
      </c>
      <c r="O128" s="6" t="s">
        <v>8065</v>
      </c>
      <c r="P128" s="6" t="s">
        <v>8066</v>
      </c>
      <c r="Q128" s="6">
        <f>0.014</f>
        <v>1.4E-2</v>
      </c>
      <c r="R128" s="6">
        <v>201</v>
      </c>
      <c r="S128" s="6">
        <v>2</v>
      </c>
      <c r="T128" s="6">
        <v>941</v>
      </c>
      <c r="U128" s="6">
        <f>9.9%</f>
        <v>9.9000000000000005E-2</v>
      </c>
      <c r="V128" s="5" t="s">
        <v>8067</v>
      </c>
      <c r="W128" s="5" t="s">
        <v>8068</v>
      </c>
      <c r="X128" s="6"/>
      <c r="Y128" s="6"/>
      <c r="Z128" s="6"/>
      <c r="AA128" s="6"/>
      <c r="AB128" s="6"/>
      <c r="AC128" s="6"/>
      <c r="AD128" s="7"/>
    </row>
    <row r="129" spans="1:30" ht="15.6" x14ac:dyDescent="0.3">
      <c r="A129" s="4">
        <v>128</v>
      </c>
      <c r="B129" s="5" t="s">
        <v>8069</v>
      </c>
      <c r="C129" s="6" t="s">
        <v>304</v>
      </c>
      <c r="D129" s="5" t="s">
        <v>8070</v>
      </c>
      <c r="E129" s="5" t="s">
        <v>48</v>
      </c>
      <c r="F129" s="6" t="s">
        <v>8071</v>
      </c>
      <c r="G129" s="6" t="s">
        <v>8072</v>
      </c>
      <c r="H129" s="6" t="s">
        <v>1491</v>
      </c>
      <c r="I129" s="6" t="s">
        <v>6519</v>
      </c>
      <c r="J129" s="6" t="s">
        <v>888</v>
      </c>
      <c r="K129" s="6" t="s">
        <v>108</v>
      </c>
      <c r="L129" s="8">
        <v>-0.31</v>
      </c>
      <c r="M129" s="6" t="s">
        <v>8073</v>
      </c>
      <c r="N129" s="8">
        <v>-0.31</v>
      </c>
      <c r="O129" s="6" t="s">
        <v>8074</v>
      </c>
      <c r="P129" s="6" t="s">
        <v>8075</v>
      </c>
      <c r="Q129" s="6">
        <f>2.7%</f>
        <v>2.7000000000000003E-2</v>
      </c>
      <c r="R129" s="6" t="s">
        <v>622</v>
      </c>
      <c r="S129" s="6">
        <v>28</v>
      </c>
      <c r="T129" s="6" t="s">
        <v>2241</v>
      </c>
      <c r="U129" s="8">
        <v>-0.24</v>
      </c>
      <c r="V129" s="5" t="s">
        <v>8076</v>
      </c>
      <c r="W129" s="5" t="s">
        <v>6489</v>
      </c>
      <c r="X129" s="5" t="s">
        <v>8077</v>
      </c>
      <c r="Y129" s="5" t="s">
        <v>8078</v>
      </c>
      <c r="Z129" s="6"/>
      <c r="AA129" s="6"/>
      <c r="AB129" s="6"/>
      <c r="AC129" s="6"/>
      <c r="AD129" s="7"/>
    </row>
    <row r="130" spans="1:30" ht="15.6" x14ac:dyDescent="0.3">
      <c r="A130" s="4">
        <v>129</v>
      </c>
      <c r="B130" s="5" t="s">
        <v>8079</v>
      </c>
      <c r="C130" s="6" t="s">
        <v>185</v>
      </c>
      <c r="D130" s="5" t="s">
        <v>8080</v>
      </c>
      <c r="E130" s="5" t="s">
        <v>48</v>
      </c>
      <c r="F130" s="6" t="s">
        <v>8081</v>
      </c>
      <c r="G130" s="6" t="s">
        <v>8082</v>
      </c>
      <c r="H130" s="6" t="s">
        <v>1491</v>
      </c>
      <c r="I130" s="8">
        <v>-0.14000000000000001</v>
      </c>
      <c r="J130" s="6" t="s">
        <v>118</v>
      </c>
      <c r="K130" s="6" t="s">
        <v>8083</v>
      </c>
      <c r="L130" s="6">
        <f>1.3%</f>
        <v>1.3000000000000001E-2</v>
      </c>
      <c r="M130" s="6" t="s">
        <v>8084</v>
      </c>
      <c r="N130" s="6">
        <f>1.3%</f>
        <v>1.3000000000000001E-2</v>
      </c>
      <c r="O130" s="6" t="s">
        <v>8085</v>
      </c>
      <c r="P130" s="6" t="s">
        <v>8086</v>
      </c>
      <c r="Q130" s="6">
        <f>0.042</f>
        <v>4.2000000000000003E-2</v>
      </c>
      <c r="R130" s="6" t="s">
        <v>8087</v>
      </c>
      <c r="S130" s="6">
        <v>331</v>
      </c>
      <c r="T130" s="6" t="s">
        <v>8088</v>
      </c>
      <c r="U130" s="6">
        <f>0.14%</f>
        <v>1.4000000000000002E-3</v>
      </c>
      <c r="V130" s="5" t="s">
        <v>8089</v>
      </c>
      <c r="W130" s="5" t="s">
        <v>8090</v>
      </c>
      <c r="X130" s="6"/>
      <c r="Y130" s="6"/>
      <c r="Z130" s="6"/>
      <c r="AA130" s="6"/>
      <c r="AB130" s="6"/>
      <c r="AC130" s="6"/>
      <c r="AD130" s="7"/>
    </row>
    <row r="131" spans="1:30" ht="15.6" x14ac:dyDescent="0.3">
      <c r="A131" s="4">
        <v>130</v>
      </c>
      <c r="B131" s="5" t="s">
        <v>8091</v>
      </c>
      <c r="C131" s="6" t="s">
        <v>126</v>
      </c>
      <c r="D131" s="5" t="s">
        <v>8092</v>
      </c>
      <c r="E131" s="5" t="s">
        <v>48</v>
      </c>
      <c r="F131" s="6" t="s">
        <v>8093</v>
      </c>
      <c r="G131" s="6" t="s">
        <v>8094</v>
      </c>
      <c r="H131" s="6" t="s">
        <v>1491</v>
      </c>
      <c r="I131" s="6" t="s">
        <v>1290</v>
      </c>
      <c r="J131" s="6" t="s">
        <v>131</v>
      </c>
      <c r="K131" s="6" t="s">
        <v>178</v>
      </c>
      <c r="L131" s="6">
        <f>33%</f>
        <v>0.33</v>
      </c>
      <c r="M131" s="6" t="s">
        <v>8095</v>
      </c>
      <c r="N131" s="6">
        <f>33%</f>
        <v>0.33</v>
      </c>
      <c r="O131" s="6" t="s">
        <v>8096</v>
      </c>
      <c r="P131" s="6" t="s">
        <v>8097</v>
      </c>
      <c r="Q131" s="6">
        <f>0.046</f>
        <v>4.5999999999999999E-2</v>
      </c>
      <c r="R131" s="6" t="s">
        <v>8098</v>
      </c>
      <c r="S131" s="6">
        <v>20</v>
      </c>
      <c r="T131" s="6" t="s">
        <v>8099</v>
      </c>
      <c r="U131" s="6">
        <f>0.054%</f>
        <v>5.4000000000000001E-4</v>
      </c>
      <c r="V131" s="6"/>
      <c r="W131" s="6"/>
      <c r="X131" s="6"/>
      <c r="Y131" s="6"/>
      <c r="Z131" s="6"/>
      <c r="AA131" s="6"/>
      <c r="AB131" s="6"/>
      <c r="AC131" s="6"/>
      <c r="AD131" s="7"/>
    </row>
    <row r="132" spans="1:30" ht="15.6" x14ac:dyDescent="0.3">
      <c r="A132" s="4">
        <v>131</v>
      </c>
      <c r="B132" s="5" t="s">
        <v>8100</v>
      </c>
      <c r="C132" s="6" t="s">
        <v>567</v>
      </c>
      <c r="D132" s="5" t="s">
        <v>8101</v>
      </c>
      <c r="E132" s="5" t="s">
        <v>221</v>
      </c>
      <c r="F132" s="6" t="s">
        <v>8102</v>
      </c>
      <c r="G132" s="6" t="s">
        <v>8103</v>
      </c>
      <c r="H132" s="6" t="s">
        <v>332</v>
      </c>
      <c r="I132" s="6" t="s">
        <v>8104</v>
      </c>
      <c r="J132" s="6" t="s">
        <v>687</v>
      </c>
      <c r="K132" s="6" t="s">
        <v>813</v>
      </c>
      <c r="L132" s="8">
        <v>-0.7</v>
      </c>
      <c r="M132" s="6" t="s">
        <v>8105</v>
      </c>
      <c r="N132" s="8">
        <v>-0.7</v>
      </c>
      <c r="O132" s="6" t="s">
        <v>8106</v>
      </c>
      <c r="P132" s="6" t="s">
        <v>8107</v>
      </c>
      <c r="Q132" s="6">
        <f>260%</f>
        <v>2.6</v>
      </c>
      <c r="R132" s="6" t="s">
        <v>8108</v>
      </c>
      <c r="S132" s="6">
        <v>39</v>
      </c>
      <c r="T132" s="6" t="s">
        <v>1543</v>
      </c>
      <c r="U132" s="6" t="s">
        <v>217</v>
      </c>
      <c r="V132" s="6"/>
      <c r="W132" s="6"/>
      <c r="X132" s="6"/>
      <c r="Y132" s="6"/>
      <c r="Z132" s="6"/>
      <c r="AA132" s="6"/>
      <c r="AB132" s="6"/>
      <c r="AC132" s="6"/>
      <c r="AD132" s="7"/>
    </row>
    <row r="133" spans="1:30" ht="15.6" x14ac:dyDescent="0.3">
      <c r="A133" s="4">
        <v>132</v>
      </c>
      <c r="B133" s="5" t="s">
        <v>8109</v>
      </c>
      <c r="C133" s="6" t="s">
        <v>46</v>
      </c>
      <c r="D133" s="5" t="s">
        <v>8110</v>
      </c>
      <c r="E133" s="5" t="s">
        <v>33</v>
      </c>
      <c r="F133" s="6" t="s">
        <v>8111</v>
      </c>
      <c r="G133" s="6" t="s">
        <v>8112</v>
      </c>
      <c r="H133" s="6" t="s">
        <v>332</v>
      </c>
      <c r="I133" s="6" t="s">
        <v>8113</v>
      </c>
      <c r="J133" s="6" t="s">
        <v>647</v>
      </c>
      <c r="K133" s="6" t="s">
        <v>8114</v>
      </c>
      <c r="L133" s="8">
        <v>-0.11</v>
      </c>
      <c r="M133" s="6" t="s">
        <v>8115</v>
      </c>
      <c r="N133" s="8">
        <v>-0.11</v>
      </c>
      <c r="O133" s="6" t="s">
        <v>8116</v>
      </c>
      <c r="P133" s="6" t="s">
        <v>8117</v>
      </c>
      <c r="Q133" s="6">
        <f>2.9%</f>
        <v>2.8999999999999998E-2</v>
      </c>
      <c r="R133" s="6" t="s">
        <v>5843</v>
      </c>
      <c r="S133" s="6">
        <v>43</v>
      </c>
      <c r="T133" s="6" t="s">
        <v>8118</v>
      </c>
      <c r="U133" s="8">
        <v>-0.5</v>
      </c>
      <c r="V133" s="6"/>
      <c r="W133" s="6"/>
      <c r="X133" s="6"/>
      <c r="Y133" s="6"/>
      <c r="Z133" s="6"/>
      <c r="AA133" s="6"/>
      <c r="AB133" s="6"/>
      <c r="AC133" s="6"/>
      <c r="AD133" s="7"/>
    </row>
    <row r="134" spans="1:30" ht="15.6" x14ac:dyDescent="0.3">
      <c r="A134" s="4">
        <v>133</v>
      </c>
      <c r="B134" s="5" t="s">
        <v>8119</v>
      </c>
      <c r="C134" s="6" t="s">
        <v>126</v>
      </c>
      <c r="D134" s="5" t="s">
        <v>8120</v>
      </c>
      <c r="E134" s="5" t="s">
        <v>48</v>
      </c>
      <c r="F134" s="6" t="s">
        <v>8121</v>
      </c>
      <c r="G134" s="6" t="s">
        <v>8122</v>
      </c>
      <c r="H134" s="6" t="s">
        <v>332</v>
      </c>
      <c r="I134" s="6" t="s">
        <v>8123</v>
      </c>
      <c r="J134" s="6" t="s">
        <v>36</v>
      </c>
      <c r="K134" s="6" t="s">
        <v>8124</v>
      </c>
      <c r="L134" s="6" t="s">
        <v>3655</v>
      </c>
      <c r="M134" s="6" t="s">
        <v>8125</v>
      </c>
      <c r="N134" s="6" t="s">
        <v>3655</v>
      </c>
      <c r="O134" s="6" t="s">
        <v>8126</v>
      </c>
      <c r="P134" s="6" t="s">
        <v>8127</v>
      </c>
      <c r="Q134" s="8">
        <v>-0.5</v>
      </c>
      <c r="R134" s="6" t="s">
        <v>8128</v>
      </c>
      <c r="S134" s="6">
        <v>107</v>
      </c>
      <c r="T134" s="6" t="s">
        <v>8129</v>
      </c>
      <c r="U134" s="8">
        <v>-0.42</v>
      </c>
      <c r="V134" s="5" t="s">
        <v>8130</v>
      </c>
      <c r="W134" s="5" t="s">
        <v>8131</v>
      </c>
      <c r="X134" s="5" t="s">
        <v>8132</v>
      </c>
      <c r="Y134" s="5" t="s">
        <v>8133</v>
      </c>
      <c r="Z134" s="6"/>
      <c r="AA134" s="6"/>
      <c r="AB134" s="6"/>
      <c r="AC134" s="6"/>
      <c r="AD134" s="7"/>
    </row>
    <row r="135" spans="1:30" ht="15.6" x14ac:dyDescent="0.3">
      <c r="A135" s="4">
        <v>134</v>
      </c>
      <c r="B135" s="5" t="s">
        <v>8134</v>
      </c>
      <c r="C135" s="6" t="s">
        <v>185</v>
      </c>
      <c r="D135" s="5" t="s">
        <v>8135</v>
      </c>
      <c r="E135" s="5" t="s">
        <v>33</v>
      </c>
      <c r="F135" s="6" t="s">
        <v>8136</v>
      </c>
      <c r="G135" s="6" t="s">
        <v>8137</v>
      </c>
      <c r="H135" s="6" t="s">
        <v>332</v>
      </c>
      <c r="I135" s="6" t="s">
        <v>8138</v>
      </c>
      <c r="J135" s="6" t="s">
        <v>296</v>
      </c>
      <c r="K135" s="6" t="s">
        <v>6926</v>
      </c>
      <c r="L135" s="6">
        <f>13%</f>
        <v>0.13</v>
      </c>
      <c r="M135" s="6" t="s">
        <v>8139</v>
      </c>
      <c r="N135" s="6">
        <f>13%</f>
        <v>0.13</v>
      </c>
      <c r="O135" s="6" t="s">
        <v>8140</v>
      </c>
      <c r="P135" s="6" t="s">
        <v>8141</v>
      </c>
      <c r="Q135" s="6">
        <f>250%</f>
        <v>2.5</v>
      </c>
      <c r="R135" s="6" t="s">
        <v>1262</v>
      </c>
      <c r="S135" s="6">
        <v>35</v>
      </c>
      <c r="T135" s="6" t="s">
        <v>8142</v>
      </c>
      <c r="U135" s="6">
        <f>3.4%</f>
        <v>3.4000000000000002E-2</v>
      </c>
      <c r="V135" s="5" t="s">
        <v>6601</v>
      </c>
      <c r="W135" s="5" t="s">
        <v>6602</v>
      </c>
      <c r="X135" s="5" t="s">
        <v>8143</v>
      </c>
      <c r="Y135" s="5" t="s">
        <v>8144</v>
      </c>
      <c r="Z135" s="5" t="s">
        <v>8145</v>
      </c>
      <c r="AA135" s="5" t="s">
        <v>8144</v>
      </c>
      <c r="AB135" s="5" t="s">
        <v>8146</v>
      </c>
      <c r="AC135" s="5" t="s">
        <v>8147</v>
      </c>
      <c r="AD135" s="7"/>
    </row>
    <row r="136" spans="1:30" ht="15.6" x14ac:dyDescent="0.3">
      <c r="A136" s="4">
        <v>135</v>
      </c>
      <c r="B136" s="5" t="s">
        <v>8148</v>
      </c>
      <c r="C136" s="6" t="s">
        <v>219</v>
      </c>
      <c r="D136" s="5" t="s">
        <v>8149</v>
      </c>
      <c r="E136" s="5" t="s">
        <v>33</v>
      </c>
      <c r="F136" s="6" t="s">
        <v>8150</v>
      </c>
      <c r="G136" s="6" t="s">
        <v>8151</v>
      </c>
      <c r="H136" s="6" t="s">
        <v>332</v>
      </c>
      <c r="I136" s="8">
        <v>-0.37</v>
      </c>
      <c r="J136" s="6" t="s">
        <v>1851</v>
      </c>
      <c r="K136" s="6" t="s">
        <v>8152</v>
      </c>
      <c r="L136" s="6">
        <f>73%</f>
        <v>0.73</v>
      </c>
      <c r="M136" s="6" t="s">
        <v>8153</v>
      </c>
      <c r="N136" s="6">
        <f>73%</f>
        <v>0.73</v>
      </c>
      <c r="O136" s="6" t="s">
        <v>8154</v>
      </c>
      <c r="P136" s="6" t="s">
        <v>8155</v>
      </c>
      <c r="Q136" s="6">
        <f>0.021</f>
        <v>2.1000000000000001E-2</v>
      </c>
      <c r="R136" s="6" t="s">
        <v>8156</v>
      </c>
      <c r="S136" s="6">
        <v>60</v>
      </c>
      <c r="T136" s="6" t="s">
        <v>8157</v>
      </c>
      <c r="U136" s="6">
        <f>29%</f>
        <v>0.28999999999999998</v>
      </c>
      <c r="V136" s="5" t="s">
        <v>8158</v>
      </c>
      <c r="W136" s="5" t="s">
        <v>8159</v>
      </c>
      <c r="X136" s="6"/>
      <c r="Y136" s="6"/>
      <c r="Z136" s="6"/>
      <c r="AA136" s="6"/>
      <c r="AB136" s="6"/>
      <c r="AC136" s="6"/>
      <c r="AD136" s="7"/>
    </row>
    <row r="137" spans="1:30" ht="15.6" x14ac:dyDescent="0.3">
      <c r="A137" s="4">
        <v>136</v>
      </c>
      <c r="B137" s="5" t="s">
        <v>8160</v>
      </c>
      <c r="C137" s="6" t="s">
        <v>148</v>
      </c>
      <c r="D137" s="5" t="s">
        <v>8161</v>
      </c>
      <c r="E137" s="5" t="s">
        <v>48</v>
      </c>
      <c r="F137" s="6" t="s">
        <v>8162</v>
      </c>
      <c r="G137" s="6" t="s">
        <v>8163</v>
      </c>
      <c r="H137" s="6" t="s">
        <v>332</v>
      </c>
      <c r="I137" s="8">
        <v>-0.6</v>
      </c>
      <c r="J137" s="6" t="s">
        <v>1649</v>
      </c>
      <c r="K137" s="6" t="s">
        <v>1196</v>
      </c>
      <c r="L137" s="6">
        <f>12%</f>
        <v>0.12</v>
      </c>
      <c r="M137" s="6" t="s">
        <v>7804</v>
      </c>
      <c r="N137" s="6">
        <f>8.2%</f>
        <v>8.199999999999999E-2</v>
      </c>
      <c r="O137" s="6" t="s">
        <v>8164</v>
      </c>
      <c r="P137" s="6" t="s">
        <v>8165</v>
      </c>
      <c r="Q137" s="6">
        <f>0.0054</f>
        <v>5.4000000000000003E-3</v>
      </c>
      <c r="R137" s="6" t="s">
        <v>8166</v>
      </c>
      <c r="S137" s="6">
        <v>113</v>
      </c>
      <c r="T137" s="6" t="s">
        <v>8167</v>
      </c>
      <c r="U137" s="6">
        <f>0.93%</f>
        <v>9.300000000000001E-3</v>
      </c>
      <c r="V137" s="6"/>
      <c r="W137" s="6"/>
      <c r="X137" s="6"/>
      <c r="Y137" s="6"/>
      <c r="Z137" s="6"/>
      <c r="AA137" s="6"/>
      <c r="AB137" s="6"/>
      <c r="AC137" s="6"/>
      <c r="AD137" s="7"/>
    </row>
    <row r="138" spans="1:30" ht="15.6" x14ac:dyDescent="0.3">
      <c r="A138" s="4">
        <v>137</v>
      </c>
      <c r="B138" s="5" t="s">
        <v>8168</v>
      </c>
      <c r="C138" s="6">
        <v>1</v>
      </c>
      <c r="D138" s="5" t="s">
        <v>8169</v>
      </c>
      <c r="E138" s="5" t="s">
        <v>33</v>
      </c>
      <c r="F138" s="6" t="s">
        <v>8170</v>
      </c>
      <c r="G138" s="6" t="s">
        <v>8171</v>
      </c>
      <c r="H138" s="6" t="s">
        <v>332</v>
      </c>
      <c r="I138" s="8">
        <v>-0.56000000000000005</v>
      </c>
      <c r="J138" s="6" t="s">
        <v>421</v>
      </c>
      <c r="K138" s="6" t="s">
        <v>8172</v>
      </c>
      <c r="L138" s="6">
        <f>150%</f>
        <v>1.5</v>
      </c>
      <c r="M138" s="6" t="s">
        <v>8173</v>
      </c>
      <c r="N138" s="6">
        <f>150%</f>
        <v>1.5</v>
      </c>
      <c r="O138" s="6" t="s">
        <v>8174</v>
      </c>
      <c r="P138" s="6" t="s">
        <v>7012</v>
      </c>
      <c r="Q138" s="6">
        <f>0.047</f>
        <v>4.7E-2</v>
      </c>
      <c r="R138" s="6" t="s">
        <v>8175</v>
      </c>
      <c r="S138" s="6">
        <v>57</v>
      </c>
      <c r="T138" s="6" t="s">
        <v>8176</v>
      </c>
      <c r="U138" s="6">
        <f>110%</f>
        <v>1.1000000000000001</v>
      </c>
      <c r="V138" s="5" t="s">
        <v>8177</v>
      </c>
      <c r="W138" s="5" t="s">
        <v>8178</v>
      </c>
      <c r="X138" s="5" t="s">
        <v>8179</v>
      </c>
      <c r="Y138" s="5" t="s">
        <v>8180</v>
      </c>
      <c r="Z138" s="5" t="s">
        <v>8181</v>
      </c>
      <c r="AA138" s="5" t="s">
        <v>8180</v>
      </c>
      <c r="AB138" s="5" t="s">
        <v>8182</v>
      </c>
      <c r="AC138" s="5" t="s">
        <v>8183</v>
      </c>
      <c r="AD138" s="9" t="s">
        <v>8184</v>
      </c>
    </row>
    <row r="139" spans="1:30" ht="15.6" x14ac:dyDescent="0.3">
      <c r="A139" s="4">
        <v>138</v>
      </c>
      <c r="B139" s="5" t="s">
        <v>8185</v>
      </c>
      <c r="C139" s="6" t="s">
        <v>370</v>
      </c>
      <c r="D139" s="5" t="s">
        <v>8186</v>
      </c>
      <c r="E139" s="5" t="s">
        <v>48</v>
      </c>
      <c r="F139" s="6" t="s">
        <v>8187</v>
      </c>
      <c r="G139" s="6" t="s">
        <v>8188</v>
      </c>
      <c r="H139" s="6" t="s">
        <v>332</v>
      </c>
      <c r="I139" s="6" t="s">
        <v>5134</v>
      </c>
      <c r="J139" s="6" t="s">
        <v>984</v>
      </c>
      <c r="K139" s="6" t="s">
        <v>8189</v>
      </c>
      <c r="L139" s="6" t="s">
        <v>4306</v>
      </c>
      <c r="M139" s="6" t="s">
        <v>8190</v>
      </c>
      <c r="N139" s="6" t="s">
        <v>4306</v>
      </c>
      <c r="O139" s="6" t="s">
        <v>8191</v>
      </c>
      <c r="P139" s="6" t="s">
        <v>8192</v>
      </c>
      <c r="Q139" s="6" t="s">
        <v>2391</v>
      </c>
      <c r="R139" s="6" t="s">
        <v>8193</v>
      </c>
      <c r="S139" s="6">
        <v>179</v>
      </c>
      <c r="T139" s="6" t="s">
        <v>8194</v>
      </c>
      <c r="U139" s="8">
        <v>-0.38</v>
      </c>
      <c r="V139" s="5" t="s">
        <v>8195</v>
      </c>
      <c r="W139" s="5" t="s">
        <v>8196</v>
      </c>
      <c r="X139" s="5" t="s">
        <v>8197</v>
      </c>
      <c r="Y139" s="5" t="s">
        <v>8198</v>
      </c>
      <c r="Z139" s="6"/>
      <c r="AA139" s="6"/>
      <c r="AB139" s="6"/>
      <c r="AC139" s="6"/>
      <c r="AD139" s="7"/>
    </row>
    <row r="140" spans="1:30" ht="15.6" x14ac:dyDescent="0.3">
      <c r="A140" s="4">
        <v>139</v>
      </c>
      <c r="B140" s="5" t="s">
        <v>8199</v>
      </c>
      <c r="C140" s="6" t="s">
        <v>291</v>
      </c>
      <c r="D140" s="5" t="s">
        <v>8200</v>
      </c>
      <c r="E140" s="5" t="s">
        <v>48</v>
      </c>
      <c r="F140" s="6" t="s">
        <v>8201</v>
      </c>
      <c r="G140" s="6" t="s">
        <v>8202</v>
      </c>
      <c r="H140" s="6" t="s">
        <v>332</v>
      </c>
      <c r="I140" s="6" t="s">
        <v>573</v>
      </c>
      <c r="J140" s="6" t="s">
        <v>2492</v>
      </c>
      <c r="K140" s="6" t="s">
        <v>8203</v>
      </c>
      <c r="L140" s="6">
        <f>390%</f>
        <v>3.9</v>
      </c>
      <c r="M140" s="6" t="s">
        <v>8204</v>
      </c>
      <c r="N140" s="6">
        <f>390%</f>
        <v>3.9</v>
      </c>
      <c r="O140" s="6" t="s">
        <v>8205</v>
      </c>
      <c r="P140" s="6" t="s">
        <v>8206</v>
      </c>
      <c r="Q140" s="6">
        <f>0.048</f>
        <v>4.8000000000000001E-2</v>
      </c>
      <c r="R140" s="6" t="s">
        <v>8207</v>
      </c>
      <c r="S140" s="6">
        <v>133</v>
      </c>
      <c r="T140" s="6">
        <v>853</v>
      </c>
      <c r="U140" s="8">
        <v>-0.56000000000000005</v>
      </c>
      <c r="V140" s="5" t="s">
        <v>8208</v>
      </c>
      <c r="W140" s="5" t="s">
        <v>8209</v>
      </c>
      <c r="X140" s="5" t="s">
        <v>8210</v>
      </c>
      <c r="Y140" s="5" t="s">
        <v>8211</v>
      </c>
      <c r="Z140" s="5" t="s">
        <v>8212</v>
      </c>
      <c r="AA140" s="5" t="s">
        <v>8213</v>
      </c>
      <c r="AB140" s="6"/>
      <c r="AC140" s="6"/>
      <c r="AD140" s="7"/>
    </row>
    <row r="141" spans="1:30" ht="15.6" x14ac:dyDescent="0.3">
      <c r="A141" s="4">
        <v>140</v>
      </c>
      <c r="B141" s="5" t="s">
        <v>8214</v>
      </c>
      <c r="C141" s="6" t="s">
        <v>1244</v>
      </c>
      <c r="D141" s="5" t="s">
        <v>8215</v>
      </c>
      <c r="E141" s="5" t="s">
        <v>48</v>
      </c>
      <c r="F141" s="6" t="s">
        <v>8216</v>
      </c>
      <c r="G141" s="6" t="s">
        <v>8217</v>
      </c>
      <c r="H141" s="6" t="s">
        <v>332</v>
      </c>
      <c r="I141" s="8">
        <v>-0.09</v>
      </c>
      <c r="J141" s="6" t="s">
        <v>199</v>
      </c>
      <c r="K141" s="6" t="s">
        <v>8218</v>
      </c>
      <c r="L141" s="6">
        <f>130%</f>
        <v>1.3</v>
      </c>
      <c r="M141" s="6" t="s">
        <v>8219</v>
      </c>
      <c r="N141" s="6">
        <f>130%</f>
        <v>1.3</v>
      </c>
      <c r="O141" s="6" t="s">
        <v>8220</v>
      </c>
      <c r="P141" s="6" t="s">
        <v>8221</v>
      </c>
      <c r="Q141" s="6">
        <f>0.037</f>
        <v>3.6999999999999998E-2</v>
      </c>
      <c r="R141" s="6" t="s">
        <v>8222</v>
      </c>
      <c r="S141" s="6">
        <v>262</v>
      </c>
      <c r="T141" s="6" t="s">
        <v>8223</v>
      </c>
      <c r="U141" s="6">
        <f>150%</f>
        <v>1.5</v>
      </c>
      <c r="V141" s="6"/>
      <c r="W141" s="6"/>
      <c r="X141" s="6"/>
      <c r="Y141" s="6"/>
      <c r="Z141" s="6"/>
      <c r="AA141" s="6"/>
      <c r="AB141" s="6"/>
      <c r="AC141" s="6"/>
      <c r="AD141" s="7"/>
    </row>
    <row r="142" spans="1:30" ht="15.6" x14ac:dyDescent="0.3">
      <c r="A142" s="4">
        <v>141</v>
      </c>
      <c r="B142" s="5" t="s">
        <v>8224</v>
      </c>
      <c r="C142" s="6" t="s">
        <v>291</v>
      </c>
      <c r="D142" s="5" t="s">
        <v>8225</v>
      </c>
      <c r="E142" s="5" t="s">
        <v>48</v>
      </c>
      <c r="F142" s="6" t="s">
        <v>7649</v>
      </c>
      <c r="G142" s="6" t="s">
        <v>8226</v>
      </c>
      <c r="H142" s="6" t="s">
        <v>332</v>
      </c>
      <c r="I142" s="6" t="s">
        <v>210</v>
      </c>
      <c r="J142" s="6" t="s">
        <v>259</v>
      </c>
      <c r="K142" s="6" t="s">
        <v>3851</v>
      </c>
      <c r="L142" s="8">
        <v>-0.25</v>
      </c>
      <c r="M142" s="6" t="s">
        <v>8227</v>
      </c>
      <c r="N142" s="8">
        <v>-0.25</v>
      </c>
      <c r="O142" s="6" t="s">
        <v>8228</v>
      </c>
      <c r="P142" s="6" t="s">
        <v>8229</v>
      </c>
      <c r="Q142" s="8">
        <v>-0.72</v>
      </c>
      <c r="R142" s="6">
        <v>291</v>
      </c>
      <c r="S142" s="6">
        <v>5</v>
      </c>
      <c r="T142" s="6">
        <v>227</v>
      </c>
      <c r="U142" s="8">
        <v>-1</v>
      </c>
      <c r="V142" s="5" t="s">
        <v>7656</v>
      </c>
      <c r="W142" s="5" t="s">
        <v>7657</v>
      </c>
      <c r="X142" s="5" t="s">
        <v>7660</v>
      </c>
      <c r="Y142" s="5" t="s">
        <v>7661</v>
      </c>
      <c r="Z142" s="6"/>
      <c r="AA142" s="6"/>
      <c r="AB142" s="6"/>
      <c r="AC142" s="6"/>
      <c r="AD142" s="7"/>
    </row>
    <row r="143" spans="1:30" ht="15.6" x14ac:dyDescent="0.3">
      <c r="A143" s="4">
        <v>142</v>
      </c>
      <c r="B143" s="5" t="s">
        <v>8230</v>
      </c>
      <c r="C143" s="6" t="s">
        <v>102</v>
      </c>
      <c r="D143" s="5" t="s">
        <v>8231</v>
      </c>
      <c r="E143" s="5" t="s">
        <v>33</v>
      </c>
      <c r="F143" s="6" t="s">
        <v>8232</v>
      </c>
      <c r="G143" s="6" t="s">
        <v>8233</v>
      </c>
      <c r="H143" s="6" t="s">
        <v>332</v>
      </c>
      <c r="I143" s="6" t="s">
        <v>8234</v>
      </c>
      <c r="J143" s="6" t="s">
        <v>272</v>
      </c>
      <c r="K143" s="6" t="s">
        <v>8235</v>
      </c>
      <c r="L143" s="8">
        <v>-0.1</v>
      </c>
      <c r="M143" s="6" t="s">
        <v>8236</v>
      </c>
      <c r="N143" s="8">
        <v>-0.1</v>
      </c>
      <c r="O143" s="6" t="s">
        <v>8237</v>
      </c>
      <c r="P143" s="10">
        <v>45673</v>
      </c>
      <c r="Q143" s="6">
        <f>0.057%</f>
        <v>5.6999999999999998E-4</v>
      </c>
      <c r="R143" s="6">
        <v>732</v>
      </c>
      <c r="S143" s="6">
        <v>28</v>
      </c>
      <c r="T143" s="6" t="s">
        <v>8238</v>
      </c>
      <c r="U143" s="6" t="s">
        <v>217</v>
      </c>
      <c r="V143" s="5" t="s">
        <v>8239</v>
      </c>
      <c r="W143" s="5" t="s">
        <v>8240</v>
      </c>
      <c r="X143" s="6"/>
      <c r="Y143" s="6"/>
      <c r="Z143" s="6"/>
      <c r="AA143" s="6"/>
      <c r="AB143" s="6"/>
      <c r="AC143" s="6"/>
      <c r="AD143" s="7"/>
    </row>
    <row r="144" spans="1:30" ht="15.6" x14ac:dyDescent="0.3">
      <c r="A144" s="4">
        <v>143</v>
      </c>
      <c r="B144" s="5" t="s">
        <v>8241</v>
      </c>
      <c r="C144" s="6" t="s">
        <v>126</v>
      </c>
      <c r="D144" s="5" t="s">
        <v>8242</v>
      </c>
      <c r="E144" s="5" t="s">
        <v>33</v>
      </c>
      <c r="F144" s="6" t="s">
        <v>3973</v>
      </c>
      <c r="G144" s="6" t="s">
        <v>8243</v>
      </c>
      <c r="H144" s="6" t="s">
        <v>332</v>
      </c>
      <c r="I144" s="6" t="s">
        <v>8244</v>
      </c>
      <c r="J144" s="6" t="s">
        <v>1354</v>
      </c>
      <c r="K144" s="6" t="s">
        <v>8245</v>
      </c>
      <c r="L144" s="8">
        <v>-0.16</v>
      </c>
      <c r="M144" s="6" t="s">
        <v>8246</v>
      </c>
      <c r="N144" s="8">
        <v>-0.88</v>
      </c>
      <c r="O144" s="6" t="s">
        <v>7153</v>
      </c>
      <c r="P144" s="6" t="s">
        <v>8247</v>
      </c>
      <c r="Q144" s="6">
        <f>64%</f>
        <v>0.64</v>
      </c>
      <c r="R144" s="6" t="s">
        <v>8248</v>
      </c>
      <c r="S144" s="6">
        <v>922</v>
      </c>
      <c r="T144" s="6" t="s">
        <v>8249</v>
      </c>
      <c r="U144" s="6">
        <f>0.071%</f>
        <v>7.0999999999999991E-4</v>
      </c>
      <c r="V144" s="5" t="s">
        <v>8250</v>
      </c>
      <c r="W144" s="5" t="s">
        <v>8251</v>
      </c>
      <c r="X144" s="6"/>
      <c r="Y144" s="6"/>
      <c r="Z144" s="6"/>
      <c r="AA144" s="6"/>
      <c r="AB144" s="6"/>
      <c r="AC144" s="6"/>
      <c r="AD144" s="7"/>
    </row>
    <row r="145" spans="1:30" ht="15.6" x14ac:dyDescent="0.3">
      <c r="A145" s="4">
        <v>144</v>
      </c>
      <c r="B145" s="5" t="s">
        <v>8252</v>
      </c>
      <c r="C145" s="6" t="s">
        <v>85</v>
      </c>
      <c r="D145" s="5" t="s">
        <v>8253</v>
      </c>
      <c r="E145" s="5" t="s">
        <v>48</v>
      </c>
      <c r="F145" s="6" t="s">
        <v>1697</v>
      </c>
      <c r="G145" s="6" t="s">
        <v>8254</v>
      </c>
      <c r="H145" s="6" t="s">
        <v>332</v>
      </c>
      <c r="I145" s="6" t="s">
        <v>8255</v>
      </c>
      <c r="J145" s="6" t="s">
        <v>550</v>
      </c>
      <c r="K145" s="6" t="s">
        <v>8256</v>
      </c>
      <c r="L145" s="6" t="s">
        <v>217</v>
      </c>
      <c r="M145" s="6" t="s">
        <v>8257</v>
      </c>
      <c r="N145" s="8">
        <v>-0.09</v>
      </c>
      <c r="O145" s="6" t="s">
        <v>3495</v>
      </c>
      <c r="P145" s="6" t="s">
        <v>8258</v>
      </c>
      <c r="Q145" s="6">
        <f>0.41%</f>
        <v>4.0999999999999995E-3</v>
      </c>
      <c r="R145" s="6">
        <v>654</v>
      </c>
      <c r="S145" s="6">
        <v>2</v>
      </c>
      <c r="T145" s="6" t="s">
        <v>3011</v>
      </c>
      <c r="U145" s="6" t="s">
        <v>217</v>
      </c>
      <c r="V145" s="5" t="s">
        <v>8259</v>
      </c>
      <c r="W145" s="5" t="s">
        <v>8260</v>
      </c>
      <c r="X145" s="5" t="s">
        <v>7100</v>
      </c>
      <c r="Y145" s="5" t="s">
        <v>7101</v>
      </c>
      <c r="Z145" s="5" t="s">
        <v>8261</v>
      </c>
      <c r="AA145" s="5" t="s">
        <v>8262</v>
      </c>
      <c r="AB145" s="5" t="s">
        <v>8263</v>
      </c>
      <c r="AC145" s="5" t="s">
        <v>8264</v>
      </c>
      <c r="AD145" s="9" t="s">
        <v>8265</v>
      </c>
    </row>
    <row r="146" spans="1:30" ht="15.6" x14ac:dyDescent="0.3">
      <c r="A146" s="4">
        <v>145</v>
      </c>
      <c r="B146" s="5" t="s">
        <v>8266</v>
      </c>
      <c r="C146" s="6" t="s">
        <v>370</v>
      </c>
      <c r="D146" s="5" t="s">
        <v>8267</v>
      </c>
      <c r="E146" s="5" t="s">
        <v>162</v>
      </c>
      <c r="F146" s="6" t="s">
        <v>8268</v>
      </c>
      <c r="G146" s="6" t="s">
        <v>8269</v>
      </c>
      <c r="H146" s="6" t="s">
        <v>332</v>
      </c>
      <c r="I146" s="8">
        <v>-0.92</v>
      </c>
      <c r="J146" s="6" t="s">
        <v>1912</v>
      </c>
      <c r="K146" s="6" t="s">
        <v>7184</v>
      </c>
      <c r="L146" s="8">
        <v>-0.06</v>
      </c>
      <c r="M146" s="6" t="s">
        <v>8270</v>
      </c>
      <c r="N146" s="8">
        <v>-0.06</v>
      </c>
      <c r="O146" s="6" t="s">
        <v>8271</v>
      </c>
      <c r="P146" s="6" t="s">
        <v>2066</v>
      </c>
      <c r="Q146" s="6">
        <f>0.028</f>
        <v>2.8000000000000001E-2</v>
      </c>
      <c r="R146" s="6" t="s">
        <v>8272</v>
      </c>
      <c r="S146" s="6">
        <v>89</v>
      </c>
      <c r="T146" s="6" t="s">
        <v>8273</v>
      </c>
      <c r="U146" s="6" t="s">
        <v>217</v>
      </c>
      <c r="V146" s="5" t="s">
        <v>8274</v>
      </c>
      <c r="W146" s="5" t="s">
        <v>8275</v>
      </c>
      <c r="X146" s="6"/>
      <c r="Y146" s="6"/>
      <c r="Z146" s="6"/>
      <c r="AA146" s="6"/>
      <c r="AB146" s="6"/>
      <c r="AC146" s="6"/>
      <c r="AD146" s="7"/>
    </row>
    <row r="147" spans="1:30" ht="15.6" x14ac:dyDescent="0.3">
      <c r="A147" s="4">
        <v>146</v>
      </c>
      <c r="B147" s="5" t="s">
        <v>8276</v>
      </c>
      <c r="C147" s="6" t="s">
        <v>370</v>
      </c>
      <c r="D147" s="5" t="s">
        <v>8277</v>
      </c>
      <c r="E147" s="5" t="s">
        <v>48</v>
      </c>
      <c r="F147" s="6" t="s">
        <v>8278</v>
      </c>
      <c r="G147" s="6" t="s">
        <v>8279</v>
      </c>
      <c r="H147" s="6" t="s">
        <v>2009</v>
      </c>
      <c r="I147" s="6" t="s">
        <v>453</v>
      </c>
      <c r="J147" s="6" t="s">
        <v>1432</v>
      </c>
      <c r="K147" s="6" t="s">
        <v>297</v>
      </c>
      <c r="L147" s="6">
        <f>25%</f>
        <v>0.25</v>
      </c>
      <c r="M147" s="6" t="s">
        <v>8280</v>
      </c>
      <c r="N147" s="6">
        <f>25%</f>
        <v>0.25</v>
      </c>
      <c r="O147" s="6" t="s">
        <v>8281</v>
      </c>
      <c r="P147" s="6" t="s">
        <v>8282</v>
      </c>
      <c r="Q147" s="6">
        <f>4.4%</f>
        <v>4.4000000000000004E-2</v>
      </c>
      <c r="R147" s="6" t="s">
        <v>8283</v>
      </c>
      <c r="S147" s="6">
        <v>199</v>
      </c>
      <c r="T147" s="6" t="s">
        <v>8284</v>
      </c>
      <c r="U147" s="8">
        <v>-0.31</v>
      </c>
      <c r="V147" s="5" t="s">
        <v>8285</v>
      </c>
      <c r="W147" s="5" t="s">
        <v>6124</v>
      </c>
      <c r="X147" s="5" t="s">
        <v>8286</v>
      </c>
      <c r="Y147" s="5" t="s">
        <v>8287</v>
      </c>
      <c r="Z147" s="6"/>
      <c r="AA147" s="6"/>
      <c r="AB147" s="6"/>
      <c r="AC147" s="6"/>
      <c r="AD147" s="7"/>
    </row>
    <row r="148" spans="1:30" ht="15.6" x14ac:dyDescent="0.3">
      <c r="A148" s="4">
        <v>147</v>
      </c>
      <c r="B148" s="5" t="s">
        <v>8288</v>
      </c>
      <c r="C148" s="6" t="s">
        <v>126</v>
      </c>
      <c r="D148" s="5" t="s">
        <v>8289</v>
      </c>
      <c r="E148" s="5" t="s">
        <v>48</v>
      </c>
      <c r="F148" s="6" t="s">
        <v>8290</v>
      </c>
      <c r="G148" s="6" t="s">
        <v>8291</v>
      </c>
      <c r="H148" s="6" t="s">
        <v>2009</v>
      </c>
      <c r="I148" s="6" t="s">
        <v>1490</v>
      </c>
      <c r="J148" s="8">
        <v>0</v>
      </c>
      <c r="K148" s="6" t="s">
        <v>8292</v>
      </c>
      <c r="L148" s="8">
        <v>-0.27</v>
      </c>
      <c r="M148" s="6" t="s">
        <v>8293</v>
      </c>
      <c r="N148" s="8">
        <v>-0.27</v>
      </c>
      <c r="O148" s="6" t="s">
        <v>8294</v>
      </c>
      <c r="P148" s="6" t="s">
        <v>8295</v>
      </c>
      <c r="Q148" s="8">
        <v>-0.34</v>
      </c>
      <c r="R148" s="6" t="s">
        <v>8296</v>
      </c>
      <c r="S148" s="6">
        <v>8</v>
      </c>
      <c r="T148" s="6" t="s">
        <v>3398</v>
      </c>
      <c r="U148" s="8">
        <v>-0.42</v>
      </c>
      <c r="V148" s="5" t="s">
        <v>8297</v>
      </c>
      <c r="W148" s="5" t="s">
        <v>8298</v>
      </c>
      <c r="X148" s="5" t="s">
        <v>8299</v>
      </c>
      <c r="Y148" s="5" t="s">
        <v>8300</v>
      </c>
      <c r="Z148" s="5" t="s">
        <v>8301</v>
      </c>
      <c r="AA148" s="5" t="s">
        <v>7875</v>
      </c>
      <c r="AB148" s="5" t="s">
        <v>8302</v>
      </c>
      <c r="AC148" s="5" t="s">
        <v>8303</v>
      </c>
      <c r="AD148" s="9" t="s">
        <v>8304</v>
      </c>
    </row>
    <row r="149" spans="1:30" ht="15.6" x14ac:dyDescent="0.3">
      <c r="A149" s="4">
        <v>148</v>
      </c>
      <c r="B149" s="5" t="s">
        <v>8305</v>
      </c>
      <c r="C149" s="6" t="s">
        <v>46</v>
      </c>
      <c r="D149" s="5" t="s">
        <v>8306</v>
      </c>
      <c r="E149" s="5" t="s">
        <v>48</v>
      </c>
      <c r="F149" s="6" t="s">
        <v>8307</v>
      </c>
      <c r="G149" s="6" t="s">
        <v>8308</v>
      </c>
      <c r="H149" s="6" t="s">
        <v>2009</v>
      </c>
      <c r="I149" s="6" t="s">
        <v>505</v>
      </c>
      <c r="J149" s="6" t="s">
        <v>36</v>
      </c>
      <c r="K149" s="6" t="s">
        <v>8309</v>
      </c>
      <c r="L149" s="8">
        <v>-0.14000000000000001</v>
      </c>
      <c r="M149" s="6" t="s">
        <v>8310</v>
      </c>
      <c r="N149" s="8">
        <v>-0.15</v>
      </c>
      <c r="O149" s="6" t="s">
        <v>8311</v>
      </c>
      <c r="P149" s="6" t="s">
        <v>8312</v>
      </c>
      <c r="Q149" s="6">
        <f>0.019</f>
        <v>1.9E-2</v>
      </c>
      <c r="R149" s="6" t="s">
        <v>8313</v>
      </c>
      <c r="S149" s="6">
        <v>11</v>
      </c>
      <c r="T149" s="6" t="s">
        <v>2986</v>
      </c>
      <c r="U149" s="6">
        <f>940%</f>
        <v>9.4</v>
      </c>
      <c r="V149" s="6"/>
      <c r="W149" s="6"/>
      <c r="X149" s="6"/>
      <c r="Y149" s="6"/>
      <c r="Z149" s="6"/>
      <c r="AA149" s="6"/>
      <c r="AB149" s="6"/>
      <c r="AC149" s="6"/>
      <c r="AD149" s="7"/>
    </row>
    <row r="150" spans="1:30" ht="15.6" x14ac:dyDescent="0.3">
      <c r="A150" s="4">
        <v>149</v>
      </c>
      <c r="B150" s="5" t="s">
        <v>8314</v>
      </c>
      <c r="C150" s="6" t="s">
        <v>267</v>
      </c>
      <c r="D150" s="5" t="s">
        <v>8315</v>
      </c>
      <c r="E150" s="5" t="s">
        <v>48</v>
      </c>
      <c r="F150" s="6" t="s">
        <v>8316</v>
      </c>
      <c r="G150" s="6" t="s">
        <v>8317</v>
      </c>
      <c r="H150" s="6" t="s">
        <v>2009</v>
      </c>
      <c r="I150" s="8">
        <v>-0.96</v>
      </c>
      <c r="J150" s="6" t="s">
        <v>1048</v>
      </c>
      <c r="K150" s="6" t="s">
        <v>4025</v>
      </c>
      <c r="L150" s="8">
        <v>-0.86</v>
      </c>
      <c r="M150" s="6" t="s">
        <v>8318</v>
      </c>
      <c r="N150" s="8">
        <v>-0.86</v>
      </c>
      <c r="O150" s="6" t="s">
        <v>8319</v>
      </c>
      <c r="P150" s="6" t="s">
        <v>8320</v>
      </c>
      <c r="Q150" s="6">
        <f>0.023</f>
        <v>2.3E-2</v>
      </c>
      <c r="R150" s="6" t="s">
        <v>8321</v>
      </c>
      <c r="S150" s="6">
        <v>51</v>
      </c>
      <c r="T150" s="6" t="s">
        <v>8322</v>
      </c>
      <c r="U150" s="6" t="s">
        <v>9262</v>
      </c>
      <c r="V150" s="5" t="s">
        <v>8323</v>
      </c>
      <c r="W150" s="5" t="s">
        <v>8324</v>
      </c>
      <c r="X150" s="5" t="s">
        <v>8325</v>
      </c>
      <c r="Y150" s="5" t="s">
        <v>8326</v>
      </c>
      <c r="Z150" s="6"/>
      <c r="AA150" s="6"/>
      <c r="AB150" s="6"/>
      <c r="AC150" s="6"/>
      <c r="AD150" s="7"/>
    </row>
    <row r="151" spans="1:30" ht="15.6" x14ac:dyDescent="0.3">
      <c r="A151" s="4">
        <v>150</v>
      </c>
      <c r="B151" s="5" t="s">
        <v>8327</v>
      </c>
      <c r="C151" s="6" t="s">
        <v>185</v>
      </c>
      <c r="D151" s="5" t="s">
        <v>8328</v>
      </c>
      <c r="E151" s="5" t="s">
        <v>48</v>
      </c>
      <c r="F151" s="6" t="s">
        <v>8307</v>
      </c>
      <c r="G151" s="6" t="s">
        <v>8329</v>
      </c>
      <c r="H151" s="6" t="s">
        <v>2009</v>
      </c>
      <c r="I151" s="8">
        <v>-1</v>
      </c>
      <c r="J151" s="6" t="s">
        <v>698</v>
      </c>
      <c r="K151" s="6" t="s">
        <v>8330</v>
      </c>
      <c r="L151" s="8">
        <v>-0.99</v>
      </c>
      <c r="M151" s="6" t="s">
        <v>8331</v>
      </c>
      <c r="N151" s="8">
        <v>-0.99</v>
      </c>
      <c r="O151" s="6" t="s">
        <v>4382</v>
      </c>
      <c r="P151" s="6" t="s">
        <v>8332</v>
      </c>
      <c r="Q151" s="6">
        <f>0.019</f>
        <v>1.9E-2</v>
      </c>
      <c r="R151" s="6">
        <v>484</v>
      </c>
      <c r="S151" s="6">
        <v>0</v>
      </c>
      <c r="T151" s="6">
        <v>326</v>
      </c>
      <c r="U151" s="6" t="s">
        <v>9262</v>
      </c>
      <c r="V151" s="6"/>
      <c r="W151" s="6"/>
      <c r="X151" s="6"/>
      <c r="Y151" s="6"/>
      <c r="Z151" s="6"/>
      <c r="AA151" s="6"/>
      <c r="AB151" s="6"/>
      <c r="AC151" s="6"/>
      <c r="AD151" s="7"/>
    </row>
    <row r="152" spans="1:30" ht="15.6" x14ac:dyDescent="0.3">
      <c r="A152" s="4">
        <v>151</v>
      </c>
      <c r="B152" s="5" t="s">
        <v>8333</v>
      </c>
      <c r="C152" s="6" t="s">
        <v>304</v>
      </c>
      <c r="D152" s="5" t="s">
        <v>407</v>
      </c>
      <c r="E152" s="5" t="s">
        <v>48</v>
      </c>
      <c r="F152" s="6" t="s">
        <v>8334</v>
      </c>
      <c r="G152" s="6" t="s">
        <v>8335</v>
      </c>
      <c r="H152" s="6" t="s">
        <v>2009</v>
      </c>
      <c r="I152" s="6" t="s">
        <v>1112</v>
      </c>
      <c r="J152" s="6" t="s">
        <v>1365</v>
      </c>
      <c r="K152" s="6" t="s">
        <v>2677</v>
      </c>
      <c r="L152" s="6">
        <f>170%</f>
        <v>1.7</v>
      </c>
      <c r="M152" s="6" t="s">
        <v>8336</v>
      </c>
      <c r="N152" s="6">
        <f>170%</f>
        <v>1.7</v>
      </c>
      <c r="O152" s="6" t="s">
        <v>8337</v>
      </c>
      <c r="P152" s="6" t="s">
        <v>8338</v>
      </c>
      <c r="Q152" s="6">
        <f>0.032</f>
        <v>3.2000000000000001E-2</v>
      </c>
      <c r="R152" s="6" t="s">
        <v>8339</v>
      </c>
      <c r="S152" s="6">
        <v>34</v>
      </c>
      <c r="T152" s="6" t="s">
        <v>8340</v>
      </c>
      <c r="U152" s="6">
        <f>27%</f>
        <v>0.27</v>
      </c>
      <c r="V152" s="5" t="s">
        <v>8341</v>
      </c>
      <c r="W152" s="5" t="s">
        <v>8342</v>
      </c>
      <c r="X152" s="6"/>
      <c r="Y152" s="6"/>
      <c r="Z152" s="6"/>
      <c r="AA152" s="6"/>
      <c r="AB152" s="6"/>
      <c r="AC152" s="6"/>
      <c r="AD152" s="7"/>
    </row>
    <row r="153" spans="1:30" ht="15.6" x14ac:dyDescent="0.3">
      <c r="A153" s="4">
        <v>152</v>
      </c>
      <c r="B153" s="5" t="s">
        <v>8343</v>
      </c>
      <c r="C153" s="6" t="s">
        <v>173</v>
      </c>
      <c r="D153" s="5" t="s">
        <v>8344</v>
      </c>
      <c r="E153" s="5" t="s">
        <v>48</v>
      </c>
      <c r="F153" s="6" t="s">
        <v>8345</v>
      </c>
      <c r="G153" s="6" t="s">
        <v>8346</v>
      </c>
      <c r="H153" s="6" t="s">
        <v>2009</v>
      </c>
      <c r="I153" s="6" t="s">
        <v>8347</v>
      </c>
      <c r="J153" s="6" t="s">
        <v>131</v>
      </c>
      <c r="K153" s="6" t="s">
        <v>285</v>
      </c>
      <c r="L153" s="6" t="s">
        <v>217</v>
      </c>
      <c r="M153" s="6" t="s">
        <v>8348</v>
      </c>
      <c r="N153" s="6">
        <f>0.0078%</f>
        <v>7.7999999999999999E-5</v>
      </c>
      <c r="O153" s="6" t="s">
        <v>8349</v>
      </c>
      <c r="P153" s="6" t="s">
        <v>8350</v>
      </c>
      <c r="Q153" s="6">
        <f>12%</f>
        <v>0.12</v>
      </c>
      <c r="R153" s="6" t="s">
        <v>8351</v>
      </c>
      <c r="S153" s="6">
        <v>87</v>
      </c>
      <c r="T153" s="6" t="s">
        <v>1615</v>
      </c>
      <c r="U153" s="8">
        <v>-0.37</v>
      </c>
      <c r="V153" s="5" t="s">
        <v>8352</v>
      </c>
      <c r="W153" s="5" t="s">
        <v>8353</v>
      </c>
      <c r="X153" s="5" t="s">
        <v>8354</v>
      </c>
      <c r="Y153" s="5" t="s">
        <v>8353</v>
      </c>
      <c r="Z153" s="5" t="s">
        <v>8355</v>
      </c>
      <c r="AA153" s="5" t="s">
        <v>8356</v>
      </c>
      <c r="AB153" s="5" t="s">
        <v>8357</v>
      </c>
      <c r="AC153" s="5" t="s">
        <v>8358</v>
      </c>
      <c r="AD153" s="9" t="s">
        <v>8359</v>
      </c>
    </row>
    <row r="154" spans="1:30" ht="15.6" x14ac:dyDescent="0.3">
      <c r="A154" s="4">
        <v>153</v>
      </c>
      <c r="B154" s="5" t="s">
        <v>8360</v>
      </c>
      <c r="C154" s="6" t="s">
        <v>267</v>
      </c>
      <c r="D154" s="5" t="s">
        <v>8361</v>
      </c>
      <c r="E154" s="5" t="s">
        <v>48</v>
      </c>
      <c r="F154" s="6" t="s">
        <v>8362</v>
      </c>
      <c r="G154" s="6" t="s">
        <v>8363</v>
      </c>
      <c r="H154" s="6" t="s">
        <v>2009</v>
      </c>
      <c r="I154" s="8">
        <v>-1</v>
      </c>
      <c r="J154" s="6" t="s">
        <v>667</v>
      </c>
      <c r="K154" s="6" t="s">
        <v>8364</v>
      </c>
      <c r="L154" s="6" t="s">
        <v>217</v>
      </c>
      <c r="M154" s="6" t="s">
        <v>8365</v>
      </c>
      <c r="N154" s="6">
        <f>0.016%</f>
        <v>1.6000000000000001E-4</v>
      </c>
      <c r="O154" s="6" t="s">
        <v>2321</v>
      </c>
      <c r="P154" s="6" t="s">
        <v>8366</v>
      </c>
      <c r="Q154" s="6">
        <f>0.04</f>
        <v>0.04</v>
      </c>
      <c r="R154" s="6">
        <v>869</v>
      </c>
      <c r="S154" s="6">
        <v>5</v>
      </c>
      <c r="T154" s="6">
        <v>306</v>
      </c>
      <c r="U154" s="6" t="s">
        <v>217</v>
      </c>
      <c r="V154" s="5" t="s">
        <v>8367</v>
      </c>
      <c r="W154" s="5" t="s">
        <v>8368</v>
      </c>
      <c r="X154" s="5" t="s">
        <v>8369</v>
      </c>
      <c r="Y154" s="5" t="s">
        <v>8370</v>
      </c>
      <c r="Z154" s="5" t="s">
        <v>8371</v>
      </c>
      <c r="AA154" s="5" t="s">
        <v>8372</v>
      </c>
      <c r="AB154" s="5" t="s">
        <v>8373</v>
      </c>
      <c r="AC154" s="5" t="s">
        <v>8374</v>
      </c>
      <c r="AD154" s="9" t="s">
        <v>8375</v>
      </c>
    </row>
    <row r="155" spans="1:30" ht="15.6" x14ac:dyDescent="0.3">
      <c r="A155" s="4">
        <v>154</v>
      </c>
      <c r="B155" s="5" t="s">
        <v>8376</v>
      </c>
      <c r="C155" s="6" t="s">
        <v>370</v>
      </c>
      <c r="D155" s="5" t="s">
        <v>8377</v>
      </c>
      <c r="E155" s="5" t="s">
        <v>48</v>
      </c>
      <c r="F155" s="6" t="s">
        <v>2472</v>
      </c>
      <c r="G155" s="6" t="s">
        <v>8378</v>
      </c>
      <c r="H155" s="6" t="s">
        <v>2009</v>
      </c>
      <c r="I155" s="6" t="s">
        <v>295</v>
      </c>
      <c r="J155" s="6" t="s">
        <v>973</v>
      </c>
      <c r="K155" s="6" t="s">
        <v>8379</v>
      </c>
      <c r="L155" s="8">
        <v>-0.14000000000000001</v>
      </c>
      <c r="M155" s="6" t="s">
        <v>4495</v>
      </c>
      <c r="N155" s="8">
        <v>-0.14000000000000001</v>
      </c>
      <c r="O155" s="6" t="s">
        <v>3999</v>
      </c>
      <c r="P155" s="6" t="s">
        <v>217</v>
      </c>
      <c r="Q155" s="6" t="s">
        <v>217</v>
      </c>
      <c r="R155" s="6">
        <v>468</v>
      </c>
      <c r="S155" s="6">
        <v>3</v>
      </c>
      <c r="T155" s="6">
        <v>333</v>
      </c>
      <c r="U155" s="6" t="s">
        <v>217</v>
      </c>
      <c r="V155" s="5" t="s">
        <v>8380</v>
      </c>
      <c r="W155" s="5" t="s">
        <v>8381</v>
      </c>
      <c r="X155" s="5" t="s">
        <v>8382</v>
      </c>
      <c r="Y155" s="5" t="s">
        <v>8383</v>
      </c>
      <c r="Z155" s="5" t="s">
        <v>8384</v>
      </c>
      <c r="AA155" s="5" t="s">
        <v>8385</v>
      </c>
      <c r="AB155" s="5" t="s">
        <v>8386</v>
      </c>
      <c r="AC155" s="5" t="s">
        <v>8387</v>
      </c>
      <c r="AD155" s="7"/>
    </row>
    <row r="156" spans="1:30" ht="15.6" x14ac:dyDescent="0.3">
      <c r="A156" s="4">
        <v>155</v>
      </c>
      <c r="B156" s="5" t="s">
        <v>8388</v>
      </c>
      <c r="C156" s="6" t="s">
        <v>304</v>
      </c>
      <c r="D156" s="5" t="s">
        <v>8389</v>
      </c>
      <c r="E156" s="5" t="s">
        <v>48</v>
      </c>
      <c r="F156" s="6" t="s">
        <v>8390</v>
      </c>
      <c r="G156" s="6" t="s">
        <v>8391</v>
      </c>
      <c r="H156" s="6" t="s">
        <v>2009</v>
      </c>
      <c r="I156" s="8">
        <v>-0.99</v>
      </c>
      <c r="J156" s="6" t="s">
        <v>421</v>
      </c>
      <c r="K156" s="6" t="s">
        <v>8392</v>
      </c>
      <c r="L156" s="8">
        <v>-0.43</v>
      </c>
      <c r="M156" s="6" t="s">
        <v>8393</v>
      </c>
      <c r="N156" s="8">
        <v>-0.43</v>
      </c>
      <c r="O156" s="6" t="s">
        <v>8394</v>
      </c>
      <c r="P156" s="6" t="s">
        <v>8395</v>
      </c>
      <c r="Q156" s="6">
        <f>0.027</f>
        <v>2.7E-2</v>
      </c>
      <c r="R156" s="6">
        <v>154</v>
      </c>
      <c r="S156" s="6">
        <v>2</v>
      </c>
      <c r="T156" s="6" t="s">
        <v>8396</v>
      </c>
      <c r="U156" s="8">
        <v>-0.85</v>
      </c>
      <c r="V156" s="5" t="s">
        <v>8397</v>
      </c>
      <c r="W156" s="5" t="s">
        <v>8398</v>
      </c>
      <c r="X156" s="6"/>
      <c r="Y156" s="6"/>
      <c r="Z156" s="6"/>
      <c r="AA156" s="6"/>
      <c r="AB156" s="6"/>
      <c r="AC156" s="6"/>
      <c r="AD156" s="7"/>
    </row>
    <row r="157" spans="1:30" ht="15.6" x14ac:dyDescent="0.3">
      <c r="A157" s="4">
        <v>156</v>
      </c>
      <c r="B157" s="5" t="s">
        <v>8399</v>
      </c>
      <c r="C157" s="6" t="s">
        <v>60</v>
      </c>
      <c r="D157" s="5" t="s">
        <v>8400</v>
      </c>
      <c r="E157" s="5" t="s">
        <v>33</v>
      </c>
      <c r="F157" s="6" t="s">
        <v>8401</v>
      </c>
      <c r="G157" s="6" t="s">
        <v>8402</v>
      </c>
      <c r="H157" s="6" t="s">
        <v>2009</v>
      </c>
      <c r="I157" s="6" t="s">
        <v>8403</v>
      </c>
      <c r="J157" s="6" t="s">
        <v>1491</v>
      </c>
      <c r="K157" s="6" t="s">
        <v>8404</v>
      </c>
      <c r="L157" s="6">
        <f>41%</f>
        <v>0.41</v>
      </c>
      <c r="M157" s="6" t="s">
        <v>8405</v>
      </c>
      <c r="N157" s="6">
        <f>41%</f>
        <v>0.41</v>
      </c>
      <c r="O157" s="6" t="s">
        <v>8406</v>
      </c>
      <c r="P157" s="6" t="s">
        <v>8407</v>
      </c>
      <c r="Q157" s="6">
        <f>15%</f>
        <v>0.15</v>
      </c>
      <c r="R157" s="6" t="s">
        <v>8408</v>
      </c>
      <c r="S157" s="6">
        <v>63</v>
      </c>
      <c r="T157" s="6" t="s">
        <v>8409</v>
      </c>
      <c r="U157" s="6">
        <f>0.31%</f>
        <v>3.0999999999999999E-3</v>
      </c>
      <c r="V157" s="6"/>
      <c r="W157" s="6"/>
      <c r="X157" s="6"/>
      <c r="Y157" s="6"/>
      <c r="Z157" s="6"/>
      <c r="AA157" s="6"/>
      <c r="AB157" s="6"/>
      <c r="AC157" s="6"/>
      <c r="AD157" s="7"/>
    </row>
    <row r="158" spans="1:30" ht="15.6" x14ac:dyDescent="0.3">
      <c r="A158" s="4">
        <v>157</v>
      </c>
      <c r="B158" s="5" t="s">
        <v>8410</v>
      </c>
      <c r="C158" s="6" t="s">
        <v>102</v>
      </c>
      <c r="D158" s="5" t="s">
        <v>8411</v>
      </c>
      <c r="E158" s="5" t="s">
        <v>48</v>
      </c>
      <c r="F158" s="6" t="s">
        <v>8412</v>
      </c>
      <c r="G158" s="6" t="s">
        <v>8413</v>
      </c>
      <c r="H158" s="6" t="s">
        <v>2009</v>
      </c>
      <c r="I158" s="8">
        <v>-0.26</v>
      </c>
      <c r="J158" s="6" t="s">
        <v>177</v>
      </c>
      <c r="K158" s="6" t="s">
        <v>8414</v>
      </c>
      <c r="L158" s="8">
        <v>-0.35</v>
      </c>
      <c r="M158" s="6" t="s">
        <v>8415</v>
      </c>
      <c r="N158" s="8">
        <v>-0.35</v>
      </c>
      <c r="O158" s="6" t="s">
        <v>2038</v>
      </c>
      <c r="P158" s="6" t="s">
        <v>8416</v>
      </c>
      <c r="Q158" s="6">
        <f>0.039</f>
        <v>3.9E-2</v>
      </c>
      <c r="R158" s="6">
        <v>220</v>
      </c>
      <c r="S158" s="6">
        <v>0</v>
      </c>
      <c r="T158" s="6">
        <v>629</v>
      </c>
      <c r="U158" s="6">
        <f>350%</f>
        <v>3.5</v>
      </c>
      <c r="V158" s="6"/>
      <c r="W158" s="6"/>
      <c r="X158" s="6"/>
      <c r="Y158" s="6"/>
      <c r="Z158" s="6"/>
      <c r="AA158" s="6"/>
      <c r="AB158" s="6"/>
      <c r="AC158" s="6"/>
      <c r="AD158" s="7"/>
    </row>
    <row r="159" spans="1:30" ht="15.6" x14ac:dyDescent="0.3">
      <c r="A159" s="4">
        <v>158</v>
      </c>
      <c r="B159" s="5" t="s">
        <v>8417</v>
      </c>
      <c r="C159" s="6" t="s">
        <v>114</v>
      </c>
      <c r="D159" s="5" t="s">
        <v>8418</v>
      </c>
      <c r="E159" s="5" t="s">
        <v>33</v>
      </c>
      <c r="F159" s="6" t="s">
        <v>8419</v>
      </c>
      <c r="G159" s="6" t="s">
        <v>8420</v>
      </c>
      <c r="H159" s="6" t="s">
        <v>2009</v>
      </c>
      <c r="I159" s="8">
        <v>-0.85</v>
      </c>
      <c r="J159" s="6" t="s">
        <v>540</v>
      </c>
      <c r="K159" s="6" t="s">
        <v>8421</v>
      </c>
      <c r="L159" s="6">
        <f>280%</f>
        <v>2.8</v>
      </c>
      <c r="M159" s="6" t="s">
        <v>8422</v>
      </c>
      <c r="N159" s="6">
        <f>280%</f>
        <v>2.8</v>
      </c>
      <c r="O159" s="6" t="s">
        <v>8423</v>
      </c>
      <c r="P159" s="6" t="s">
        <v>8424</v>
      </c>
      <c r="Q159" s="6">
        <f>0.03</f>
        <v>0.03</v>
      </c>
      <c r="R159" s="6" t="s">
        <v>8425</v>
      </c>
      <c r="S159" s="6">
        <v>92</v>
      </c>
      <c r="T159" s="6" t="s">
        <v>8426</v>
      </c>
      <c r="U159" s="6" t="s">
        <v>9262</v>
      </c>
      <c r="V159" s="5" t="s">
        <v>8427</v>
      </c>
      <c r="W159" s="5" t="s">
        <v>6759</v>
      </c>
      <c r="X159" s="5" t="s">
        <v>8428</v>
      </c>
      <c r="Y159" s="5" t="s">
        <v>8429</v>
      </c>
      <c r="Z159" s="6"/>
      <c r="AA159" s="6"/>
      <c r="AB159" s="6"/>
      <c r="AC159" s="6"/>
      <c r="AD159" s="7"/>
    </row>
    <row r="160" spans="1:30" ht="15.6" x14ac:dyDescent="0.3">
      <c r="A160" s="4">
        <v>159</v>
      </c>
      <c r="B160" s="5" t="s">
        <v>8430</v>
      </c>
      <c r="C160" s="6" t="s">
        <v>60</v>
      </c>
      <c r="D160" s="5" t="s">
        <v>8431</v>
      </c>
      <c r="E160" s="5" t="s">
        <v>33</v>
      </c>
      <c r="F160" s="6" t="s">
        <v>8432</v>
      </c>
      <c r="G160" s="6" t="s">
        <v>8433</v>
      </c>
      <c r="H160" s="6" t="s">
        <v>2009</v>
      </c>
      <c r="I160" s="6" t="s">
        <v>8434</v>
      </c>
      <c r="J160" s="6" t="s">
        <v>2776</v>
      </c>
      <c r="K160" s="6" t="s">
        <v>5492</v>
      </c>
      <c r="L160" s="8">
        <v>-0.19</v>
      </c>
      <c r="M160" s="6" t="s">
        <v>8435</v>
      </c>
      <c r="N160" s="8">
        <v>-0.19</v>
      </c>
      <c r="O160" s="6" t="s">
        <v>8436</v>
      </c>
      <c r="P160" s="6" t="s">
        <v>8437</v>
      </c>
      <c r="Q160" s="6">
        <f>35%</f>
        <v>0.35</v>
      </c>
      <c r="R160" s="6" t="s">
        <v>8438</v>
      </c>
      <c r="S160" s="6">
        <v>74</v>
      </c>
      <c r="T160" s="6" t="s">
        <v>8439</v>
      </c>
      <c r="U160" s="8">
        <v>-0.53</v>
      </c>
      <c r="V160" s="5" t="s">
        <v>8440</v>
      </c>
      <c r="W160" s="5" t="s">
        <v>8441</v>
      </c>
      <c r="X160" s="5" t="s">
        <v>8442</v>
      </c>
      <c r="Y160" s="5" t="s">
        <v>8443</v>
      </c>
      <c r="Z160" s="5" t="s">
        <v>8444</v>
      </c>
      <c r="AA160" s="5" t="s">
        <v>8445</v>
      </c>
      <c r="AB160" s="5" t="s">
        <v>8446</v>
      </c>
      <c r="AC160" s="5" t="s">
        <v>8447</v>
      </c>
      <c r="AD160" s="9" t="s">
        <v>8448</v>
      </c>
    </row>
    <row r="161" spans="1:30" ht="15.6" x14ac:dyDescent="0.3">
      <c r="A161" s="4">
        <v>160</v>
      </c>
      <c r="B161" s="5" t="s">
        <v>8449</v>
      </c>
      <c r="C161" s="6" t="s">
        <v>304</v>
      </c>
      <c r="D161" s="5" t="s">
        <v>8450</v>
      </c>
      <c r="E161" s="5" t="s">
        <v>48</v>
      </c>
      <c r="F161" s="6" t="s">
        <v>8451</v>
      </c>
      <c r="G161" s="6" t="s">
        <v>8452</v>
      </c>
      <c r="H161" s="6" t="s">
        <v>2009</v>
      </c>
      <c r="I161" s="8">
        <v>-0.55000000000000004</v>
      </c>
      <c r="J161" s="6" t="s">
        <v>296</v>
      </c>
      <c r="K161" s="6" t="s">
        <v>6872</v>
      </c>
      <c r="L161" s="6">
        <f>56%</f>
        <v>0.56000000000000005</v>
      </c>
      <c r="M161" s="6" t="s">
        <v>8453</v>
      </c>
      <c r="N161" s="6">
        <f>56%</f>
        <v>0.56000000000000005</v>
      </c>
      <c r="O161" s="6" t="s">
        <v>8454</v>
      </c>
      <c r="P161" s="6" t="s">
        <v>8455</v>
      </c>
      <c r="Q161" s="6">
        <f>0.033</f>
        <v>3.3000000000000002E-2</v>
      </c>
      <c r="R161" s="6" t="s">
        <v>8456</v>
      </c>
      <c r="S161" s="6">
        <v>127</v>
      </c>
      <c r="T161" s="6" t="s">
        <v>8457</v>
      </c>
      <c r="U161" s="6">
        <f>2.8%</f>
        <v>2.7999999999999997E-2</v>
      </c>
      <c r="V161" s="5" t="s">
        <v>8458</v>
      </c>
      <c r="W161" s="5" t="s">
        <v>8459</v>
      </c>
      <c r="X161" s="6"/>
      <c r="Y161" s="6"/>
      <c r="Z161" s="6"/>
      <c r="AA161" s="6"/>
      <c r="AB161" s="6"/>
      <c r="AC161" s="6"/>
      <c r="AD161" s="7"/>
    </row>
    <row r="162" spans="1:30" ht="15.6" x14ac:dyDescent="0.3">
      <c r="A162" s="4">
        <v>161</v>
      </c>
      <c r="B162" s="5" t="s">
        <v>8460</v>
      </c>
      <c r="C162" s="6" t="s">
        <v>31</v>
      </c>
      <c r="D162" s="5" t="s">
        <v>8461</v>
      </c>
      <c r="E162" s="5" t="s">
        <v>48</v>
      </c>
      <c r="F162" s="6" t="s">
        <v>8462</v>
      </c>
      <c r="G162" s="6" t="s">
        <v>8463</v>
      </c>
      <c r="H162" s="6" t="s">
        <v>2009</v>
      </c>
      <c r="I162" s="6" t="s">
        <v>89</v>
      </c>
      <c r="J162" s="6" t="s">
        <v>1110</v>
      </c>
      <c r="K162" s="6" t="s">
        <v>8083</v>
      </c>
      <c r="L162" s="6">
        <f>19%</f>
        <v>0.19</v>
      </c>
      <c r="M162" s="6" t="s">
        <v>8084</v>
      </c>
      <c r="N162" s="6">
        <f>19%</f>
        <v>0.19</v>
      </c>
      <c r="O162" s="6" t="s">
        <v>8464</v>
      </c>
      <c r="P162" s="6" t="s">
        <v>8465</v>
      </c>
      <c r="Q162" s="6">
        <f>0.6%</f>
        <v>6.0000000000000001E-3</v>
      </c>
      <c r="R162" s="6" t="s">
        <v>8466</v>
      </c>
      <c r="S162" s="6">
        <v>469</v>
      </c>
      <c r="T162" s="6" t="s">
        <v>8467</v>
      </c>
      <c r="U162" s="8">
        <v>-0.2</v>
      </c>
      <c r="V162" s="5" t="s">
        <v>8468</v>
      </c>
      <c r="W162" s="5" t="s">
        <v>8469</v>
      </c>
      <c r="X162" s="6"/>
      <c r="Y162" s="6"/>
      <c r="Z162" s="6"/>
      <c r="AA162" s="6"/>
      <c r="AB162" s="6"/>
      <c r="AC162" s="6"/>
      <c r="AD162" s="7"/>
    </row>
    <row r="163" spans="1:30" ht="15.6" x14ac:dyDescent="0.3">
      <c r="A163" s="4">
        <v>162</v>
      </c>
      <c r="B163" s="5" t="s">
        <v>8470</v>
      </c>
      <c r="C163" s="6" t="s">
        <v>114</v>
      </c>
      <c r="D163" s="5" t="s">
        <v>8471</v>
      </c>
      <c r="E163" s="5" t="s">
        <v>33</v>
      </c>
      <c r="F163" s="6" t="s">
        <v>8472</v>
      </c>
      <c r="G163" s="6" t="s">
        <v>8473</v>
      </c>
      <c r="H163" s="6" t="s">
        <v>2009</v>
      </c>
      <c r="I163" s="6" t="s">
        <v>2775</v>
      </c>
      <c r="J163" s="6" t="s">
        <v>1059</v>
      </c>
      <c r="K163" s="6" t="s">
        <v>8474</v>
      </c>
      <c r="L163" s="6">
        <f>52%</f>
        <v>0.52</v>
      </c>
      <c r="M163" s="6" t="s">
        <v>8475</v>
      </c>
      <c r="N163" s="6">
        <f>52%</f>
        <v>0.52</v>
      </c>
      <c r="O163" s="6" t="s">
        <v>8476</v>
      </c>
      <c r="P163" s="6" t="s">
        <v>8477</v>
      </c>
      <c r="Q163" s="8">
        <v>-0.26</v>
      </c>
      <c r="R163" s="6" t="s">
        <v>8478</v>
      </c>
      <c r="S163" s="6">
        <v>42</v>
      </c>
      <c r="T163" s="6" t="s">
        <v>8479</v>
      </c>
      <c r="U163" s="8">
        <v>-0.56000000000000005</v>
      </c>
      <c r="V163" s="5" t="s">
        <v>8480</v>
      </c>
      <c r="W163" s="5" t="s">
        <v>7144</v>
      </c>
      <c r="X163" s="6"/>
      <c r="Y163" s="6"/>
      <c r="Z163" s="6"/>
      <c r="AA163" s="6"/>
      <c r="AB163" s="6"/>
      <c r="AC163" s="6"/>
      <c r="AD163" s="7"/>
    </row>
    <row r="164" spans="1:30" ht="15.6" x14ac:dyDescent="0.3">
      <c r="A164" s="4">
        <v>163</v>
      </c>
      <c r="B164" s="5" t="s">
        <v>8481</v>
      </c>
      <c r="C164" s="6" t="s">
        <v>291</v>
      </c>
      <c r="D164" s="5" t="s">
        <v>8482</v>
      </c>
      <c r="E164" s="5" t="s">
        <v>48</v>
      </c>
      <c r="F164" s="6" t="s">
        <v>8483</v>
      </c>
      <c r="G164" s="6" t="s">
        <v>8484</v>
      </c>
      <c r="H164" s="6" t="s">
        <v>2009</v>
      </c>
      <c r="I164" s="8">
        <v>-1</v>
      </c>
      <c r="J164" s="6" t="s">
        <v>259</v>
      </c>
      <c r="K164" s="6" t="s">
        <v>8485</v>
      </c>
      <c r="L164" s="6">
        <f>35%</f>
        <v>0.35</v>
      </c>
      <c r="M164" s="6" t="s">
        <v>8486</v>
      </c>
      <c r="N164" s="6">
        <f>35%</f>
        <v>0.35</v>
      </c>
      <c r="O164" s="6" t="s">
        <v>8487</v>
      </c>
      <c r="P164" s="6" t="s">
        <v>8488</v>
      </c>
      <c r="Q164" s="6">
        <f>0.036</f>
        <v>3.5999999999999997E-2</v>
      </c>
      <c r="R164" s="6" t="s">
        <v>8489</v>
      </c>
      <c r="S164" s="6">
        <v>18</v>
      </c>
      <c r="T164" s="6" t="s">
        <v>1349</v>
      </c>
      <c r="U164" s="6" t="s">
        <v>9262</v>
      </c>
      <c r="V164" s="5" t="s">
        <v>8490</v>
      </c>
      <c r="W164" s="5" t="s">
        <v>7378</v>
      </c>
      <c r="X164" s="6"/>
      <c r="Y164" s="6"/>
      <c r="Z164" s="6"/>
      <c r="AA164" s="6"/>
      <c r="AB164" s="6"/>
      <c r="AC164" s="6"/>
      <c r="AD164" s="7"/>
    </row>
    <row r="165" spans="1:30" ht="15.6" x14ac:dyDescent="0.3">
      <c r="A165" s="4">
        <v>164</v>
      </c>
      <c r="B165" s="5" t="s">
        <v>8491</v>
      </c>
      <c r="C165" s="6" t="s">
        <v>1408</v>
      </c>
      <c r="D165" s="5" t="s">
        <v>8492</v>
      </c>
      <c r="E165" s="5" t="s">
        <v>48</v>
      </c>
      <c r="F165" s="6" t="s">
        <v>8493</v>
      </c>
      <c r="G165" s="6" t="s">
        <v>8494</v>
      </c>
      <c r="H165" s="6" t="s">
        <v>2009</v>
      </c>
      <c r="I165" s="8">
        <v>-0.42</v>
      </c>
      <c r="J165" s="6" t="s">
        <v>321</v>
      </c>
      <c r="K165" s="6" t="s">
        <v>8495</v>
      </c>
      <c r="L165" s="8">
        <v>-0.33</v>
      </c>
      <c r="M165" s="6" t="s">
        <v>8496</v>
      </c>
      <c r="N165" s="8">
        <v>-0.33</v>
      </c>
      <c r="O165" s="6" t="s">
        <v>8497</v>
      </c>
      <c r="P165" s="6" t="s">
        <v>8498</v>
      </c>
      <c r="Q165" s="6">
        <f>0.036</f>
        <v>3.5999999999999997E-2</v>
      </c>
      <c r="R165" s="6" t="s">
        <v>8499</v>
      </c>
      <c r="S165" s="6">
        <v>24</v>
      </c>
      <c r="T165" s="6" t="s">
        <v>735</v>
      </c>
      <c r="U165" s="6">
        <f>2.5%</f>
        <v>2.5000000000000001E-2</v>
      </c>
      <c r="V165" s="5" t="s">
        <v>8500</v>
      </c>
      <c r="W165" s="5" t="s">
        <v>8501</v>
      </c>
      <c r="X165" s="5" t="s">
        <v>8502</v>
      </c>
      <c r="Y165" s="5" t="s">
        <v>8503</v>
      </c>
      <c r="Z165" s="5" t="s">
        <v>8504</v>
      </c>
      <c r="AA165" s="5" t="s">
        <v>8503</v>
      </c>
      <c r="AB165" s="6"/>
      <c r="AC165" s="6"/>
      <c r="AD165" s="7"/>
    </row>
    <row r="166" spans="1:30" ht="15.6" x14ac:dyDescent="0.3">
      <c r="A166" s="4">
        <v>165</v>
      </c>
      <c r="B166" s="5" t="s">
        <v>8505</v>
      </c>
      <c r="C166" s="6" t="s">
        <v>173</v>
      </c>
      <c r="D166" s="5" t="s">
        <v>8506</v>
      </c>
      <c r="E166" s="5" t="s">
        <v>33</v>
      </c>
      <c r="F166" s="6" t="s">
        <v>8507</v>
      </c>
      <c r="G166" s="6" t="s">
        <v>8508</v>
      </c>
      <c r="H166" s="6" t="s">
        <v>2009</v>
      </c>
      <c r="I166" s="6" t="s">
        <v>130</v>
      </c>
      <c r="J166" s="6" t="s">
        <v>321</v>
      </c>
      <c r="K166" s="6" t="s">
        <v>8509</v>
      </c>
      <c r="L166" s="6" t="s">
        <v>3386</v>
      </c>
      <c r="M166" s="6" t="s">
        <v>8510</v>
      </c>
      <c r="N166" s="6" t="s">
        <v>3386</v>
      </c>
      <c r="O166" s="6" t="s">
        <v>8511</v>
      </c>
      <c r="P166" s="6" t="s">
        <v>8512</v>
      </c>
      <c r="Q166" s="6">
        <f>180%</f>
        <v>1.8</v>
      </c>
      <c r="R166" s="6" t="s">
        <v>8513</v>
      </c>
      <c r="S166" s="6">
        <v>123</v>
      </c>
      <c r="T166" s="6" t="s">
        <v>8514</v>
      </c>
      <c r="U166" s="6"/>
      <c r="V166" s="6"/>
      <c r="W166" s="6"/>
      <c r="X166" s="6"/>
      <c r="Y166" s="6"/>
      <c r="Z166" s="6"/>
      <c r="AA166" s="6"/>
      <c r="AB166" s="6"/>
      <c r="AC166" s="6"/>
      <c r="AD166" s="7"/>
    </row>
    <row r="167" spans="1:30" ht="15.6" x14ac:dyDescent="0.3">
      <c r="A167" s="4">
        <v>166</v>
      </c>
      <c r="B167" s="5" t="s">
        <v>8515</v>
      </c>
      <c r="C167" s="6" t="s">
        <v>1408</v>
      </c>
      <c r="D167" s="5" t="s">
        <v>8516</v>
      </c>
      <c r="E167" s="5" t="s">
        <v>48</v>
      </c>
      <c r="F167" s="6" t="s">
        <v>8517</v>
      </c>
      <c r="G167" s="6" t="s">
        <v>8518</v>
      </c>
      <c r="H167" s="6" t="s">
        <v>2009</v>
      </c>
      <c r="I167" s="8">
        <v>-0.94</v>
      </c>
      <c r="J167" s="6" t="s">
        <v>667</v>
      </c>
      <c r="K167" s="6" t="s">
        <v>8519</v>
      </c>
      <c r="L167" s="6" t="s">
        <v>217</v>
      </c>
      <c r="M167" s="6" t="s">
        <v>8520</v>
      </c>
      <c r="N167" s="6">
        <f>1.5%</f>
        <v>1.4999999999999999E-2</v>
      </c>
      <c r="O167" s="6" t="s">
        <v>3643</v>
      </c>
      <c r="P167" s="6" t="s">
        <v>8521</v>
      </c>
      <c r="Q167" s="6">
        <f>0.021</f>
        <v>2.1000000000000001E-2</v>
      </c>
      <c r="R167" s="6">
        <v>142</v>
      </c>
      <c r="S167" s="6">
        <v>13</v>
      </c>
      <c r="T167" s="6">
        <v>220</v>
      </c>
      <c r="U167" s="8">
        <v>-0.94</v>
      </c>
      <c r="V167" s="5" t="s">
        <v>8522</v>
      </c>
      <c r="W167" s="5" t="s">
        <v>8523</v>
      </c>
      <c r="X167" s="6"/>
      <c r="Y167" s="6"/>
      <c r="Z167" s="6"/>
      <c r="AA167" s="6"/>
      <c r="AB167" s="6"/>
      <c r="AC167" s="6"/>
      <c r="AD167" s="7"/>
    </row>
    <row r="168" spans="1:30" ht="15.6" x14ac:dyDescent="0.3">
      <c r="A168" s="4">
        <v>167</v>
      </c>
      <c r="B168" s="5" t="s">
        <v>8524</v>
      </c>
      <c r="C168" s="6" t="s">
        <v>291</v>
      </c>
      <c r="D168" s="5" t="s">
        <v>8525</v>
      </c>
      <c r="E168" s="5" t="s">
        <v>48</v>
      </c>
      <c r="F168" s="6" t="s">
        <v>8526</v>
      </c>
      <c r="G168" s="6" t="s">
        <v>8527</v>
      </c>
      <c r="H168" s="6" t="s">
        <v>2009</v>
      </c>
      <c r="I168" s="6" t="s">
        <v>6803</v>
      </c>
      <c r="J168" s="6" t="s">
        <v>177</v>
      </c>
      <c r="K168" s="6" t="s">
        <v>285</v>
      </c>
      <c r="L168" s="6">
        <f>17%</f>
        <v>0.17</v>
      </c>
      <c r="M168" s="6" t="s">
        <v>597</v>
      </c>
      <c r="N168" s="6">
        <f>17%</f>
        <v>0.17</v>
      </c>
      <c r="O168" s="6" t="s">
        <v>8528</v>
      </c>
      <c r="P168" s="6" t="s">
        <v>8529</v>
      </c>
      <c r="Q168" s="8">
        <v>-0.56000000000000005</v>
      </c>
      <c r="R168" s="6" t="s">
        <v>8530</v>
      </c>
      <c r="S168" s="6">
        <v>25</v>
      </c>
      <c r="T168" s="6" t="s">
        <v>4953</v>
      </c>
      <c r="U168" s="8">
        <v>-0.59</v>
      </c>
      <c r="V168" s="6"/>
      <c r="W168" s="6"/>
      <c r="X168" s="6"/>
      <c r="Y168" s="6"/>
      <c r="Z168" s="6"/>
      <c r="AA168" s="6"/>
      <c r="AB168" s="6"/>
      <c r="AC168" s="6"/>
      <c r="AD168" s="7"/>
    </row>
    <row r="169" spans="1:30" ht="15.6" x14ac:dyDescent="0.3">
      <c r="A169" s="4">
        <v>168</v>
      </c>
      <c r="B169" s="5" t="s">
        <v>8531</v>
      </c>
      <c r="C169" s="6" t="s">
        <v>148</v>
      </c>
      <c r="D169" s="5" t="s">
        <v>8532</v>
      </c>
      <c r="E169" s="5" t="s">
        <v>48</v>
      </c>
      <c r="F169" s="6" t="s">
        <v>8533</v>
      </c>
      <c r="G169" s="6" t="s">
        <v>8534</v>
      </c>
      <c r="H169" s="6" t="s">
        <v>2009</v>
      </c>
      <c r="I169" s="6" t="s">
        <v>8535</v>
      </c>
      <c r="J169" s="6" t="s">
        <v>177</v>
      </c>
      <c r="K169" s="6" t="s">
        <v>297</v>
      </c>
      <c r="L169" s="6">
        <f>120%</f>
        <v>1.2</v>
      </c>
      <c r="M169" s="6" t="s">
        <v>8536</v>
      </c>
      <c r="N169" s="6">
        <f>120%</f>
        <v>1.2</v>
      </c>
      <c r="O169" s="6" t="s">
        <v>8537</v>
      </c>
      <c r="P169" s="6" t="s">
        <v>8538</v>
      </c>
      <c r="Q169" s="6">
        <f>48%</f>
        <v>0.48</v>
      </c>
      <c r="R169" s="6" t="s">
        <v>8539</v>
      </c>
      <c r="S169" s="6">
        <v>144</v>
      </c>
      <c r="T169" s="6" t="s">
        <v>8540</v>
      </c>
      <c r="U169" s="6">
        <f>2.2%</f>
        <v>2.2000000000000002E-2</v>
      </c>
      <c r="V169" s="5" t="s">
        <v>8541</v>
      </c>
      <c r="W169" s="5" t="s">
        <v>8542</v>
      </c>
      <c r="X169" s="6"/>
      <c r="Y169" s="6"/>
      <c r="Z169" s="6"/>
      <c r="AA169" s="6"/>
      <c r="AB169" s="6"/>
      <c r="AC169" s="6"/>
      <c r="AD169" s="7"/>
    </row>
    <row r="170" spans="1:30" ht="15.6" x14ac:dyDescent="0.3">
      <c r="A170" s="4">
        <v>169</v>
      </c>
      <c r="B170" s="5" t="s">
        <v>8543</v>
      </c>
      <c r="C170" s="6" t="s">
        <v>304</v>
      </c>
      <c r="D170" s="5" t="s">
        <v>8544</v>
      </c>
      <c r="E170" s="6"/>
      <c r="F170" s="6" t="s">
        <v>8545</v>
      </c>
      <c r="G170" s="6" t="s">
        <v>8546</v>
      </c>
      <c r="H170" s="6" t="s">
        <v>719</v>
      </c>
      <c r="I170" s="6">
        <f>84%</f>
        <v>0.84</v>
      </c>
      <c r="J170" s="6" t="s">
        <v>687</v>
      </c>
      <c r="K170" s="6" t="s">
        <v>799</v>
      </c>
      <c r="L170" s="6" t="s">
        <v>217</v>
      </c>
      <c r="M170" s="6" t="s">
        <v>800</v>
      </c>
      <c r="N170" s="6" t="s">
        <v>217</v>
      </c>
      <c r="O170" s="6" t="s">
        <v>800</v>
      </c>
      <c r="P170" s="6" t="s">
        <v>217</v>
      </c>
      <c r="Q170" s="6">
        <f>0.019</f>
        <v>1.9E-2</v>
      </c>
      <c r="R170" s="6" t="s">
        <v>8547</v>
      </c>
      <c r="S170" s="6">
        <v>92</v>
      </c>
      <c r="T170" s="6" t="s">
        <v>217</v>
      </c>
      <c r="U170" s="6" t="s">
        <v>217</v>
      </c>
      <c r="V170" s="6"/>
      <c r="W170" s="6"/>
      <c r="X170" s="6"/>
      <c r="Y170" s="6"/>
      <c r="Z170" s="6"/>
      <c r="AA170" s="6"/>
      <c r="AB170" s="6"/>
      <c r="AC170" s="6"/>
      <c r="AD170" s="7"/>
    </row>
    <row r="171" spans="1:30" ht="15.6" x14ac:dyDescent="0.3">
      <c r="A171" s="4">
        <v>170</v>
      </c>
      <c r="B171" s="5" t="s">
        <v>8548</v>
      </c>
      <c r="C171" s="6" t="s">
        <v>114</v>
      </c>
      <c r="D171" s="5" t="s">
        <v>8549</v>
      </c>
      <c r="E171" s="5" t="s">
        <v>48</v>
      </c>
      <c r="F171" s="6" t="s">
        <v>8550</v>
      </c>
      <c r="G171" s="6" t="s">
        <v>8551</v>
      </c>
      <c r="H171" s="6" t="s">
        <v>719</v>
      </c>
      <c r="I171" s="8">
        <v>-0.46</v>
      </c>
      <c r="J171" s="6" t="s">
        <v>141</v>
      </c>
      <c r="K171" s="6" t="s">
        <v>91</v>
      </c>
      <c r="L171" s="6">
        <f>48%</f>
        <v>0.48</v>
      </c>
      <c r="M171" s="6" t="s">
        <v>8552</v>
      </c>
      <c r="N171" s="6">
        <f>48%</f>
        <v>0.48</v>
      </c>
      <c r="O171" s="6" t="s">
        <v>8553</v>
      </c>
      <c r="P171" s="6" t="s">
        <v>8554</v>
      </c>
      <c r="Q171" s="6">
        <f>0.025</f>
        <v>2.5000000000000001E-2</v>
      </c>
      <c r="R171" s="6" t="s">
        <v>8555</v>
      </c>
      <c r="S171" s="6">
        <v>101</v>
      </c>
      <c r="T171" s="6" t="s">
        <v>8556</v>
      </c>
      <c r="U171" s="6">
        <f>4.3%</f>
        <v>4.2999999999999997E-2</v>
      </c>
      <c r="V171" s="5" t="s">
        <v>8557</v>
      </c>
      <c r="W171" s="5" t="s">
        <v>8558</v>
      </c>
      <c r="X171" s="6"/>
      <c r="Y171" s="6"/>
      <c r="Z171" s="6"/>
      <c r="AA171" s="6"/>
      <c r="AB171" s="6"/>
      <c r="AC171" s="6"/>
      <c r="AD171" s="7"/>
    </row>
    <row r="172" spans="1:30" ht="15.6" x14ac:dyDescent="0.3">
      <c r="A172" s="4">
        <v>171</v>
      </c>
      <c r="B172" s="5" t="s">
        <v>8559</v>
      </c>
      <c r="C172" s="6" t="s">
        <v>1645</v>
      </c>
      <c r="D172" s="5" t="s">
        <v>8560</v>
      </c>
      <c r="E172" s="5" t="s">
        <v>48</v>
      </c>
      <c r="F172" s="6" t="s">
        <v>8561</v>
      </c>
      <c r="G172" s="6" t="s">
        <v>8562</v>
      </c>
      <c r="H172" s="6" t="s">
        <v>719</v>
      </c>
      <c r="I172" s="6" t="s">
        <v>130</v>
      </c>
      <c r="J172" s="6" t="s">
        <v>2474</v>
      </c>
      <c r="K172" s="6" t="s">
        <v>2646</v>
      </c>
      <c r="L172" s="6">
        <f>57%</f>
        <v>0.56999999999999995</v>
      </c>
      <c r="M172" s="6" t="s">
        <v>8563</v>
      </c>
      <c r="N172" s="6">
        <f>57%</f>
        <v>0.56999999999999995</v>
      </c>
      <c r="O172" s="6" t="s">
        <v>8564</v>
      </c>
      <c r="P172" s="6" t="s">
        <v>8565</v>
      </c>
      <c r="Q172" s="8">
        <v>-0.18</v>
      </c>
      <c r="R172" s="6" t="s">
        <v>828</v>
      </c>
      <c r="S172" s="6">
        <v>54</v>
      </c>
      <c r="T172" s="6" t="s">
        <v>83</v>
      </c>
      <c r="U172" s="8">
        <v>-0.6</v>
      </c>
      <c r="V172" s="6"/>
      <c r="W172" s="6"/>
      <c r="X172" s="6"/>
      <c r="Y172" s="6"/>
      <c r="Z172" s="6"/>
      <c r="AA172" s="6"/>
      <c r="AB172" s="6"/>
      <c r="AC172" s="6"/>
      <c r="AD172" s="7"/>
    </row>
    <row r="173" spans="1:30" ht="15.6" x14ac:dyDescent="0.3">
      <c r="A173" s="4">
        <v>172</v>
      </c>
      <c r="B173" s="5" t="s">
        <v>8566</v>
      </c>
      <c r="C173" s="6" t="s">
        <v>546</v>
      </c>
      <c r="D173" s="5" t="s">
        <v>8567</v>
      </c>
      <c r="E173" s="5" t="s">
        <v>48</v>
      </c>
      <c r="F173" s="6" t="s">
        <v>8568</v>
      </c>
      <c r="G173" s="6" t="s">
        <v>8569</v>
      </c>
      <c r="H173" s="6" t="s">
        <v>719</v>
      </c>
      <c r="I173" s="6" t="s">
        <v>8570</v>
      </c>
      <c r="J173" s="6" t="s">
        <v>482</v>
      </c>
      <c r="K173" s="6" t="s">
        <v>560</v>
      </c>
      <c r="L173" s="8">
        <v>-0.27</v>
      </c>
      <c r="M173" s="6" t="s">
        <v>8571</v>
      </c>
      <c r="N173" s="8">
        <v>-0.27</v>
      </c>
      <c r="O173" s="6" t="s">
        <v>8572</v>
      </c>
      <c r="P173" s="6" t="s">
        <v>8573</v>
      </c>
      <c r="Q173" s="6">
        <f>1.7%</f>
        <v>1.7000000000000001E-2</v>
      </c>
      <c r="R173" s="6" t="s">
        <v>8574</v>
      </c>
      <c r="S173" s="6">
        <v>78</v>
      </c>
      <c r="T173" s="6" t="s">
        <v>2600</v>
      </c>
      <c r="U173" s="6">
        <f>33%</f>
        <v>0.33</v>
      </c>
      <c r="V173" s="6"/>
      <c r="W173" s="6"/>
      <c r="X173" s="6"/>
      <c r="Y173" s="6"/>
      <c r="Z173" s="6"/>
      <c r="AA173" s="6"/>
      <c r="AB173" s="6"/>
      <c r="AC173" s="6"/>
      <c r="AD173" s="7"/>
    </row>
    <row r="174" spans="1:30" ht="15.6" x14ac:dyDescent="0.3">
      <c r="A174" s="4">
        <v>173</v>
      </c>
      <c r="B174" s="5" t="s">
        <v>8575</v>
      </c>
      <c r="C174" s="6" t="s">
        <v>126</v>
      </c>
      <c r="D174" s="5" t="s">
        <v>8576</v>
      </c>
      <c r="E174" s="6"/>
      <c r="F174" s="6" t="s">
        <v>8577</v>
      </c>
      <c r="G174" s="6" t="s">
        <v>8578</v>
      </c>
      <c r="H174" s="6" t="s">
        <v>719</v>
      </c>
      <c r="I174" s="8">
        <v>-0.92</v>
      </c>
      <c r="J174" s="6" t="s">
        <v>758</v>
      </c>
      <c r="K174" s="6" t="s">
        <v>799</v>
      </c>
      <c r="L174" s="6" t="s">
        <v>217</v>
      </c>
      <c r="M174" s="6" t="s">
        <v>800</v>
      </c>
      <c r="N174" s="6" t="s">
        <v>217</v>
      </c>
      <c r="O174" s="6" t="s">
        <v>800</v>
      </c>
      <c r="P174" s="6" t="s">
        <v>217</v>
      </c>
      <c r="Q174" s="6">
        <f>0.033</f>
        <v>3.3000000000000002E-2</v>
      </c>
      <c r="R174" s="6" t="s">
        <v>8579</v>
      </c>
      <c r="S174" s="6">
        <v>58</v>
      </c>
      <c r="T174" s="6" t="s">
        <v>217</v>
      </c>
      <c r="U174" s="6" t="s">
        <v>217</v>
      </c>
      <c r="V174" s="5" t="s">
        <v>8580</v>
      </c>
      <c r="W174" s="5" t="s">
        <v>8581</v>
      </c>
      <c r="X174" s="6"/>
      <c r="Y174" s="6"/>
      <c r="Z174" s="6"/>
      <c r="AA174" s="6"/>
      <c r="AB174" s="6"/>
      <c r="AC174" s="6"/>
      <c r="AD174" s="7"/>
    </row>
    <row r="175" spans="1:30" ht="15.6" x14ac:dyDescent="0.3">
      <c r="A175" s="4">
        <v>174</v>
      </c>
      <c r="B175" s="5" t="s">
        <v>8582</v>
      </c>
      <c r="C175" s="6" t="s">
        <v>148</v>
      </c>
      <c r="D175" s="5" t="s">
        <v>8583</v>
      </c>
      <c r="E175" s="5" t="s">
        <v>48</v>
      </c>
      <c r="F175" s="6" t="s">
        <v>8584</v>
      </c>
      <c r="G175" s="6" t="s">
        <v>8585</v>
      </c>
      <c r="H175" s="6" t="s">
        <v>719</v>
      </c>
      <c r="I175" s="6" t="s">
        <v>8586</v>
      </c>
      <c r="J175" s="6" t="s">
        <v>250</v>
      </c>
      <c r="K175" s="6" t="s">
        <v>679</v>
      </c>
      <c r="L175" s="8">
        <v>-0.27</v>
      </c>
      <c r="M175" s="6" t="s">
        <v>8587</v>
      </c>
      <c r="N175" s="8">
        <v>-0.27</v>
      </c>
      <c r="O175" s="6" t="s">
        <v>8588</v>
      </c>
      <c r="P175" s="6" t="s">
        <v>448</v>
      </c>
      <c r="Q175" s="6" t="s">
        <v>217</v>
      </c>
      <c r="R175" s="6" t="s">
        <v>8589</v>
      </c>
      <c r="S175" s="6">
        <v>9</v>
      </c>
      <c r="T175" s="6">
        <v>222</v>
      </c>
      <c r="U175" s="8">
        <v>-0.48</v>
      </c>
      <c r="V175" s="5" t="s">
        <v>8590</v>
      </c>
      <c r="W175" s="5" t="s">
        <v>8591</v>
      </c>
      <c r="X175" s="5" t="s">
        <v>8592</v>
      </c>
      <c r="Y175" s="5" t="s">
        <v>8503</v>
      </c>
      <c r="Z175" s="6"/>
      <c r="AA175" s="6"/>
      <c r="AB175" s="6"/>
      <c r="AC175" s="6"/>
      <c r="AD175" s="7"/>
    </row>
    <row r="176" spans="1:30" ht="15.6" x14ac:dyDescent="0.3">
      <c r="A176" s="4">
        <v>175</v>
      </c>
      <c r="B176" s="5" t="s">
        <v>8593</v>
      </c>
      <c r="C176" s="6" t="s">
        <v>102</v>
      </c>
      <c r="D176" s="5" t="s">
        <v>8594</v>
      </c>
      <c r="E176" s="5" t="s">
        <v>48</v>
      </c>
      <c r="F176" s="6" t="s">
        <v>8595</v>
      </c>
      <c r="G176" s="6" t="s">
        <v>8596</v>
      </c>
      <c r="H176" s="6" t="s">
        <v>719</v>
      </c>
      <c r="I176" s="6" t="s">
        <v>453</v>
      </c>
      <c r="J176" s="6" t="s">
        <v>2776</v>
      </c>
      <c r="K176" s="6" t="s">
        <v>6852</v>
      </c>
      <c r="L176" s="8">
        <v>-0.54</v>
      </c>
      <c r="M176" s="6" t="s">
        <v>8597</v>
      </c>
      <c r="N176" s="8">
        <v>-0.54</v>
      </c>
      <c r="O176" s="6" t="s">
        <v>8598</v>
      </c>
      <c r="P176" s="6" t="s">
        <v>8599</v>
      </c>
      <c r="Q176" s="8">
        <v>-0.84</v>
      </c>
      <c r="R176" s="6" t="s">
        <v>8600</v>
      </c>
      <c r="S176" s="6">
        <v>192</v>
      </c>
      <c r="T176" s="6" t="s">
        <v>8601</v>
      </c>
      <c r="U176" s="8">
        <v>-0.8</v>
      </c>
      <c r="V176" s="5" t="s">
        <v>8602</v>
      </c>
      <c r="W176" s="5" t="s">
        <v>8603</v>
      </c>
      <c r="X176" s="6"/>
      <c r="Y176" s="6"/>
      <c r="Z176" s="6"/>
      <c r="AA176" s="6"/>
      <c r="AB176" s="6"/>
      <c r="AC176" s="6"/>
      <c r="AD176" s="7"/>
    </row>
    <row r="177" spans="1:30" ht="15.6" x14ac:dyDescent="0.3">
      <c r="A177" s="4">
        <v>176</v>
      </c>
      <c r="B177" s="5" t="s">
        <v>8604</v>
      </c>
      <c r="C177" s="6" t="s">
        <v>114</v>
      </c>
      <c r="D177" s="5" t="s">
        <v>8605</v>
      </c>
      <c r="E177" s="5" t="s">
        <v>33</v>
      </c>
      <c r="F177" s="6" t="s">
        <v>8606</v>
      </c>
      <c r="G177" s="6" t="s">
        <v>8607</v>
      </c>
      <c r="H177" s="6" t="s">
        <v>719</v>
      </c>
      <c r="I177" s="6" t="s">
        <v>617</v>
      </c>
      <c r="J177" s="6" t="s">
        <v>225</v>
      </c>
      <c r="K177" s="6" t="s">
        <v>8608</v>
      </c>
      <c r="L177" s="8">
        <v>-0.12</v>
      </c>
      <c r="M177" s="6" t="s">
        <v>8609</v>
      </c>
      <c r="N177" s="8">
        <v>-0.12</v>
      </c>
      <c r="O177" s="6" t="s">
        <v>800</v>
      </c>
      <c r="P177" s="6" t="s">
        <v>8610</v>
      </c>
      <c r="Q177" s="6">
        <f>0.15%</f>
        <v>1.5E-3</v>
      </c>
      <c r="R177" s="6" t="s">
        <v>8611</v>
      </c>
      <c r="S177" s="6">
        <v>162</v>
      </c>
      <c r="T177" s="6" t="s">
        <v>8612</v>
      </c>
      <c r="U177" s="8">
        <v>-0.36</v>
      </c>
      <c r="V177" s="5" t="s">
        <v>8613</v>
      </c>
      <c r="W177" s="5" t="s">
        <v>8614</v>
      </c>
      <c r="X177" s="5" t="s">
        <v>8615</v>
      </c>
      <c r="Y177" s="5" t="s">
        <v>8614</v>
      </c>
      <c r="Z177" s="5" t="s">
        <v>8616</v>
      </c>
      <c r="AA177" s="5" t="s">
        <v>8617</v>
      </c>
      <c r="AB177" s="5" t="s">
        <v>8618</v>
      </c>
      <c r="AC177" s="5" t="s">
        <v>8619</v>
      </c>
      <c r="AD177" s="7"/>
    </row>
    <row r="178" spans="1:30" ht="15.6" x14ac:dyDescent="0.3">
      <c r="A178" s="4">
        <v>177</v>
      </c>
      <c r="B178" s="5" t="s">
        <v>8620</v>
      </c>
      <c r="C178" s="6" t="s">
        <v>370</v>
      </c>
      <c r="D178" s="5" t="s">
        <v>8621</v>
      </c>
      <c r="E178" s="5" t="s">
        <v>48</v>
      </c>
      <c r="F178" s="6" t="s">
        <v>8622</v>
      </c>
      <c r="G178" s="6" t="s">
        <v>8623</v>
      </c>
      <c r="H178" s="6" t="s">
        <v>719</v>
      </c>
      <c r="I178" s="6" t="s">
        <v>1490</v>
      </c>
      <c r="J178" s="6" t="s">
        <v>4325</v>
      </c>
      <c r="K178" s="6" t="s">
        <v>8624</v>
      </c>
      <c r="L178" s="8">
        <v>-0.33</v>
      </c>
      <c r="M178" s="6" t="s">
        <v>8625</v>
      </c>
      <c r="N178" s="8">
        <v>-0.33</v>
      </c>
      <c r="O178" s="6" t="s">
        <v>8626</v>
      </c>
      <c r="P178" s="6" t="s">
        <v>8627</v>
      </c>
      <c r="Q178" s="6">
        <f>120%</f>
        <v>1.2</v>
      </c>
      <c r="R178" s="6" t="s">
        <v>8628</v>
      </c>
      <c r="S178" s="6">
        <v>34</v>
      </c>
      <c r="T178" s="6" t="s">
        <v>8629</v>
      </c>
      <c r="U178" s="6">
        <f>25%</f>
        <v>0.25</v>
      </c>
      <c r="V178" s="6"/>
      <c r="W178" s="6"/>
      <c r="X178" s="6"/>
      <c r="Y178" s="6"/>
      <c r="Z178" s="6"/>
      <c r="AA178" s="6"/>
      <c r="AB178" s="6"/>
      <c r="AC178" s="6"/>
      <c r="AD178" s="7"/>
    </row>
    <row r="179" spans="1:30" ht="15.6" x14ac:dyDescent="0.3">
      <c r="A179" s="4">
        <v>178</v>
      </c>
      <c r="B179" s="5" t="s">
        <v>8630</v>
      </c>
      <c r="C179" s="6" t="s">
        <v>148</v>
      </c>
      <c r="D179" s="5" t="s">
        <v>8631</v>
      </c>
      <c r="E179" s="5" t="s">
        <v>48</v>
      </c>
      <c r="F179" s="6" t="s">
        <v>8632</v>
      </c>
      <c r="G179" s="6" t="s">
        <v>8633</v>
      </c>
      <c r="H179" s="6" t="s">
        <v>719</v>
      </c>
      <c r="I179" s="6" t="s">
        <v>6589</v>
      </c>
      <c r="J179" s="6" t="s">
        <v>1071</v>
      </c>
      <c r="K179" s="6" t="s">
        <v>8634</v>
      </c>
      <c r="L179" s="6">
        <f>13%</f>
        <v>0.13</v>
      </c>
      <c r="M179" s="6" t="s">
        <v>8635</v>
      </c>
      <c r="N179" s="6">
        <f>13%</f>
        <v>0.13</v>
      </c>
      <c r="O179" s="6" t="s">
        <v>8636</v>
      </c>
      <c r="P179" s="6" t="s">
        <v>8637</v>
      </c>
      <c r="Q179" s="8">
        <v>-0.41</v>
      </c>
      <c r="R179" s="6">
        <v>350</v>
      </c>
      <c r="S179" s="6">
        <v>34</v>
      </c>
      <c r="T179" s="6">
        <v>248</v>
      </c>
      <c r="U179" s="8">
        <v>-0.6</v>
      </c>
      <c r="V179" s="5" t="s">
        <v>8638</v>
      </c>
      <c r="W179" s="5" t="s">
        <v>8639</v>
      </c>
      <c r="X179" s="5" t="s">
        <v>8640</v>
      </c>
      <c r="Y179" s="5" t="s">
        <v>8639</v>
      </c>
      <c r="Z179" s="5" t="s">
        <v>8641</v>
      </c>
      <c r="AA179" s="5" t="s">
        <v>8639</v>
      </c>
      <c r="AB179" s="5" t="s">
        <v>8642</v>
      </c>
      <c r="AC179" s="5" t="s">
        <v>8643</v>
      </c>
      <c r="AD179" s="9" t="s">
        <v>8644</v>
      </c>
    </row>
    <row r="180" spans="1:30" ht="15.6" x14ac:dyDescent="0.3">
      <c r="A180" s="4">
        <v>179</v>
      </c>
      <c r="B180" s="5" t="s">
        <v>8645</v>
      </c>
      <c r="C180" s="6" t="s">
        <v>370</v>
      </c>
      <c r="D180" s="5" t="s">
        <v>8646</v>
      </c>
      <c r="E180" s="5" t="s">
        <v>33</v>
      </c>
      <c r="F180" s="6" t="s">
        <v>8647</v>
      </c>
      <c r="G180" s="6" t="s">
        <v>8648</v>
      </c>
      <c r="H180" s="6" t="s">
        <v>719</v>
      </c>
      <c r="I180" s="8">
        <v>-0.2</v>
      </c>
      <c r="J180" s="6" t="s">
        <v>1479</v>
      </c>
      <c r="K180" s="6" t="s">
        <v>2615</v>
      </c>
      <c r="L180" s="6">
        <f>34%</f>
        <v>0.34</v>
      </c>
      <c r="M180" s="6" t="s">
        <v>8649</v>
      </c>
      <c r="N180" s="6">
        <f>34%</f>
        <v>0.34</v>
      </c>
      <c r="O180" s="6" t="s">
        <v>619</v>
      </c>
      <c r="P180" s="6" t="s">
        <v>8650</v>
      </c>
      <c r="Q180" s="6">
        <f>0.016</f>
        <v>1.6E-2</v>
      </c>
      <c r="R180" s="6" t="s">
        <v>8651</v>
      </c>
      <c r="S180" s="6">
        <v>213</v>
      </c>
      <c r="T180" s="6" t="s">
        <v>8652</v>
      </c>
      <c r="U180" s="6">
        <f>140%</f>
        <v>1.4</v>
      </c>
      <c r="V180" s="5" t="s">
        <v>8653</v>
      </c>
      <c r="W180" s="5" t="s">
        <v>8654</v>
      </c>
      <c r="X180" s="5" t="s">
        <v>8655</v>
      </c>
      <c r="Y180" s="5" t="s">
        <v>8656</v>
      </c>
      <c r="Z180" s="5" t="s">
        <v>8657</v>
      </c>
      <c r="AA180" s="5" t="s">
        <v>8658</v>
      </c>
      <c r="AB180" s="6"/>
      <c r="AC180" s="6"/>
      <c r="AD180" s="7"/>
    </row>
    <row r="181" spans="1:30" ht="15.6" x14ac:dyDescent="0.3">
      <c r="A181" s="4">
        <v>180</v>
      </c>
      <c r="B181" s="5" t="s">
        <v>8659</v>
      </c>
      <c r="C181" s="6" t="s">
        <v>567</v>
      </c>
      <c r="D181" s="5" t="s">
        <v>8660</v>
      </c>
      <c r="E181" s="5" t="s">
        <v>48</v>
      </c>
      <c r="F181" s="6" t="s">
        <v>8661</v>
      </c>
      <c r="G181" s="6" t="s">
        <v>8662</v>
      </c>
      <c r="H181" s="6" t="s">
        <v>719</v>
      </c>
      <c r="I181" s="6" t="s">
        <v>2484</v>
      </c>
      <c r="J181" s="6" t="s">
        <v>824</v>
      </c>
      <c r="K181" s="6" t="s">
        <v>8663</v>
      </c>
      <c r="L181" s="6">
        <f>47%</f>
        <v>0.47</v>
      </c>
      <c r="M181" s="6" t="s">
        <v>8664</v>
      </c>
      <c r="N181" s="6">
        <f>47%</f>
        <v>0.47</v>
      </c>
      <c r="O181" s="6" t="s">
        <v>8665</v>
      </c>
      <c r="P181" s="6" t="s">
        <v>8666</v>
      </c>
      <c r="Q181" s="6">
        <f>0.031</f>
        <v>3.1E-2</v>
      </c>
      <c r="R181" s="6" t="s">
        <v>8667</v>
      </c>
      <c r="S181" s="6">
        <v>87</v>
      </c>
      <c r="T181" s="6" t="s">
        <v>1694</v>
      </c>
      <c r="U181" s="6">
        <f>39%</f>
        <v>0.39</v>
      </c>
      <c r="V181" s="5" t="s">
        <v>8668</v>
      </c>
      <c r="W181" s="5" t="s">
        <v>8669</v>
      </c>
      <c r="X181" s="6"/>
      <c r="Y181" s="6"/>
      <c r="Z181" s="6"/>
      <c r="AA181" s="6"/>
      <c r="AB181" s="6"/>
      <c r="AC181" s="6"/>
      <c r="AD181" s="7"/>
    </row>
    <row r="182" spans="1:30" ht="15.6" x14ac:dyDescent="0.3">
      <c r="A182" s="4">
        <v>181</v>
      </c>
      <c r="B182" s="5" t="s">
        <v>8670</v>
      </c>
      <c r="C182" s="6" t="s">
        <v>102</v>
      </c>
      <c r="D182" s="5" t="s">
        <v>8671</v>
      </c>
      <c r="E182" s="5" t="s">
        <v>48</v>
      </c>
      <c r="F182" s="6" t="s">
        <v>8672</v>
      </c>
      <c r="G182" s="6" t="s">
        <v>8673</v>
      </c>
      <c r="H182" s="6" t="s">
        <v>719</v>
      </c>
      <c r="I182" s="6" t="s">
        <v>7368</v>
      </c>
      <c r="J182" s="6" t="s">
        <v>2776</v>
      </c>
      <c r="K182" s="6" t="s">
        <v>333</v>
      </c>
      <c r="L182" s="8">
        <v>-0.19</v>
      </c>
      <c r="M182" s="6" t="s">
        <v>8674</v>
      </c>
      <c r="N182" s="8">
        <v>-0.19</v>
      </c>
      <c r="O182" s="6" t="s">
        <v>8675</v>
      </c>
      <c r="P182" s="6" t="s">
        <v>8676</v>
      </c>
      <c r="Q182" s="8">
        <v>-0.24</v>
      </c>
      <c r="R182" s="6" t="s">
        <v>8677</v>
      </c>
      <c r="S182" s="6">
        <v>182</v>
      </c>
      <c r="T182" s="6" t="s">
        <v>8678</v>
      </c>
      <c r="U182" s="8">
        <v>-0.32</v>
      </c>
      <c r="V182" s="5" t="s">
        <v>6509</v>
      </c>
      <c r="W182" s="5" t="s">
        <v>6510</v>
      </c>
      <c r="X182" s="6"/>
      <c r="Y182" s="6"/>
      <c r="Z182" s="6"/>
      <c r="AA182" s="6"/>
      <c r="AB182" s="6"/>
      <c r="AC182" s="6"/>
      <c r="AD182" s="7"/>
    </row>
    <row r="183" spans="1:30" ht="15.6" x14ac:dyDescent="0.3">
      <c r="A183" s="4">
        <v>182</v>
      </c>
      <c r="B183" s="5" t="s">
        <v>8679</v>
      </c>
      <c r="C183" s="6" t="s">
        <v>820</v>
      </c>
      <c r="D183" s="5" t="s">
        <v>8680</v>
      </c>
      <c r="E183" s="5" t="s">
        <v>33</v>
      </c>
      <c r="F183" s="6" t="s">
        <v>8681</v>
      </c>
      <c r="G183" s="6" t="s">
        <v>8682</v>
      </c>
      <c r="H183" s="6" t="s">
        <v>719</v>
      </c>
      <c r="I183" s="8">
        <v>-0.94</v>
      </c>
      <c r="J183" s="6" t="s">
        <v>2713</v>
      </c>
      <c r="K183" s="6" t="s">
        <v>1984</v>
      </c>
      <c r="L183" s="8">
        <v>-0.12</v>
      </c>
      <c r="M183" s="6" t="s">
        <v>8683</v>
      </c>
      <c r="N183" s="8">
        <v>-0.12</v>
      </c>
      <c r="O183" s="6" t="s">
        <v>8684</v>
      </c>
      <c r="P183" s="6" t="s">
        <v>8685</v>
      </c>
      <c r="Q183" s="6">
        <f>0.017</f>
        <v>1.7000000000000001E-2</v>
      </c>
      <c r="R183" s="6" t="s">
        <v>123</v>
      </c>
      <c r="S183" s="6">
        <v>4</v>
      </c>
      <c r="T183" s="6">
        <v>374</v>
      </c>
      <c r="U183" s="6" t="s">
        <v>9262</v>
      </c>
      <c r="V183" s="5" t="s">
        <v>8686</v>
      </c>
      <c r="W183" s="5" t="s">
        <v>8687</v>
      </c>
      <c r="X183" s="6"/>
      <c r="Y183" s="6"/>
      <c r="Z183" s="6"/>
      <c r="AA183" s="6"/>
      <c r="AB183" s="6"/>
      <c r="AC183" s="6"/>
      <c r="AD183" s="7"/>
    </row>
    <row r="184" spans="1:30" ht="15.6" x14ac:dyDescent="0.3">
      <c r="A184" s="4">
        <v>183</v>
      </c>
      <c r="B184" s="5" t="s">
        <v>8688</v>
      </c>
      <c r="C184" s="6" t="s">
        <v>126</v>
      </c>
      <c r="D184" s="5" t="s">
        <v>8689</v>
      </c>
      <c r="E184" s="5" t="s">
        <v>33</v>
      </c>
      <c r="F184" s="6" t="s">
        <v>8690</v>
      </c>
      <c r="G184" s="6" t="s">
        <v>8691</v>
      </c>
      <c r="H184" s="6" t="s">
        <v>719</v>
      </c>
      <c r="I184" s="8">
        <v>-0.53</v>
      </c>
      <c r="J184" s="6" t="s">
        <v>888</v>
      </c>
      <c r="K184" s="6" t="s">
        <v>8692</v>
      </c>
      <c r="L184" s="6">
        <f>43%</f>
        <v>0.43</v>
      </c>
      <c r="M184" s="6" t="s">
        <v>8693</v>
      </c>
      <c r="N184" s="6">
        <f>43%</f>
        <v>0.43</v>
      </c>
      <c r="O184" s="6" t="s">
        <v>8694</v>
      </c>
      <c r="P184" s="6" t="s">
        <v>8695</v>
      </c>
      <c r="Q184" s="6">
        <f>0.019</f>
        <v>1.9E-2</v>
      </c>
      <c r="R184" s="6" t="s">
        <v>8696</v>
      </c>
      <c r="S184" s="6">
        <v>22</v>
      </c>
      <c r="T184" s="6" t="s">
        <v>8697</v>
      </c>
      <c r="U184" s="6">
        <f>15%</f>
        <v>0.15</v>
      </c>
      <c r="V184" s="5" t="s">
        <v>8698</v>
      </c>
      <c r="W184" s="5" t="s">
        <v>8699</v>
      </c>
      <c r="X184" s="6"/>
      <c r="Y184" s="6"/>
      <c r="Z184" s="6"/>
      <c r="AA184" s="6"/>
      <c r="AB184" s="6"/>
      <c r="AC184" s="6"/>
      <c r="AD184" s="7"/>
    </row>
    <row r="185" spans="1:30" ht="15.6" x14ac:dyDescent="0.3">
      <c r="A185" s="4">
        <v>184</v>
      </c>
      <c r="B185" s="5" t="s">
        <v>8700</v>
      </c>
      <c r="C185" s="6" t="s">
        <v>102</v>
      </c>
      <c r="D185" s="5" t="s">
        <v>8701</v>
      </c>
      <c r="E185" s="5" t="s">
        <v>48</v>
      </c>
      <c r="F185" s="6" t="s">
        <v>8702</v>
      </c>
      <c r="G185" s="6" t="s">
        <v>8703</v>
      </c>
      <c r="H185" s="6" t="s">
        <v>719</v>
      </c>
      <c r="I185" s="6" t="s">
        <v>7437</v>
      </c>
      <c r="J185" s="6" t="s">
        <v>250</v>
      </c>
      <c r="K185" s="6" t="s">
        <v>8704</v>
      </c>
      <c r="L185" s="8">
        <v>-0.2</v>
      </c>
      <c r="M185" s="6" t="s">
        <v>8705</v>
      </c>
      <c r="N185" s="8">
        <v>-0.22</v>
      </c>
      <c r="O185" s="6" t="s">
        <v>8706</v>
      </c>
      <c r="P185" s="6" t="s">
        <v>8707</v>
      </c>
      <c r="Q185" s="8">
        <v>-0.22</v>
      </c>
      <c r="R185" s="6">
        <v>429</v>
      </c>
      <c r="S185" s="6">
        <v>1</v>
      </c>
      <c r="T185" s="6" t="s">
        <v>8708</v>
      </c>
      <c r="U185" s="8">
        <v>-0.56000000000000005</v>
      </c>
      <c r="V185" s="6"/>
      <c r="W185" s="6"/>
      <c r="X185" s="6"/>
      <c r="Y185" s="6"/>
      <c r="Z185" s="6"/>
      <c r="AA185" s="6"/>
      <c r="AB185" s="6"/>
      <c r="AC185" s="6"/>
      <c r="AD185" s="7"/>
    </row>
    <row r="186" spans="1:30" ht="15.6" x14ac:dyDescent="0.3">
      <c r="A186" s="4">
        <v>185</v>
      </c>
      <c r="B186" s="5" t="s">
        <v>8709</v>
      </c>
      <c r="C186" s="6" t="s">
        <v>567</v>
      </c>
      <c r="D186" s="5" t="s">
        <v>8710</v>
      </c>
      <c r="E186" s="5" t="s">
        <v>33</v>
      </c>
      <c r="F186" s="6" t="s">
        <v>8711</v>
      </c>
      <c r="G186" s="6" t="s">
        <v>8712</v>
      </c>
      <c r="H186" s="6" t="s">
        <v>719</v>
      </c>
      <c r="I186" s="8">
        <v>-0.3</v>
      </c>
      <c r="J186" s="6" t="s">
        <v>397</v>
      </c>
      <c r="K186" s="6" t="s">
        <v>8713</v>
      </c>
      <c r="L186" s="6">
        <f>31%</f>
        <v>0.31</v>
      </c>
      <c r="M186" s="6" t="s">
        <v>8714</v>
      </c>
      <c r="N186" s="6">
        <f>31%</f>
        <v>0.31</v>
      </c>
      <c r="O186" s="6" t="s">
        <v>8715</v>
      </c>
      <c r="P186" s="6" t="s">
        <v>8716</v>
      </c>
      <c r="Q186" s="6">
        <f>0.015</f>
        <v>1.4999999999999999E-2</v>
      </c>
      <c r="R186" s="6" t="s">
        <v>8717</v>
      </c>
      <c r="S186" s="6">
        <v>32</v>
      </c>
      <c r="T186" s="6" t="s">
        <v>1758</v>
      </c>
      <c r="U186" s="6">
        <f>1.4%</f>
        <v>1.3999999999999999E-2</v>
      </c>
      <c r="V186" s="5" t="s">
        <v>8718</v>
      </c>
      <c r="W186" s="5" t="s">
        <v>8719</v>
      </c>
      <c r="X186" s="6"/>
      <c r="Y186" s="6"/>
      <c r="Z186" s="6"/>
      <c r="AA186" s="6"/>
      <c r="AB186" s="6"/>
      <c r="AC186" s="6"/>
      <c r="AD186" s="7"/>
    </row>
    <row r="187" spans="1:30" ht="15.6" x14ac:dyDescent="0.3">
      <c r="A187" s="4">
        <v>186</v>
      </c>
      <c r="B187" s="5" t="s">
        <v>8720</v>
      </c>
      <c r="C187" s="6" t="s">
        <v>267</v>
      </c>
      <c r="D187" s="5" t="s">
        <v>8721</v>
      </c>
      <c r="E187" s="5" t="s">
        <v>48</v>
      </c>
      <c r="F187" s="6" t="s">
        <v>8722</v>
      </c>
      <c r="G187" s="6" t="s">
        <v>8723</v>
      </c>
      <c r="H187" s="6" t="s">
        <v>719</v>
      </c>
      <c r="I187" s="6" t="s">
        <v>8724</v>
      </c>
      <c r="J187" s="6" t="s">
        <v>177</v>
      </c>
      <c r="K187" s="6" t="s">
        <v>8725</v>
      </c>
      <c r="L187" s="8">
        <v>-0.26</v>
      </c>
      <c r="M187" s="6" t="s">
        <v>8726</v>
      </c>
      <c r="N187" s="8">
        <v>-0.26</v>
      </c>
      <c r="O187" s="6" t="s">
        <v>8727</v>
      </c>
      <c r="P187" s="6" t="s">
        <v>8728</v>
      </c>
      <c r="Q187" s="6">
        <f>55%</f>
        <v>0.55000000000000004</v>
      </c>
      <c r="R187" s="6" t="s">
        <v>8729</v>
      </c>
      <c r="S187" s="6">
        <v>22</v>
      </c>
      <c r="T187" s="6" t="s">
        <v>2115</v>
      </c>
      <c r="U187" s="6">
        <f>0.2%</f>
        <v>2E-3</v>
      </c>
      <c r="V187" s="5" t="s">
        <v>8730</v>
      </c>
      <c r="W187" s="5" t="s">
        <v>8731</v>
      </c>
      <c r="X187" s="5" t="s">
        <v>8732</v>
      </c>
      <c r="Y187" s="5" t="s">
        <v>8733</v>
      </c>
      <c r="Z187" s="6"/>
      <c r="AA187" s="6"/>
      <c r="AB187" s="6"/>
      <c r="AC187" s="6"/>
      <c r="AD187" s="7"/>
    </row>
    <row r="188" spans="1:30" ht="15.6" x14ac:dyDescent="0.3">
      <c r="A188" s="4">
        <v>187</v>
      </c>
      <c r="B188" s="5" t="s">
        <v>8734</v>
      </c>
      <c r="C188" s="6" t="s">
        <v>72</v>
      </c>
      <c r="D188" s="5" t="s">
        <v>8735</v>
      </c>
      <c r="E188" s="5" t="s">
        <v>48</v>
      </c>
      <c r="F188" s="6" t="s">
        <v>8736</v>
      </c>
      <c r="G188" s="6" t="s">
        <v>8737</v>
      </c>
      <c r="H188" s="6" t="s">
        <v>719</v>
      </c>
      <c r="I188" s="8">
        <v>-0.9</v>
      </c>
      <c r="J188" s="6" t="s">
        <v>1529</v>
      </c>
      <c r="K188" s="6" t="s">
        <v>1948</v>
      </c>
      <c r="L188" s="6" t="s">
        <v>1788</v>
      </c>
      <c r="M188" s="6" t="s">
        <v>8738</v>
      </c>
      <c r="N188" s="6" t="s">
        <v>1788</v>
      </c>
      <c r="O188" s="6" t="s">
        <v>8739</v>
      </c>
      <c r="P188" s="6" t="s">
        <v>1615</v>
      </c>
      <c r="Q188" s="6">
        <f>0.028</f>
        <v>2.8000000000000001E-2</v>
      </c>
      <c r="R188" s="6" t="s">
        <v>8740</v>
      </c>
      <c r="S188" s="6">
        <v>929</v>
      </c>
      <c r="T188" s="6" t="s">
        <v>8741</v>
      </c>
      <c r="U188" s="6" t="s">
        <v>9262</v>
      </c>
      <c r="V188" s="5" t="s">
        <v>8742</v>
      </c>
      <c r="W188" s="5" t="s">
        <v>8743</v>
      </c>
      <c r="X188" s="5" t="s">
        <v>8744</v>
      </c>
      <c r="Y188" s="5" t="s">
        <v>7500</v>
      </c>
      <c r="Z188" s="6"/>
      <c r="AA188" s="6"/>
      <c r="AB188" s="6"/>
      <c r="AC188" s="6"/>
      <c r="AD188" s="7"/>
    </row>
    <row r="189" spans="1:30" ht="15.6" x14ac:dyDescent="0.3">
      <c r="A189" s="4">
        <v>188</v>
      </c>
      <c r="B189" s="5" t="s">
        <v>8745</v>
      </c>
      <c r="C189" s="6" t="s">
        <v>126</v>
      </c>
      <c r="D189" s="5" t="s">
        <v>8746</v>
      </c>
      <c r="E189" s="5" t="s">
        <v>33</v>
      </c>
      <c r="F189" s="6" t="s">
        <v>8747</v>
      </c>
      <c r="G189" s="6" t="s">
        <v>8748</v>
      </c>
      <c r="H189" s="6" t="s">
        <v>719</v>
      </c>
      <c r="I189" s="6" t="s">
        <v>283</v>
      </c>
      <c r="J189" s="6" t="s">
        <v>64</v>
      </c>
      <c r="K189" s="6" t="s">
        <v>8749</v>
      </c>
      <c r="L189" s="8">
        <v>-0.28000000000000003</v>
      </c>
      <c r="M189" s="6" t="s">
        <v>8750</v>
      </c>
      <c r="N189" s="8">
        <v>-0.28000000000000003</v>
      </c>
      <c r="O189" s="6" t="s">
        <v>8751</v>
      </c>
      <c r="P189" s="6" t="s">
        <v>8752</v>
      </c>
      <c r="Q189" s="6">
        <f>0.63%</f>
        <v>6.3E-3</v>
      </c>
      <c r="R189" s="6" t="s">
        <v>8753</v>
      </c>
      <c r="S189" s="6">
        <v>16</v>
      </c>
      <c r="T189" s="6" t="s">
        <v>943</v>
      </c>
      <c r="U189" s="6">
        <f>1.2%</f>
        <v>1.2E-2</v>
      </c>
      <c r="V189" s="6"/>
      <c r="W189" s="6"/>
      <c r="X189" s="6"/>
      <c r="Y189" s="6"/>
      <c r="Z189" s="6"/>
      <c r="AA189" s="6"/>
      <c r="AB189" s="6"/>
      <c r="AC189" s="6"/>
      <c r="AD189" s="7"/>
    </row>
    <row r="190" spans="1:30" ht="15.6" x14ac:dyDescent="0.3">
      <c r="A190" s="4">
        <v>189</v>
      </c>
      <c r="B190" s="5" t="s">
        <v>8754</v>
      </c>
      <c r="C190" s="6" t="s">
        <v>72</v>
      </c>
      <c r="D190" s="5" t="s">
        <v>8755</v>
      </c>
      <c r="E190" s="5" t="s">
        <v>48</v>
      </c>
      <c r="F190" s="6" t="s">
        <v>8756</v>
      </c>
      <c r="G190" s="6" t="s">
        <v>8757</v>
      </c>
      <c r="H190" s="6" t="s">
        <v>719</v>
      </c>
      <c r="I190" s="8">
        <v>-0.72</v>
      </c>
      <c r="J190" s="6" t="s">
        <v>824</v>
      </c>
      <c r="K190" s="6" t="s">
        <v>8758</v>
      </c>
      <c r="L190" s="8">
        <v>-0.25</v>
      </c>
      <c r="M190" s="6" t="s">
        <v>8759</v>
      </c>
      <c r="N190" s="8">
        <v>-0.26</v>
      </c>
      <c r="O190" s="6" t="s">
        <v>8760</v>
      </c>
      <c r="P190" s="6" t="s">
        <v>6015</v>
      </c>
      <c r="Q190" s="6">
        <f>0.018</f>
        <v>1.7999999999999999E-2</v>
      </c>
      <c r="R190" s="6" t="s">
        <v>8761</v>
      </c>
      <c r="S190" s="6">
        <v>17</v>
      </c>
      <c r="T190" s="6" t="s">
        <v>3135</v>
      </c>
      <c r="U190" s="8">
        <v>-0.22</v>
      </c>
      <c r="V190" s="6"/>
      <c r="W190" s="6"/>
      <c r="X190" s="6"/>
      <c r="Y190" s="6"/>
      <c r="Z190" s="6"/>
      <c r="AA190" s="6"/>
      <c r="AB190" s="6"/>
      <c r="AC190" s="6"/>
      <c r="AD190" s="7"/>
    </row>
    <row r="191" spans="1:30" ht="15.6" x14ac:dyDescent="0.3">
      <c r="A191" s="4">
        <v>190</v>
      </c>
      <c r="B191" s="5" t="s">
        <v>8762</v>
      </c>
      <c r="C191" s="6" t="s">
        <v>31</v>
      </c>
      <c r="D191" s="5" t="s">
        <v>8763</v>
      </c>
      <c r="E191" s="5" t="s">
        <v>33</v>
      </c>
      <c r="F191" s="6" t="s">
        <v>8764</v>
      </c>
      <c r="G191" s="6" t="s">
        <v>8765</v>
      </c>
      <c r="H191" s="6" t="s">
        <v>719</v>
      </c>
      <c r="I191" s="6" t="s">
        <v>961</v>
      </c>
      <c r="J191" s="6" t="s">
        <v>259</v>
      </c>
      <c r="K191" s="6" t="s">
        <v>2104</v>
      </c>
      <c r="L191" s="8">
        <v>-0.26</v>
      </c>
      <c r="M191" s="6" t="s">
        <v>8766</v>
      </c>
      <c r="N191" s="8">
        <v>-0.26</v>
      </c>
      <c r="O191" s="6" t="s">
        <v>8767</v>
      </c>
      <c r="P191" s="6" t="s">
        <v>8768</v>
      </c>
      <c r="Q191" s="6">
        <f>110%</f>
        <v>1.1000000000000001</v>
      </c>
      <c r="R191" s="6">
        <v>16</v>
      </c>
      <c r="S191" s="6">
        <v>0</v>
      </c>
      <c r="T191" s="6">
        <v>58</v>
      </c>
      <c r="U191" s="6">
        <f>1.8%</f>
        <v>1.8000000000000002E-2</v>
      </c>
      <c r="V191" s="5" t="s">
        <v>8769</v>
      </c>
      <c r="W191" s="5" t="s">
        <v>8770</v>
      </c>
      <c r="X191" s="5" t="s">
        <v>8771</v>
      </c>
      <c r="Y191" s="5" t="s">
        <v>8772</v>
      </c>
      <c r="Z191" s="5" t="s">
        <v>8773</v>
      </c>
      <c r="AA191" s="5" t="s">
        <v>8774</v>
      </c>
      <c r="AB191" s="5" t="s">
        <v>8775</v>
      </c>
      <c r="AC191" s="5" t="s">
        <v>8772</v>
      </c>
      <c r="AD191" s="9" t="s">
        <v>8776</v>
      </c>
    </row>
    <row r="192" spans="1:30" ht="15.6" x14ac:dyDescent="0.3">
      <c r="A192" s="4">
        <v>191</v>
      </c>
      <c r="B192" s="5" t="s">
        <v>8777</v>
      </c>
      <c r="C192" s="6" t="s">
        <v>148</v>
      </c>
      <c r="D192" s="5" t="s">
        <v>8778</v>
      </c>
      <c r="E192" s="5" t="s">
        <v>48</v>
      </c>
      <c r="F192" s="6" t="s">
        <v>8779</v>
      </c>
      <c r="G192" s="6" t="s">
        <v>8780</v>
      </c>
      <c r="H192" s="6" t="s">
        <v>719</v>
      </c>
      <c r="I192" s="6" t="s">
        <v>1269</v>
      </c>
      <c r="J192" s="6" t="s">
        <v>309</v>
      </c>
      <c r="K192" s="6" t="s">
        <v>8781</v>
      </c>
      <c r="L192" s="8">
        <v>-0.18</v>
      </c>
      <c r="M192" s="6" t="s">
        <v>8782</v>
      </c>
      <c r="N192" s="8">
        <v>-0.18</v>
      </c>
      <c r="O192" s="6" t="s">
        <v>8783</v>
      </c>
      <c r="P192" s="6" t="s">
        <v>1968</v>
      </c>
      <c r="Q192" s="6">
        <f>0.026</f>
        <v>2.5999999999999999E-2</v>
      </c>
      <c r="R192" s="6">
        <v>999</v>
      </c>
      <c r="S192" s="6">
        <v>13</v>
      </c>
      <c r="T192" s="6">
        <v>805</v>
      </c>
      <c r="U192" s="6">
        <f>40%</f>
        <v>0.4</v>
      </c>
      <c r="V192" s="5" t="s">
        <v>8784</v>
      </c>
      <c r="W192" s="5" t="s">
        <v>8785</v>
      </c>
      <c r="X192" s="5" t="s">
        <v>8786</v>
      </c>
      <c r="Y192" s="5" t="s">
        <v>8785</v>
      </c>
      <c r="Z192" s="5" t="s">
        <v>8787</v>
      </c>
      <c r="AA192" s="5" t="s">
        <v>8785</v>
      </c>
      <c r="AB192" s="6"/>
      <c r="AC192" s="6"/>
      <c r="AD192" s="7"/>
    </row>
    <row r="193" spans="1:30" ht="15.6" x14ac:dyDescent="0.3">
      <c r="A193" s="4">
        <v>192</v>
      </c>
      <c r="B193" s="5" t="s">
        <v>8788</v>
      </c>
      <c r="C193" s="6" t="s">
        <v>72</v>
      </c>
      <c r="D193" s="5" t="s">
        <v>8789</v>
      </c>
      <c r="E193" s="5" t="s">
        <v>33</v>
      </c>
      <c r="F193" s="6" t="s">
        <v>6447</v>
      </c>
      <c r="G193" s="6" t="s">
        <v>8790</v>
      </c>
      <c r="H193" s="6" t="s">
        <v>719</v>
      </c>
      <c r="I193" s="6" t="s">
        <v>2913</v>
      </c>
      <c r="J193" s="6" t="s">
        <v>385</v>
      </c>
      <c r="K193" s="6" t="s">
        <v>8791</v>
      </c>
      <c r="L193" s="6">
        <f>24%</f>
        <v>0.24</v>
      </c>
      <c r="M193" s="6" t="s">
        <v>8792</v>
      </c>
      <c r="N193" s="6">
        <f>24%</f>
        <v>0.24</v>
      </c>
      <c r="O193" s="6" t="s">
        <v>8793</v>
      </c>
      <c r="P193" s="6" t="s">
        <v>8794</v>
      </c>
      <c r="Q193" s="6">
        <f>68%</f>
        <v>0.68</v>
      </c>
      <c r="R193" s="6" t="s">
        <v>8795</v>
      </c>
      <c r="S193" s="6">
        <v>138</v>
      </c>
      <c r="T193" s="6" t="s">
        <v>8796</v>
      </c>
      <c r="U193" s="6">
        <f>300%</f>
        <v>3</v>
      </c>
      <c r="V193" s="6"/>
      <c r="W193" s="6"/>
      <c r="X193" s="6"/>
      <c r="Y193" s="6"/>
      <c r="Z193" s="6"/>
      <c r="AA193" s="6"/>
      <c r="AB193" s="6"/>
      <c r="AC193" s="6"/>
      <c r="AD193" s="7"/>
    </row>
    <row r="194" spans="1:30" ht="15.6" x14ac:dyDescent="0.3">
      <c r="A194" s="4">
        <v>193</v>
      </c>
      <c r="B194" s="5" t="s">
        <v>8797</v>
      </c>
      <c r="C194" s="6" t="s">
        <v>173</v>
      </c>
      <c r="D194" s="5" t="s">
        <v>8798</v>
      </c>
      <c r="E194" s="5" t="s">
        <v>33</v>
      </c>
      <c r="F194" s="6" t="s">
        <v>8799</v>
      </c>
      <c r="G194" s="6" t="s">
        <v>8800</v>
      </c>
      <c r="H194" s="6" t="s">
        <v>719</v>
      </c>
      <c r="I194" s="8">
        <v>-0.6</v>
      </c>
      <c r="J194" s="6" t="s">
        <v>90</v>
      </c>
      <c r="K194" s="6" t="s">
        <v>8421</v>
      </c>
      <c r="L194" s="6">
        <f>55%</f>
        <v>0.55000000000000004</v>
      </c>
      <c r="M194" s="6" t="s">
        <v>8801</v>
      </c>
      <c r="N194" s="6">
        <f>55%</f>
        <v>0.55000000000000004</v>
      </c>
      <c r="O194" s="6" t="s">
        <v>8802</v>
      </c>
      <c r="P194" s="6" t="s">
        <v>8803</v>
      </c>
      <c r="Q194" s="6">
        <f>0.0038</f>
        <v>3.8E-3</v>
      </c>
      <c r="R194" s="6" t="s">
        <v>8804</v>
      </c>
      <c r="S194" s="6">
        <v>31</v>
      </c>
      <c r="T194" s="6" t="s">
        <v>8805</v>
      </c>
      <c r="U194" s="6">
        <f>13%</f>
        <v>0.13</v>
      </c>
      <c r="V194" s="5" t="s">
        <v>8806</v>
      </c>
      <c r="W194" s="5" t="s">
        <v>8807</v>
      </c>
      <c r="X194" s="5" t="s">
        <v>8808</v>
      </c>
      <c r="Y194" s="5" t="s">
        <v>8809</v>
      </c>
      <c r="Z194" s="6"/>
      <c r="AA194" s="6"/>
      <c r="AB194" s="6"/>
      <c r="AC194" s="6"/>
      <c r="AD194" s="7"/>
    </row>
    <row r="195" spans="1:30" ht="15.6" x14ac:dyDescent="0.3">
      <c r="A195" s="4">
        <v>194</v>
      </c>
      <c r="B195" s="5" t="s">
        <v>8810</v>
      </c>
      <c r="C195" s="6" t="s">
        <v>291</v>
      </c>
      <c r="D195" s="5" t="s">
        <v>8811</v>
      </c>
      <c r="E195" s="5" t="s">
        <v>48</v>
      </c>
      <c r="F195" s="6" t="s">
        <v>8812</v>
      </c>
      <c r="G195" s="6" t="s">
        <v>8813</v>
      </c>
      <c r="H195" s="6" t="s">
        <v>1048</v>
      </c>
      <c r="I195" s="8">
        <v>-0.75</v>
      </c>
      <c r="J195" s="6" t="s">
        <v>3435</v>
      </c>
      <c r="K195" s="6" t="s">
        <v>8814</v>
      </c>
      <c r="L195" s="8">
        <v>-0.34</v>
      </c>
      <c r="M195" s="6" t="s">
        <v>8815</v>
      </c>
      <c r="N195" s="8">
        <v>-0.34</v>
      </c>
      <c r="O195" s="6" t="s">
        <v>8816</v>
      </c>
      <c r="P195" s="6" t="s">
        <v>8817</v>
      </c>
      <c r="Q195" s="6">
        <f>0.0034</f>
        <v>3.3999999999999998E-3</v>
      </c>
      <c r="R195" s="6" t="s">
        <v>8818</v>
      </c>
      <c r="S195" s="6">
        <v>29</v>
      </c>
      <c r="T195" s="6" t="s">
        <v>8258</v>
      </c>
      <c r="U195" s="8">
        <v>-0.61</v>
      </c>
      <c r="V195" s="6"/>
      <c r="W195" s="6"/>
      <c r="X195" s="6"/>
      <c r="Y195" s="6"/>
      <c r="Z195" s="6"/>
      <c r="AA195" s="6"/>
      <c r="AB195" s="6"/>
      <c r="AC195" s="6"/>
      <c r="AD195" s="7"/>
    </row>
    <row r="196" spans="1:30" ht="15.6" x14ac:dyDescent="0.3">
      <c r="A196" s="4">
        <v>195</v>
      </c>
      <c r="B196" s="5" t="s">
        <v>8819</v>
      </c>
      <c r="C196" s="6" t="s">
        <v>60</v>
      </c>
      <c r="D196" s="5" t="s">
        <v>8820</v>
      </c>
      <c r="E196" s="5" t="s">
        <v>33</v>
      </c>
      <c r="F196" s="6" t="s">
        <v>8821</v>
      </c>
      <c r="G196" s="6" t="s">
        <v>8822</v>
      </c>
      <c r="H196" s="6" t="s">
        <v>1048</v>
      </c>
      <c r="I196" s="6" t="s">
        <v>3602</v>
      </c>
      <c r="J196" s="6" t="s">
        <v>250</v>
      </c>
      <c r="K196" s="6" t="s">
        <v>8823</v>
      </c>
      <c r="L196" s="6">
        <f>13%</f>
        <v>0.13</v>
      </c>
      <c r="M196" s="6" t="s">
        <v>8824</v>
      </c>
      <c r="N196" s="6">
        <f>13%</f>
        <v>0.13</v>
      </c>
      <c r="O196" s="6" t="s">
        <v>5037</v>
      </c>
      <c r="P196" s="6" t="s">
        <v>1485</v>
      </c>
      <c r="Q196" s="6">
        <f>0.0045</f>
        <v>4.4999999999999997E-3</v>
      </c>
      <c r="R196" s="6">
        <v>28</v>
      </c>
      <c r="S196" s="6">
        <v>0</v>
      </c>
      <c r="T196" s="6">
        <v>120</v>
      </c>
      <c r="U196" s="6" t="s">
        <v>9262</v>
      </c>
      <c r="V196" s="5" t="s">
        <v>8825</v>
      </c>
      <c r="W196" s="5" t="s">
        <v>8826</v>
      </c>
      <c r="X196" s="5" t="s">
        <v>8827</v>
      </c>
      <c r="Y196" s="5" t="s">
        <v>8828</v>
      </c>
      <c r="Z196" s="6"/>
      <c r="AA196" s="6"/>
      <c r="AB196" s="6"/>
      <c r="AC196" s="6"/>
      <c r="AD196" s="7"/>
    </row>
    <row r="197" spans="1:30" ht="15.6" x14ac:dyDescent="0.3">
      <c r="A197" s="4">
        <v>196</v>
      </c>
      <c r="B197" s="5" t="s">
        <v>8829</v>
      </c>
      <c r="C197" s="6" t="s">
        <v>370</v>
      </c>
      <c r="D197" s="5" t="s">
        <v>8830</v>
      </c>
      <c r="E197" s="5" t="s">
        <v>48</v>
      </c>
      <c r="F197" s="6" t="s">
        <v>4191</v>
      </c>
      <c r="G197" s="6" t="s">
        <v>8831</v>
      </c>
      <c r="H197" s="6" t="s">
        <v>1048</v>
      </c>
      <c r="I197" s="8">
        <v>-0.1</v>
      </c>
      <c r="J197" s="6" t="s">
        <v>596</v>
      </c>
      <c r="K197" s="6" t="s">
        <v>8832</v>
      </c>
      <c r="L197" s="6" t="s">
        <v>217</v>
      </c>
      <c r="M197" s="6" t="s">
        <v>8833</v>
      </c>
      <c r="N197" s="6">
        <f>31%</f>
        <v>0.31</v>
      </c>
      <c r="O197" s="6" t="s">
        <v>8834</v>
      </c>
      <c r="P197" s="6" t="s">
        <v>8835</v>
      </c>
      <c r="Q197" s="6">
        <f>0.0025</f>
        <v>2.5000000000000001E-3</v>
      </c>
      <c r="R197" s="6" t="s">
        <v>8836</v>
      </c>
      <c r="S197" s="6">
        <v>73</v>
      </c>
      <c r="T197" s="6" t="s">
        <v>8837</v>
      </c>
      <c r="U197" s="6">
        <f>50%</f>
        <v>0.5</v>
      </c>
      <c r="V197" s="5" t="s">
        <v>8838</v>
      </c>
      <c r="W197" s="5" t="s">
        <v>8839</v>
      </c>
      <c r="X197" s="6"/>
      <c r="Y197" s="6"/>
      <c r="Z197" s="6"/>
      <c r="AA197" s="6"/>
      <c r="AB197" s="6"/>
      <c r="AC197" s="6"/>
      <c r="AD197" s="7"/>
    </row>
    <row r="198" spans="1:30" ht="15.6" x14ac:dyDescent="0.3">
      <c r="A198" s="4">
        <v>197</v>
      </c>
      <c r="B198" s="5" t="s">
        <v>8840</v>
      </c>
      <c r="C198" s="6" t="s">
        <v>267</v>
      </c>
      <c r="D198" s="5" t="s">
        <v>8841</v>
      </c>
      <c r="E198" s="5" t="s">
        <v>48</v>
      </c>
      <c r="F198" s="6" t="s">
        <v>8842</v>
      </c>
      <c r="G198" s="6" t="s">
        <v>8843</v>
      </c>
      <c r="H198" s="6" t="s">
        <v>1048</v>
      </c>
      <c r="I198" s="6" t="s">
        <v>730</v>
      </c>
      <c r="J198" s="6" t="s">
        <v>973</v>
      </c>
      <c r="K198" s="6" t="s">
        <v>3099</v>
      </c>
      <c r="L198" s="6" t="s">
        <v>217</v>
      </c>
      <c r="M198" s="6" t="s">
        <v>8844</v>
      </c>
      <c r="N198" s="6">
        <f>2%</f>
        <v>0.02</v>
      </c>
      <c r="O198" s="6" t="s">
        <v>5329</v>
      </c>
      <c r="P198" s="6" t="s">
        <v>8845</v>
      </c>
      <c r="Q198" s="6">
        <f>0.024</f>
        <v>2.4E-2</v>
      </c>
      <c r="R198" s="6">
        <v>342</v>
      </c>
      <c r="S198" s="6">
        <v>0</v>
      </c>
      <c r="T198" s="6">
        <v>917</v>
      </c>
      <c r="U198" s="6">
        <f>950%</f>
        <v>9.5</v>
      </c>
      <c r="V198" s="5" t="s">
        <v>8846</v>
      </c>
      <c r="W198" s="5" t="s">
        <v>8240</v>
      </c>
      <c r="X198" s="5" t="s">
        <v>8847</v>
      </c>
      <c r="Y198" s="5" t="s">
        <v>8240</v>
      </c>
      <c r="Z198" s="6"/>
      <c r="AA198" s="6"/>
      <c r="AB198" s="6"/>
      <c r="AC198" s="6"/>
      <c r="AD198" s="7"/>
    </row>
    <row r="199" spans="1:30" ht="15.6" x14ac:dyDescent="0.3">
      <c r="A199" s="4">
        <v>198</v>
      </c>
      <c r="B199" s="5" t="s">
        <v>8848</v>
      </c>
      <c r="C199" s="6" t="s">
        <v>31</v>
      </c>
      <c r="D199" s="5" t="s">
        <v>8849</v>
      </c>
      <c r="E199" s="5" t="s">
        <v>48</v>
      </c>
      <c r="F199" s="6" t="s">
        <v>8850</v>
      </c>
      <c r="G199" s="6" t="s">
        <v>8851</v>
      </c>
      <c r="H199" s="6" t="s">
        <v>1048</v>
      </c>
      <c r="I199" s="6" t="s">
        <v>8852</v>
      </c>
      <c r="J199" s="6" t="s">
        <v>798</v>
      </c>
      <c r="K199" s="6" t="s">
        <v>560</v>
      </c>
      <c r="L199" s="8">
        <v>-0.33</v>
      </c>
      <c r="M199" s="6" t="s">
        <v>8853</v>
      </c>
      <c r="N199" s="8">
        <v>-0.33</v>
      </c>
      <c r="O199" s="6" t="s">
        <v>8854</v>
      </c>
      <c r="P199" s="6" t="s">
        <v>8855</v>
      </c>
      <c r="Q199" s="6">
        <f>9.9%</f>
        <v>9.9000000000000005E-2</v>
      </c>
      <c r="R199" s="6" t="s">
        <v>8856</v>
      </c>
      <c r="S199" s="6">
        <v>33</v>
      </c>
      <c r="T199" s="6" t="s">
        <v>416</v>
      </c>
      <c r="U199" s="6">
        <f>120%</f>
        <v>1.2</v>
      </c>
      <c r="V199" s="5" t="s">
        <v>8857</v>
      </c>
      <c r="W199" s="5" t="s">
        <v>8858</v>
      </c>
      <c r="X199" s="6"/>
      <c r="Y199" s="6"/>
      <c r="Z199" s="6"/>
      <c r="AA199" s="6"/>
      <c r="AB199" s="6"/>
      <c r="AC199" s="6"/>
      <c r="AD199" s="7"/>
    </row>
    <row r="200" spans="1:30" ht="15.6" x14ac:dyDescent="0.3">
      <c r="A200" s="4">
        <v>199</v>
      </c>
      <c r="B200" s="5" t="s">
        <v>8859</v>
      </c>
      <c r="C200" s="6" t="s">
        <v>267</v>
      </c>
      <c r="D200" s="5" t="s">
        <v>8860</v>
      </c>
      <c r="E200" s="5" t="s">
        <v>33</v>
      </c>
      <c r="F200" s="6" t="s">
        <v>8861</v>
      </c>
      <c r="G200" s="6" t="s">
        <v>8862</v>
      </c>
      <c r="H200" s="6" t="s">
        <v>1048</v>
      </c>
      <c r="I200" s="8">
        <v>-0.99</v>
      </c>
      <c r="J200" s="6" t="s">
        <v>1600</v>
      </c>
      <c r="K200" s="6" t="s">
        <v>108</v>
      </c>
      <c r="L200" s="8">
        <v>-0.14000000000000001</v>
      </c>
      <c r="M200" s="6" t="s">
        <v>8863</v>
      </c>
      <c r="N200" s="8">
        <v>-0.14000000000000001</v>
      </c>
      <c r="O200" s="6" t="s">
        <v>8864</v>
      </c>
      <c r="P200" s="6" t="s">
        <v>8865</v>
      </c>
      <c r="Q200" s="6">
        <f>0.011</f>
        <v>1.0999999999999999E-2</v>
      </c>
      <c r="R200" s="6">
        <v>131</v>
      </c>
      <c r="S200" s="6">
        <v>0</v>
      </c>
      <c r="T200" s="6" t="s">
        <v>8866</v>
      </c>
      <c r="U200" s="8">
        <v>-0.88</v>
      </c>
      <c r="V200" s="5" t="s">
        <v>8867</v>
      </c>
      <c r="W200" s="5" t="s">
        <v>8868</v>
      </c>
      <c r="X200" s="6"/>
      <c r="Y200" s="6"/>
      <c r="Z200" s="6"/>
      <c r="AA200" s="6"/>
      <c r="AB200" s="6"/>
      <c r="AC200" s="6"/>
      <c r="AD200" s="7"/>
    </row>
    <row r="201" spans="1:30" ht="15.6" x14ac:dyDescent="0.3">
      <c r="A201" s="4">
        <v>200</v>
      </c>
      <c r="B201" s="5" t="s">
        <v>8869</v>
      </c>
      <c r="C201" s="6" t="s">
        <v>370</v>
      </c>
      <c r="D201" s="5" t="s">
        <v>8870</v>
      </c>
      <c r="E201" s="5" t="s">
        <v>48</v>
      </c>
      <c r="F201" s="6" t="s">
        <v>8871</v>
      </c>
      <c r="G201" s="6" t="s">
        <v>8872</v>
      </c>
      <c r="H201" s="6" t="s">
        <v>1048</v>
      </c>
      <c r="I201" s="6" t="s">
        <v>295</v>
      </c>
      <c r="J201" s="6" t="s">
        <v>3435</v>
      </c>
      <c r="K201" s="6" t="s">
        <v>8873</v>
      </c>
      <c r="L201" s="8">
        <v>-0.02</v>
      </c>
      <c r="M201" s="6" t="s">
        <v>8874</v>
      </c>
      <c r="N201" s="8">
        <v>-0.02</v>
      </c>
      <c r="O201" s="6" t="s">
        <v>8875</v>
      </c>
      <c r="P201" s="6" t="s">
        <v>8876</v>
      </c>
      <c r="Q201" s="8">
        <v>-0.37</v>
      </c>
      <c r="R201" s="6" t="s">
        <v>8877</v>
      </c>
      <c r="S201" s="6">
        <v>312</v>
      </c>
      <c r="T201" s="6" t="s">
        <v>1233</v>
      </c>
      <c r="U201" s="8">
        <v>-0.38</v>
      </c>
      <c r="V201" s="5" t="s">
        <v>8878</v>
      </c>
      <c r="W201" s="5" t="s">
        <v>8879</v>
      </c>
      <c r="X201" s="6"/>
      <c r="Y201" s="6"/>
      <c r="Z201" s="6"/>
      <c r="AA201" s="6"/>
      <c r="AB201" s="6"/>
      <c r="AC201" s="6"/>
      <c r="AD201" s="7"/>
    </row>
    <row r="202" spans="1:30" ht="15.6" x14ac:dyDescent="0.3">
      <c r="A202" s="4">
        <v>201</v>
      </c>
      <c r="B202" s="5" t="s">
        <v>8880</v>
      </c>
      <c r="C202" s="6" t="s">
        <v>370</v>
      </c>
      <c r="D202" s="5" t="s">
        <v>8881</v>
      </c>
      <c r="E202" s="5" t="s">
        <v>33</v>
      </c>
      <c r="F202" s="6" t="s">
        <v>8882</v>
      </c>
      <c r="G202" s="6" t="s">
        <v>8883</v>
      </c>
      <c r="H202" s="6" t="s">
        <v>1048</v>
      </c>
      <c r="I202" s="6" t="s">
        <v>8884</v>
      </c>
      <c r="J202" s="6" t="s">
        <v>3435</v>
      </c>
      <c r="K202" s="6" t="s">
        <v>8885</v>
      </c>
      <c r="L202" s="6">
        <f>13%</f>
        <v>0.13</v>
      </c>
      <c r="M202" s="6" t="s">
        <v>8886</v>
      </c>
      <c r="N202" s="6">
        <f>13%</f>
        <v>0.13</v>
      </c>
      <c r="O202" s="6" t="s">
        <v>8887</v>
      </c>
      <c r="P202" s="6" t="s">
        <v>112</v>
      </c>
      <c r="Q202" s="6">
        <f>75%</f>
        <v>0.75</v>
      </c>
      <c r="R202" s="6" t="s">
        <v>8888</v>
      </c>
      <c r="S202" s="6">
        <v>4</v>
      </c>
      <c r="T202" s="6" t="s">
        <v>8889</v>
      </c>
      <c r="U202" s="6">
        <f>380%</f>
        <v>3.8</v>
      </c>
      <c r="V202" s="5" t="s">
        <v>8890</v>
      </c>
      <c r="W202" s="5" t="s">
        <v>8891</v>
      </c>
      <c r="X202" s="6"/>
      <c r="Y202" s="6"/>
      <c r="Z202" s="6"/>
      <c r="AA202" s="6"/>
      <c r="AB202" s="6"/>
      <c r="AC202" s="6"/>
      <c r="AD202" s="7"/>
    </row>
    <row r="203" spans="1:30" ht="15.6" x14ac:dyDescent="0.3">
      <c r="A203" s="4">
        <v>202</v>
      </c>
      <c r="B203" s="5" t="s">
        <v>8892</v>
      </c>
      <c r="C203" s="6" t="s">
        <v>85</v>
      </c>
      <c r="D203" s="5" t="s">
        <v>8893</v>
      </c>
      <c r="E203" s="5" t="s">
        <v>33</v>
      </c>
      <c r="F203" s="6" t="s">
        <v>8894</v>
      </c>
      <c r="G203" s="6" t="s">
        <v>8895</v>
      </c>
      <c r="H203" s="6" t="s">
        <v>1048</v>
      </c>
      <c r="I203" s="6" t="s">
        <v>8896</v>
      </c>
      <c r="J203" s="6" t="s">
        <v>798</v>
      </c>
      <c r="K203" s="6" t="s">
        <v>8897</v>
      </c>
      <c r="L203" s="6">
        <f>5.7%</f>
        <v>5.7000000000000002E-2</v>
      </c>
      <c r="M203" s="6" t="s">
        <v>8898</v>
      </c>
      <c r="N203" s="6">
        <f>5.7%</f>
        <v>5.7000000000000002E-2</v>
      </c>
      <c r="O203" s="6" t="s">
        <v>8899</v>
      </c>
      <c r="P203" s="6" t="s">
        <v>8900</v>
      </c>
      <c r="Q203" s="8">
        <v>-0.4</v>
      </c>
      <c r="R203" s="6" t="s">
        <v>8901</v>
      </c>
      <c r="S203" s="6">
        <v>96</v>
      </c>
      <c r="T203" s="6">
        <v>907</v>
      </c>
      <c r="U203" s="8">
        <v>-0.26</v>
      </c>
      <c r="V203" s="6"/>
      <c r="W203" s="6"/>
      <c r="X203" s="6"/>
      <c r="Y203" s="6"/>
      <c r="Z203" s="6"/>
      <c r="AA203" s="6"/>
      <c r="AB203" s="6"/>
      <c r="AC203" s="6"/>
      <c r="AD203" s="7"/>
    </row>
    <row r="204" spans="1:30" ht="15.6" x14ac:dyDescent="0.3">
      <c r="A204" s="4">
        <v>203</v>
      </c>
      <c r="B204" s="5" t="s">
        <v>8902</v>
      </c>
      <c r="C204" s="6" t="s">
        <v>466</v>
      </c>
      <c r="D204" s="5" t="s">
        <v>8903</v>
      </c>
      <c r="E204" s="5" t="s">
        <v>48</v>
      </c>
      <c r="F204" s="6" t="s">
        <v>8904</v>
      </c>
      <c r="G204" s="6" t="s">
        <v>8905</v>
      </c>
      <c r="H204" s="6" t="s">
        <v>1048</v>
      </c>
      <c r="I204" s="8">
        <v>-0.28999999999999998</v>
      </c>
      <c r="J204" s="6" t="s">
        <v>667</v>
      </c>
      <c r="K204" s="6" t="s">
        <v>8906</v>
      </c>
      <c r="L204" s="6">
        <f>13%</f>
        <v>0.13</v>
      </c>
      <c r="M204" s="6" t="s">
        <v>8907</v>
      </c>
      <c r="N204" s="6">
        <f>320%</f>
        <v>3.2</v>
      </c>
      <c r="O204" s="6" t="s">
        <v>8908</v>
      </c>
      <c r="P204" s="6" t="s">
        <v>8909</v>
      </c>
      <c r="Q204" s="6">
        <f>0.019</f>
        <v>1.9E-2</v>
      </c>
      <c r="R204" s="6" t="s">
        <v>8910</v>
      </c>
      <c r="S204" s="6">
        <v>4</v>
      </c>
      <c r="T204" s="6" t="s">
        <v>8911</v>
      </c>
      <c r="U204" s="6" t="s">
        <v>9262</v>
      </c>
      <c r="V204" s="5" t="s">
        <v>8912</v>
      </c>
      <c r="W204" s="5" t="s">
        <v>8913</v>
      </c>
      <c r="X204" s="6"/>
      <c r="Y204" s="6"/>
      <c r="Z204" s="6"/>
      <c r="AA204" s="6"/>
      <c r="AB204" s="6"/>
      <c r="AC204" s="6"/>
      <c r="AD204" s="7"/>
    </row>
    <row r="205" spans="1:30" ht="15.6" x14ac:dyDescent="0.3">
      <c r="A205" s="4">
        <v>204</v>
      </c>
      <c r="B205" s="5" t="s">
        <v>8914</v>
      </c>
      <c r="C205" s="6" t="s">
        <v>72</v>
      </c>
      <c r="D205" s="5" t="s">
        <v>8915</v>
      </c>
      <c r="E205" s="5" t="s">
        <v>48</v>
      </c>
      <c r="F205" s="6" t="s">
        <v>8916</v>
      </c>
      <c r="G205" s="6" t="s">
        <v>8917</v>
      </c>
      <c r="H205" s="6" t="s">
        <v>1048</v>
      </c>
      <c r="I205" s="6" t="s">
        <v>1548</v>
      </c>
      <c r="J205" s="6" t="s">
        <v>1071</v>
      </c>
      <c r="K205" s="6" t="s">
        <v>8918</v>
      </c>
      <c r="L205" s="6" t="s">
        <v>217</v>
      </c>
      <c r="M205" s="6" t="s">
        <v>8919</v>
      </c>
      <c r="N205" s="6" t="s">
        <v>8920</v>
      </c>
      <c r="O205" s="6" t="s">
        <v>8921</v>
      </c>
      <c r="P205" s="6" t="s">
        <v>8922</v>
      </c>
      <c r="Q205" s="6">
        <f>53%</f>
        <v>0.53</v>
      </c>
      <c r="R205" s="6" t="s">
        <v>8923</v>
      </c>
      <c r="S205" s="6">
        <v>108</v>
      </c>
      <c r="T205" s="6" t="s">
        <v>2372</v>
      </c>
      <c r="U205" s="6" t="s">
        <v>1593</v>
      </c>
      <c r="V205" s="6"/>
      <c r="W205" s="6"/>
      <c r="X205" s="6"/>
      <c r="Y205" s="6"/>
      <c r="Z205" s="6"/>
      <c r="AA205" s="6"/>
      <c r="AB205" s="6"/>
      <c r="AC205" s="6"/>
      <c r="AD205" s="7"/>
    </row>
    <row r="206" spans="1:30" ht="15.6" x14ac:dyDescent="0.3">
      <c r="A206" s="4">
        <v>205</v>
      </c>
      <c r="B206" s="5" t="s">
        <v>8924</v>
      </c>
      <c r="C206" s="6" t="s">
        <v>72</v>
      </c>
      <c r="D206" s="5" t="s">
        <v>8925</v>
      </c>
      <c r="E206" s="5" t="s">
        <v>48</v>
      </c>
      <c r="F206" s="6" t="s">
        <v>8926</v>
      </c>
      <c r="G206" s="6" t="s">
        <v>8927</v>
      </c>
      <c r="H206" s="6" t="s">
        <v>1048</v>
      </c>
      <c r="I206" s="6" t="s">
        <v>8928</v>
      </c>
      <c r="J206" s="6" t="s">
        <v>250</v>
      </c>
      <c r="K206" s="6" t="s">
        <v>8929</v>
      </c>
      <c r="L206" s="8">
        <v>-0.44</v>
      </c>
      <c r="M206" s="6" t="s">
        <v>8930</v>
      </c>
      <c r="N206" s="8">
        <v>-0.44</v>
      </c>
      <c r="O206" s="6" t="s">
        <v>8931</v>
      </c>
      <c r="P206" s="6" t="s">
        <v>8932</v>
      </c>
      <c r="Q206" s="6">
        <f>5.7%</f>
        <v>5.7000000000000002E-2</v>
      </c>
      <c r="R206" s="6" t="s">
        <v>8933</v>
      </c>
      <c r="S206" s="6">
        <v>32</v>
      </c>
      <c r="T206" s="6" t="s">
        <v>8934</v>
      </c>
      <c r="U206" s="8">
        <v>-0.15</v>
      </c>
      <c r="V206" s="6"/>
      <c r="W206" s="6"/>
      <c r="X206" s="6"/>
      <c r="Y206" s="6"/>
      <c r="Z206" s="6"/>
      <c r="AA206" s="6"/>
      <c r="AB206" s="6"/>
      <c r="AC206" s="6"/>
      <c r="AD206" s="7"/>
    </row>
    <row r="207" spans="1:30" ht="15.6" x14ac:dyDescent="0.3">
      <c r="A207" s="4">
        <v>206</v>
      </c>
      <c r="B207" s="5" t="s">
        <v>8935</v>
      </c>
      <c r="C207" s="6" t="s">
        <v>291</v>
      </c>
      <c r="D207" s="5" t="s">
        <v>8936</v>
      </c>
      <c r="E207" s="5" t="s">
        <v>48</v>
      </c>
      <c r="F207" s="6" t="s">
        <v>8937</v>
      </c>
      <c r="G207" s="6" t="s">
        <v>8938</v>
      </c>
      <c r="H207" s="6" t="s">
        <v>1048</v>
      </c>
      <c r="I207" s="6" t="s">
        <v>617</v>
      </c>
      <c r="J207" s="6" t="s">
        <v>1110</v>
      </c>
      <c r="K207" s="6" t="s">
        <v>5398</v>
      </c>
      <c r="L207" s="6">
        <f>100%</f>
        <v>1</v>
      </c>
      <c r="M207" s="6" t="s">
        <v>8939</v>
      </c>
      <c r="N207" s="6">
        <f>100%</f>
        <v>1</v>
      </c>
      <c r="O207" s="6" t="s">
        <v>8940</v>
      </c>
      <c r="P207" s="6" t="s">
        <v>8941</v>
      </c>
      <c r="Q207" s="6">
        <f>39%</f>
        <v>0.39</v>
      </c>
      <c r="R207" s="6" t="s">
        <v>8942</v>
      </c>
      <c r="S207" s="6">
        <v>77</v>
      </c>
      <c r="T207" s="6" t="s">
        <v>5243</v>
      </c>
      <c r="U207" s="6">
        <f>10%</f>
        <v>0.1</v>
      </c>
      <c r="V207" s="6"/>
      <c r="W207" s="6"/>
      <c r="X207" s="6"/>
      <c r="Y207" s="6"/>
      <c r="Z207" s="6"/>
      <c r="AA207" s="6"/>
      <c r="AB207" s="6"/>
      <c r="AC207" s="6"/>
      <c r="AD207" s="7"/>
    </row>
    <row r="208" spans="1:30" ht="15.6" x14ac:dyDescent="0.3">
      <c r="A208" s="4">
        <v>207</v>
      </c>
      <c r="B208" s="5" t="s">
        <v>8943</v>
      </c>
      <c r="C208" s="6" t="s">
        <v>370</v>
      </c>
      <c r="D208" s="5" t="s">
        <v>8944</v>
      </c>
      <c r="E208" s="5" t="s">
        <v>162</v>
      </c>
      <c r="F208" s="6" t="s">
        <v>8945</v>
      </c>
      <c r="G208" s="6" t="s">
        <v>8946</v>
      </c>
      <c r="H208" s="6" t="s">
        <v>1048</v>
      </c>
      <c r="I208" s="6" t="s">
        <v>806</v>
      </c>
      <c r="J208" s="6" t="s">
        <v>1491</v>
      </c>
      <c r="K208" s="6" t="s">
        <v>1196</v>
      </c>
      <c r="L208" s="6" t="s">
        <v>217</v>
      </c>
      <c r="M208" s="6" t="s">
        <v>8947</v>
      </c>
      <c r="N208" s="6" t="s">
        <v>2442</v>
      </c>
      <c r="O208" s="6" t="s">
        <v>8948</v>
      </c>
      <c r="P208" s="6" t="s">
        <v>8949</v>
      </c>
      <c r="Q208" s="6">
        <f>0.065%</f>
        <v>6.4999999999999997E-4</v>
      </c>
      <c r="R208" s="6" t="s">
        <v>8950</v>
      </c>
      <c r="S208" s="6">
        <v>119</v>
      </c>
      <c r="T208" s="6" t="s">
        <v>8951</v>
      </c>
      <c r="U208" s="8">
        <v>-0.11</v>
      </c>
      <c r="V208" s="6"/>
      <c r="W208" s="6"/>
      <c r="X208" s="6"/>
      <c r="Y208" s="6"/>
      <c r="Z208" s="6"/>
      <c r="AA208" s="6"/>
      <c r="AB208" s="6"/>
      <c r="AC208" s="6"/>
      <c r="AD208" s="7"/>
    </row>
    <row r="209" spans="1:30" ht="15.6" x14ac:dyDescent="0.3">
      <c r="A209" s="4">
        <v>208</v>
      </c>
      <c r="B209" s="5" t="s">
        <v>8952</v>
      </c>
      <c r="C209" s="6" t="s">
        <v>114</v>
      </c>
      <c r="D209" s="5" t="s">
        <v>8953</v>
      </c>
      <c r="E209" s="5" t="s">
        <v>48</v>
      </c>
      <c r="F209" s="6" t="s">
        <v>8954</v>
      </c>
      <c r="G209" s="6" t="s">
        <v>8955</v>
      </c>
      <c r="H209" s="6" t="s">
        <v>1048</v>
      </c>
      <c r="I209" s="8">
        <v>-0.03</v>
      </c>
      <c r="J209" s="6" t="s">
        <v>1479</v>
      </c>
      <c r="K209" s="6" t="s">
        <v>285</v>
      </c>
      <c r="L209" s="6">
        <f>26%</f>
        <v>0.26</v>
      </c>
      <c r="M209" s="6" t="s">
        <v>8348</v>
      </c>
      <c r="N209" s="6">
        <f>26%</f>
        <v>0.26</v>
      </c>
      <c r="O209" s="6" t="s">
        <v>8956</v>
      </c>
      <c r="P209" s="6" t="s">
        <v>8957</v>
      </c>
      <c r="Q209" s="6">
        <f>0.014</f>
        <v>1.4E-2</v>
      </c>
      <c r="R209" s="6" t="s">
        <v>8958</v>
      </c>
      <c r="S209" s="6">
        <v>71</v>
      </c>
      <c r="T209" s="6" t="s">
        <v>3343</v>
      </c>
      <c r="U209" s="6">
        <f>290%</f>
        <v>2.9</v>
      </c>
      <c r="V209" s="6"/>
      <c r="W209" s="6"/>
      <c r="X209" s="6"/>
      <c r="Y209" s="6"/>
      <c r="Z209" s="6"/>
      <c r="AA209" s="6"/>
      <c r="AB209" s="6"/>
      <c r="AC209" s="6"/>
      <c r="AD209" s="7"/>
    </row>
    <row r="210" spans="1:30" ht="15.6" x14ac:dyDescent="0.3">
      <c r="A210" s="4">
        <v>209</v>
      </c>
      <c r="B210" s="5" t="s">
        <v>8959</v>
      </c>
      <c r="C210" s="6" t="s">
        <v>31</v>
      </c>
      <c r="D210" s="5" t="s">
        <v>8960</v>
      </c>
      <c r="E210" s="5" t="s">
        <v>33</v>
      </c>
      <c r="F210" s="6">
        <v>101</v>
      </c>
      <c r="G210" s="6" t="s">
        <v>8961</v>
      </c>
      <c r="H210" s="6" t="s">
        <v>1048</v>
      </c>
      <c r="I210" s="6" t="s">
        <v>1975</v>
      </c>
      <c r="J210" s="6" t="s">
        <v>141</v>
      </c>
      <c r="K210" s="6" t="s">
        <v>7227</v>
      </c>
      <c r="L210" s="6">
        <f>370%</f>
        <v>3.7</v>
      </c>
      <c r="M210" s="6" t="s">
        <v>8962</v>
      </c>
      <c r="N210" s="6">
        <f>370%</f>
        <v>3.7</v>
      </c>
      <c r="O210" s="6" t="s">
        <v>8963</v>
      </c>
      <c r="P210" s="6" t="s">
        <v>8964</v>
      </c>
      <c r="Q210" s="6">
        <f>0.022</f>
        <v>2.1999999999999999E-2</v>
      </c>
      <c r="R210" s="6">
        <v>130</v>
      </c>
      <c r="S210" s="6">
        <v>2</v>
      </c>
      <c r="T210" s="6">
        <v>380</v>
      </c>
      <c r="U210" s="6" t="s">
        <v>9262</v>
      </c>
      <c r="V210" s="5" t="s">
        <v>8965</v>
      </c>
      <c r="W210" s="5" t="s">
        <v>8966</v>
      </c>
      <c r="X210" s="5" t="s">
        <v>8967</v>
      </c>
      <c r="Y210" s="5" t="s">
        <v>8968</v>
      </c>
      <c r="Z210" s="6"/>
      <c r="AA210" s="6"/>
      <c r="AB210" s="6"/>
      <c r="AC210" s="6"/>
      <c r="AD210" s="7"/>
    </row>
    <row r="211" spans="1:30" ht="15.6" x14ac:dyDescent="0.3">
      <c r="A211" s="4">
        <v>210</v>
      </c>
      <c r="B211" s="5" t="s">
        <v>8969</v>
      </c>
      <c r="C211" s="6" t="s">
        <v>546</v>
      </c>
      <c r="D211" s="5" t="s">
        <v>8970</v>
      </c>
      <c r="E211" s="5" t="s">
        <v>162</v>
      </c>
      <c r="F211" s="6" t="s">
        <v>8971</v>
      </c>
      <c r="G211" s="6" t="s">
        <v>8972</v>
      </c>
      <c r="H211" s="6" t="s">
        <v>1048</v>
      </c>
      <c r="I211" s="8">
        <v>-0.83</v>
      </c>
      <c r="J211" s="6" t="s">
        <v>374</v>
      </c>
      <c r="K211" s="6" t="s">
        <v>8973</v>
      </c>
      <c r="L211" s="6" t="s">
        <v>217</v>
      </c>
      <c r="M211" s="6" t="s">
        <v>8974</v>
      </c>
      <c r="N211" s="6" t="s">
        <v>106</v>
      </c>
      <c r="O211" s="6" t="s">
        <v>8975</v>
      </c>
      <c r="P211" s="6" t="s">
        <v>8976</v>
      </c>
      <c r="Q211" s="6">
        <f>0.0035</f>
        <v>3.5000000000000001E-3</v>
      </c>
      <c r="R211" s="6" t="s">
        <v>8977</v>
      </c>
      <c r="S211" s="6">
        <v>71</v>
      </c>
      <c r="T211" s="6" t="s">
        <v>8978</v>
      </c>
      <c r="U211" s="6">
        <f>39%</f>
        <v>0.39</v>
      </c>
      <c r="V211" s="6"/>
      <c r="W211" s="6"/>
      <c r="X211" s="6"/>
      <c r="Y211" s="6"/>
      <c r="Z211" s="6"/>
      <c r="AA211" s="6"/>
      <c r="AB211" s="6"/>
      <c r="AC211" s="6"/>
      <c r="AD211" s="7"/>
    </row>
    <row r="212" spans="1:30" ht="15.6" x14ac:dyDescent="0.3">
      <c r="A212" s="4">
        <v>211</v>
      </c>
      <c r="B212" s="5" t="s">
        <v>8979</v>
      </c>
      <c r="C212" s="6" t="s">
        <v>219</v>
      </c>
      <c r="D212" s="5" t="s">
        <v>8980</v>
      </c>
      <c r="E212" s="5" t="s">
        <v>33</v>
      </c>
      <c r="F212" s="6" t="s">
        <v>8981</v>
      </c>
      <c r="G212" s="6" t="s">
        <v>8982</v>
      </c>
      <c r="H212" s="6" t="s">
        <v>1048</v>
      </c>
      <c r="I212" s="8">
        <v>-0.85</v>
      </c>
      <c r="J212" s="6" t="s">
        <v>332</v>
      </c>
      <c r="K212" s="6" t="s">
        <v>8983</v>
      </c>
      <c r="L212" s="8">
        <v>-0.28000000000000003</v>
      </c>
      <c r="M212" s="6" t="s">
        <v>8984</v>
      </c>
      <c r="N212" s="8">
        <v>-0.28000000000000003</v>
      </c>
      <c r="O212" s="6" t="s">
        <v>8985</v>
      </c>
      <c r="P212" s="6" t="s">
        <v>8986</v>
      </c>
      <c r="Q212" s="6">
        <f>0.012</f>
        <v>1.2E-2</v>
      </c>
      <c r="R212" s="6" t="s">
        <v>8987</v>
      </c>
      <c r="S212" s="6">
        <v>45</v>
      </c>
      <c r="T212" s="6" t="s">
        <v>8988</v>
      </c>
      <c r="U212" s="6">
        <f>130%</f>
        <v>1.3</v>
      </c>
      <c r="V212" s="6"/>
      <c r="W212" s="6"/>
      <c r="X212" s="6"/>
      <c r="Y212" s="6"/>
      <c r="Z212" s="6"/>
      <c r="AA212" s="6"/>
      <c r="AB212" s="6"/>
      <c r="AC212" s="6"/>
      <c r="AD212" s="7"/>
    </row>
    <row r="213" spans="1:30" ht="15.6" x14ac:dyDescent="0.3">
      <c r="A213" s="4">
        <v>212</v>
      </c>
      <c r="B213" s="5" t="s">
        <v>8989</v>
      </c>
      <c r="C213" s="6" t="s">
        <v>291</v>
      </c>
      <c r="D213" s="5" t="s">
        <v>8990</v>
      </c>
      <c r="E213" s="6"/>
      <c r="F213" s="6" t="s">
        <v>8991</v>
      </c>
      <c r="G213" s="6" t="s">
        <v>8992</v>
      </c>
      <c r="H213" s="6" t="s">
        <v>1048</v>
      </c>
      <c r="I213" s="8">
        <v>-0.33</v>
      </c>
      <c r="J213" s="6" t="s">
        <v>141</v>
      </c>
      <c r="K213" s="6" t="s">
        <v>799</v>
      </c>
      <c r="L213" s="6" t="s">
        <v>217</v>
      </c>
      <c r="M213" s="6" t="s">
        <v>800</v>
      </c>
      <c r="N213" s="6" t="s">
        <v>217</v>
      </c>
      <c r="O213" s="6" t="s">
        <v>800</v>
      </c>
      <c r="P213" s="6" t="s">
        <v>217</v>
      </c>
      <c r="Q213" s="6">
        <f>0.011</f>
        <v>1.0999999999999999E-2</v>
      </c>
      <c r="R213" s="6" t="s">
        <v>8993</v>
      </c>
      <c r="S213" s="6">
        <v>78</v>
      </c>
      <c r="T213" s="6" t="s">
        <v>217</v>
      </c>
      <c r="U213" s="6" t="s">
        <v>217</v>
      </c>
      <c r="V213" s="5" t="s">
        <v>8994</v>
      </c>
      <c r="W213" s="5" t="s">
        <v>8995</v>
      </c>
      <c r="X213" s="6"/>
      <c r="Y213" s="6"/>
      <c r="Z213" s="6"/>
      <c r="AA213" s="6"/>
      <c r="AB213" s="6"/>
      <c r="AC213" s="6"/>
      <c r="AD213" s="7"/>
    </row>
    <row r="214" spans="1:30" ht="15.6" x14ac:dyDescent="0.3">
      <c r="A214" s="4">
        <v>213</v>
      </c>
      <c r="B214" s="5" t="s">
        <v>8996</v>
      </c>
      <c r="C214" s="6" t="s">
        <v>148</v>
      </c>
      <c r="D214" s="5" t="s">
        <v>8997</v>
      </c>
      <c r="E214" s="5" t="s">
        <v>48</v>
      </c>
      <c r="F214" s="6" t="s">
        <v>8998</v>
      </c>
      <c r="G214" s="6" t="s">
        <v>8999</v>
      </c>
      <c r="H214" s="6" t="s">
        <v>1048</v>
      </c>
      <c r="I214" s="6" t="s">
        <v>8884</v>
      </c>
      <c r="J214" s="6" t="s">
        <v>731</v>
      </c>
      <c r="K214" s="6" t="s">
        <v>39</v>
      </c>
      <c r="L214" s="6">
        <f>33%</f>
        <v>0.33</v>
      </c>
      <c r="M214" s="6" t="s">
        <v>6292</v>
      </c>
      <c r="N214" s="6">
        <f>33%</f>
        <v>0.33</v>
      </c>
      <c r="O214" s="6" t="s">
        <v>9000</v>
      </c>
      <c r="P214" s="6" t="s">
        <v>9001</v>
      </c>
      <c r="Q214" s="8">
        <v>-0.2</v>
      </c>
      <c r="R214" s="6" t="s">
        <v>9002</v>
      </c>
      <c r="S214" s="6">
        <v>237</v>
      </c>
      <c r="T214" s="6" t="s">
        <v>9003</v>
      </c>
      <c r="U214" s="8">
        <v>-0.25</v>
      </c>
      <c r="V214" s="5" t="s">
        <v>6842</v>
      </c>
      <c r="W214" s="5" t="s">
        <v>6843</v>
      </c>
      <c r="X214" s="6"/>
      <c r="Y214" s="6"/>
      <c r="Z214" s="6"/>
      <c r="AA214" s="6"/>
      <c r="AB214" s="6"/>
      <c r="AC214" s="6"/>
      <c r="AD214" s="7"/>
    </row>
    <row r="215" spans="1:30" ht="15.6" x14ac:dyDescent="0.3">
      <c r="A215" s="4">
        <v>214</v>
      </c>
      <c r="B215" s="5" t="s">
        <v>9004</v>
      </c>
      <c r="C215" s="6" t="s">
        <v>31</v>
      </c>
      <c r="D215" s="5" t="s">
        <v>9005</v>
      </c>
      <c r="E215" s="6"/>
      <c r="F215" s="6" t="s">
        <v>9006</v>
      </c>
      <c r="G215" s="6" t="s">
        <v>9007</v>
      </c>
      <c r="H215" s="6" t="s">
        <v>1048</v>
      </c>
      <c r="I215" s="6" t="s">
        <v>7463</v>
      </c>
      <c r="J215" s="6" t="s">
        <v>411</v>
      </c>
      <c r="K215" s="6" t="s">
        <v>799</v>
      </c>
      <c r="L215" s="6" t="s">
        <v>217</v>
      </c>
      <c r="M215" s="6" t="s">
        <v>800</v>
      </c>
      <c r="N215" s="6" t="s">
        <v>217</v>
      </c>
      <c r="O215" s="6" t="s">
        <v>800</v>
      </c>
      <c r="P215" s="6" t="s">
        <v>217</v>
      </c>
      <c r="Q215" s="6" t="s">
        <v>217</v>
      </c>
      <c r="R215" s="6" t="s">
        <v>9008</v>
      </c>
      <c r="S215" s="6">
        <v>104</v>
      </c>
      <c r="T215" s="6" t="s">
        <v>217</v>
      </c>
      <c r="U215" s="6" t="s">
        <v>217</v>
      </c>
      <c r="V215" s="6"/>
      <c r="W215" s="6"/>
      <c r="X215" s="6"/>
      <c r="Y215" s="6"/>
      <c r="Z215" s="6"/>
      <c r="AA215" s="6"/>
      <c r="AB215" s="6"/>
      <c r="AC215" s="6"/>
      <c r="AD215" s="7"/>
    </row>
    <row r="216" spans="1:30" ht="15.6" x14ac:dyDescent="0.3">
      <c r="A216" s="4">
        <v>215</v>
      </c>
      <c r="B216" s="5" t="s">
        <v>9009</v>
      </c>
      <c r="C216" s="6" t="s">
        <v>1408</v>
      </c>
      <c r="D216" s="5" t="s">
        <v>9010</v>
      </c>
      <c r="E216" s="5" t="s">
        <v>48</v>
      </c>
      <c r="F216" s="6" t="s">
        <v>9011</v>
      </c>
      <c r="G216" s="6" t="s">
        <v>9012</v>
      </c>
      <c r="H216" s="6" t="s">
        <v>1048</v>
      </c>
      <c r="I216" s="6" t="s">
        <v>4747</v>
      </c>
      <c r="J216" s="6" t="s">
        <v>259</v>
      </c>
      <c r="K216" s="6" t="s">
        <v>9013</v>
      </c>
      <c r="L216" s="8">
        <v>-0.64</v>
      </c>
      <c r="M216" s="6" t="s">
        <v>9014</v>
      </c>
      <c r="N216" s="8">
        <v>-0.64</v>
      </c>
      <c r="O216" s="6" t="s">
        <v>3527</v>
      </c>
      <c r="P216" s="6" t="s">
        <v>6841</v>
      </c>
      <c r="Q216" s="6" t="s">
        <v>217</v>
      </c>
      <c r="R216" s="6" t="s">
        <v>9015</v>
      </c>
      <c r="S216" s="6">
        <v>20</v>
      </c>
      <c r="T216" s="6" t="s">
        <v>9016</v>
      </c>
      <c r="U216" s="6" t="s">
        <v>217</v>
      </c>
      <c r="V216" s="5" t="s">
        <v>9017</v>
      </c>
      <c r="W216" s="5" t="s">
        <v>9018</v>
      </c>
      <c r="X216" s="6"/>
      <c r="Y216" s="6"/>
      <c r="Z216" s="6"/>
      <c r="AA216" s="6"/>
      <c r="AB216" s="6"/>
      <c r="AC216" s="6"/>
      <c r="AD216" s="7"/>
    </row>
    <row r="217" spans="1:30" ht="15.6" x14ac:dyDescent="0.3">
      <c r="A217" s="4">
        <v>216</v>
      </c>
      <c r="B217" s="5" t="s">
        <v>9019</v>
      </c>
      <c r="C217" s="6" t="s">
        <v>267</v>
      </c>
      <c r="D217" s="5" t="s">
        <v>9020</v>
      </c>
      <c r="E217" s="6"/>
      <c r="F217" s="6" t="s">
        <v>9021</v>
      </c>
      <c r="G217" s="6" t="s">
        <v>9022</v>
      </c>
      <c r="H217" s="6" t="s">
        <v>1048</v>
      </c>
      <c r="I217" s="6">
        <f>380%</f>
        <v>3.8</v>
      </c>
      <c r="J217" s="6" t="s">
        <v>494</v>
      </c>
      <c r="K217" s="6" t="s">
        <v>799</v>
      </c>
      <c r="L217" s="6" t="s">
        <v>217</v>
      </c>
      <c r="M217" s="6" t="s">
        <v>800</v>
      </c>
      <c r="N217" s="6" t="s">
        <v>217</v>
      </c>
      <c r="O217" s="6" t="s">
        <v>800</v>
      </c>
      <c r="P217" s="6" t="s">
        <v>217</v>
      </c>
      <c r="Q217" s="6">
        <f>0.015</f>
        <v>1.4999999999999999E-2</v>
      </c>
      <c r="R217" s="6" t="s">
        <v>9023</v>
      </c>
      <c r="S217" s="6">
        <v>13</v>
      </c>
      <c r="T217" s="6" t="s">
        <v>217</v>
      </c>
      <c r="U217" s="6" t="s">
        <v>217</v>
      </c>
      <c r="V217" s="5" t="s">
        <v>9024</v>
      </c>
      <c r="W217" s="5" t="s">
        <v>9025</v>
      </c>
      <c r="X217" s="5" t="s">
        <v>9026</v>
      </c>
      <c r="Y217" s="5" t="s">
        <v>9025</v>
      </c>
      <c r="Z217" s="6"/>
      <c r="AA217" s="6"/>
      <c r="AB217" s="6"/>
      <c r="AC217" s="6"/>
      <c r="AD217" s="7"/>
    </row>
    <row r="218" spans="1:30" ht="15.6" x14ac:dyDescent="0.3">
      <c r="A218" s="4">
        <v>217</v>
      </c>
      <c r="B218" s="5" t="s">
        <v>9027</v>
      </c>
      <c r="C218" s="6" t="s">
        <v>173</v>
      </c>
      <c r="D218" s="5" t="s">
        <v>9028</v>
      </c>
      <c r="E218" s="5" t="s">
        <v>48</v>
      </c>
      <c r="F218" s="6" t="s">
        <v>9029</v>
      </c>
      <c r="G218" s="6" t="s">
        <v>9030</v>
      </c>
      <c r="H218" s="6" t="s">
        <v>1048</v>
      </c>
      <c r="I218" s="6" t="s">
        <v>6501</v>
      </c>
      <c r="J218" s="6" t="s">
        <v>798</v>
      </c>
      <c r="K218" s="6" t="s">
        <v>9031</v>
      </c>
      <c r="L218" s="6" t="s">
        <v>9032</v>
      </c>
      <c r="M218" s="6" t="s">
        <v>9033</v>
      </c>
      <c r="N218" s="6" t="s">
        <v>9032</v>
      </c>
      <c r="O218" s="6" t="s">
        <v>2931</v>
      </c>
      <c r="P218" s="6" t="s">
        <v>9034</v>
      </c>
      <c r="Q218" s="8">
        <v>-0.18</v>
      </c>
      <c r="R218" s="6" t="s">
        <v>9035</v>
      </c>
      <c r="S218" s="6">
        <v>311</v>
      </c>
      <c r="T218" s="6" t="s">
        <v>9036</v>
      </c>
      <c r="U218" s="8">
        <v>-0.49</v>
      </c>
      <c r="V218" s="5" t="s">
        <v>6509</v>
      </c>
      <c r="W218" s="5" t="s">
        <v>6510</v>
      </c>
      <c r="X218" s="6"/>
      <c r="Y218" s="6"/>
      <c r="Z218" s="6"/>
      <c r="AA218" s="6"/>
      <c r="AB218" s="6"/>
      <c r="AC218" s="6"/>
      <c r="AD218" s="7"/>
    </row>
    <row r="219" spans="1:30" ht="15.6" x14ac:dyDescent="0.3">
      <c r="A219" s="4">
        <v>218</v>
      </c>
      <c r="B219" s="5" t="s">
        <v>9037</v>
      </c>
      <c r="C219" s="6" t="s">
        <v>1013</v>
      </c>
      <c r="D219" s="5" t="s">
        <v>9038</v>
      </c>
      <c r="E219" s="5" t="s">
        <v>48</v>
      </c>
      <c r="F219" s="6" t="s">
        <v>9039</v>
      </c>
      <c r="G219" s="6" t="s">
        <v>9040</v>
      </c>
      <c r="H219" s="6" t="s">
        <v>1048</v>
      </c>
      <c r="I219" s="8">
        <v>-0.69</v>
      </c>
      <c r="J219" s="6" t="s">
        <v>596</v>
      </c>
      <c r="K219" s="6" t="s">
        <v>7915</v>
      </c>
      <c r="L219" s="6" t="s">
        <v>1975</v>
      </c>
      <c r="M219" s="6" t="s">
        <v>8280</v>
      </c>
      <c r="N219" s="6" t="s">
        <v>1975</v>
      </c>
      <c r="O219" s="6" t="s">
        <v>9041</v>
      </c>
      <c r="P219" s="6" t="s">
        <v>9042</v>
      </c>
      <c r="Q219" s="6">
        <f>0.0092</f>
        <v>9.1999999999999998E-3</v>
      </c>
      <c r="R219" s="6" t="s">
        <v>9043</v>
      </c>
      <c r="S219" s="6">
        <v>100</v>
      </c>
      <c r="T219" s="6" t="s">
        <v>416</v>
      </c>
      <c r="U219" s="6">
        <f>0.68%</f>
        <v>6.8000000000000005E-3</v>
      </c>
      <c r="V219" s="5" t="s">
        <v>9044</v>
      </c>
      <c r="W219" s="5" t="s">
        <v>9045</v>
      </c>
      <c r="X219" s="6"/>
      <c r="Y219" s="6"/>
      <c r="Z219" s="6"/>
      <c r="AA219" s="6"/>
      <c r="AB219" s="6"/>
      <c r="AC219" s="6"/>
      <c r="AD219" s="7"/>
    </row>
    <row r="220" spans="1:30" ht="15.6" x14ac:dyDescent="0.3">
      <c r="A220" s="4">
        <v>219</v>
      </c>
      <c r="B220" s="5" t="s">
        <v>9046</v>
      </c>
      <c r="C220" s="6" t="s">
        <v>370</v>
      </c>
      <c r="D220" s="5" t="s">
        <v>9047</v>
      </c>
      <c r="E220" s="5" t="s">
        <v>48</v>
      </c>
      <c r="F220" s="6" t="s">
        <v>9048</v>
      </c>
      <c r="G220" s="6" t="s">
        <v>9049</v>
      </c>
      <c r="H220" s="6" t="s">
        <v>1048</v>
      </c>
      <c r="I220" s="6" t="s">
        <v>7135</v>
      </c>
      <c r="J220" s="6" t="s">
        <v>973</v>
      </c>
      <c r="K220" s="6" t="s">
        <v>3035</v>
      </c>
      <c r="L220" s="8">
        <v>-0.2</v>
      </c>
      <c r="M220" s="6" t="s">
        <v>9050</v>
      </c>
      <c r="N220" s="8">
        <v>-0.2</v>
      </c>
      <c r="O220" s="6" t="s">
        <v>9051</v>
      </c>
      <c r="P220" s="6" t="s">
        <v>9052</v>
      </c>
      <c r="Q220" s="6">
        <f>27%</f>
        <v>0.27</v>
      </c>
      <c r="R220" s="6" t="s">
        <v>9053</v>
      </c>
      <c r="S220" s="6">
        <v>175</v>
      </c>
      <c r="T220" s="6" t="s">
        <v>9054</v>
      </c>
      <c r="U220" s="8">
        <v>-0.17</v>
      </c>
      <c r="V220" s="5" t="s">
        <v>9055</v>
      </c>
      <c r="W220" s="5" t="s">
        <v>9056</v>
      </c>
      <c r="X220" s="6"/>
      <c r="Y220" s="6"/>
      <c r="Z220" s="6"/>
      <c r="AA220" s="6"/>
      <c r="AB220" s="6"/>
      <c r="AC220" s="6"/>
      <c r="AD220" s="7"/>
    </row>
    <row r="221" spans="1:30" ht="15.6" x14ac:dyDescent="0.3">
      <c r="A221" s="4">
        <v>220</v>
      </c>
      <c r="B221" s="5" t="s">
        <v>9057</v>
      </c>
      <c r="C221" s="6" t="s">
        <v>114</v>
      </c>
      <c r="D221" s="5" t="s">
        <v>9058</v>
      </c>
      <c r="E221" s="5" t="s">
        <v>33</v>
      </c>
      <c r="F221" s="6" t="s">
        <v>2042</v>
      </c>
      <c r="G221" s="6" t="s">
        <v>9059</v>
      </c>
      <c r="H221" s="6" t="s">
        <v>1048</v>
      </c>
      <c r="I221" s="8">
        <v>-0.55000000000000004</v>
      </c>
      <c r="J221" s="6" t="s">
        <v>442</v>
      </c>
      <c r="K221" s="6" t="s">
        <v>6711</v>
      </c>
      <c r="L221" s="8">
        <v>-0.47</v>
      </c>
      <c r="M221" s="6" t="s">
        <v>9060</v>
      </c>
      <c r="N221" s="8">
        <v>-0.47</v>
      </c>
      <c r="O221" s="6" t="s">
        <v>9061</v>
      </c>
      <c r="P221" s="6" t="s">
        <v>1953</v>
      </c>
      <c r="Q221" s="6">
        <f>0.014</f>
        <v>1.4E-2</v>
      </c>
      <c r="R221" s="6">
        <v>870</v>
      </c>
      <c r="S221" s="6">
        <v>11</v>
      </c>
      <c r="T221" s="6" t="s">
        <v>9062</v>
      </c>
      <c r="U221" s="8">
        <v>-0.11</v>
      </c>
      <c r="V221" s="6"/>
      <c r="W221" s="6"/>
      <c r="X221" s="6"/>
      <c r="Y221" s="6"/>
      <c r="Z221" s="6"/>
      <c r="AA221" s="6"/>
      <c r="AB221" s="6"/>
      <c r="AC221" s="6"/>
      <c r="AD221" s="7"/>
    </row>
    <row r="222" spans="1:30" ht="15.6" x14ac:dyDescent="0.3">
      <c r="A222" s="4">
        <v>221</v>
      </c>
      <c r="B222" s="5" t="s">
        <v>9063</v>
      </c>
      <c r="C222" s="6" t="s">
        <v>173</v>
      </c>
      <c r="D222" s="5" t="s">
        <v>9064</v>
      </c>
      <c r="E222" s="5" t="s">
        <v>48</v>
      </c>
      <c r="F222" s="6" t="s">
        <v>9065</v>
      </c>
      <c r="G222" s="6" t="s">
        <v>9066</v>
      </c>
      <c r="H222" s="6" t="s">
        <v>1048</v>
      </c>
      <c r="I222" s="8">
        <v>-0.49</v>
      </c>
      <c r="J222" s="6" t="s">
        <v>1443</v>
      </c>
      <c r="K222" s="6" t="s">
        <v>1309</v>
      </c>
      <c r="L222" s="8">
        <v>-0.42</v>
      </c>
      <c r="M222" s="6" t="s">
        <v>9067</v>
      </c>
      <c r="N222" s="8">
        <v>-0.42</v>
      </c>
      <c r="O222" s="6" t="s">
        <v>4844</v>
      </c>
      <c r="P222" s="6" t="s">
        <v>1369</v>
      </c>
      <c r="Q222" s="6">
        <f>0.0013</f>
        <v>1.2999999999999999E-3</v>
      </c>
      <c r="R222" s="6" t="s">
        <v>9068</v>
      </c>
      <c r="S222" s="6">
        <v>18</v>
      </c>
      <c r="T222" s="6" t="s">
        <v>9069</v>
      </c>
      <c r="U222" s="8">
        <v>-0.3</v>
      </c>
      <c r="V222" s="5" t="s">
        <v>9070</v>
      </c>
      <c r="W222" s="5" t="s">
        <v>9071</v>
      </c>
      <c r="X222" s="6"/>
      <c r="Y222" s="6"/>
      <c r="Z222" s="6"/>
      <c r="AA222" s="6"/>
      <c r="AB222" s="6"/>
      <c r="AC222" s="6"/>
      <c r="AD222" s="7"/>
    </row>
    <row r="223" spans="1:30" ht="15.6" x14ac:dyDescent="0.3">
      <c r="A223" s="4">
        <v>222</v>
      </c>
      <c r="B223" s="5" t="s">
        <v>9072</v>
      </c>
      <c r="C223" s="6" t="s">
        <v>85</v>
      </c>
      <c r="D223" s="5" t="s">
        <v>9073</v>
      </c>
      <c r="E223" s="5" t="s">
        <v>33</v>
      </c>
      <c r="F223" s="6" t="s">
        <v>9074</v>
      </c>
      <c r="G223" s="6" t="s">
        <v>9075</v>
      </c>
      <c r="H223" s="6" t="s">
        <v>1048</v>
      </c>
      <c r="I223" s="8">
        <v>-0.22</v>
      </c>
      <c r="J223" s="6" t="s">
        <v>250</v>
      </c>
      <c r="K223" s="6" t="s">
        <v>9076</v>
      </c>
      <c r="L223" s="6">
        <f>8.1%</f>
        <v>8.1000000000000003E-2</v>
      </c>
      <c r="M223" s="6" t="s">
        <v>9077</v>
      </c>
      <c r="N223" s="6">
        <f>8.1%</f>
        <v>8.1000000000000003E-2</v>
      </c>
      <c r="O223" s="6" t="s">
        <v>9078</v>
      </c>
      <c r="P223" s="6" t="s">
        <v>9079</v>
      </c>
      <c r="Q223" s="6">
        <f>0.014</f>
        <v>1.4E-2</v>
      </c>
      <c r="R223" s="6">
        <v>738</v>
      </c>
      <c r="S223" s="6">
        <v>6</v>
      </c>
      <c r="T223" s="6" t="s">
        <v>977</v>
      </c>
      <c r="U223" s="6">
        <f>5.3%</f>
        <v>5.2999999999999999E-2</v>
      </c>
      <c r="V223" s="5" t="s">
        <v>9080</v>
      </c>
      <c r="W223" s="5" t="s">
        <v>9081</v>
      </c>
      <c r="X223" s="6"/>
      <c r="Y223" s="6"/>
      <c r="Z223" s="6"/>
      <c r="AA223" s="6"/>
      <c r="AB223" s="6"/>
      <c r="AC223" s="6"/>
      <c r="AD223" s="7"/>
    </row>
    <row r="224" spans="1:30" ht="15.6" x14ac:dyDescent="0.3">
      <c r="A224" s="4">
        <v>223</v>
      </c>
      <c r="B224" s="5" t="s">
        <v>9082</v>
      </c>
      <c r="C224" s="6" t="s">
        <v>126</v>
      </c>
      <c r="D224" s="5" t="s">
        <v>9083</v>
      </c>
      <c r="E224" s="5" t="s">
        <v>48</v>
      </c>
      <c r="F224" s="6" t="s">
        <v>9084</v>
      </c>
      <c r="G224" s="6" t="s">
        <v>9085</v>
      </c>
      <c r="H224" s="6" t="s">
        <v>1048</v>
      </c>
      <c r="I224" s="6" t="s">
        <v>9086</v>
      </c>
      <c r="J224" s="6" t="s">
        <v>225</v>
      </c>
      <c r="K224" s="6" t="s">
        <v>6980</v>
      </c>
      <c r="L224" s="6" t="s">
        <v>217</v>
      </c>
      <c r="M224" s="6" t="s">
        <v>9087</v>
      </c>
      <c r="N224" s="6">
        <f>0.0087%</f>
        <v>8.7000000000000001E-5</v>
      </c>
      <c r="O224" s="6" t="s">
        <v>9088</v>
      </c>
      <c r="P224" s="6" t="s">
        <v>9089</v>
      </c>
      <c r="Q224" s="8">
        <v>-0.38</v>
      </c>
      <c r="R224" s="6" t="s">
        <v>9090</v>
      </c>
      <c r="S224" s="6">
        <v>117</v>
      </c>
      <c r="T224" s="6" t="s">
        <v>9091</v>
      </c>
      <c r="U224" s="8">
        <v>-0.72</v>
      </c>
      <c r="V224" s="6"/>
      <c r="W224" s="6"/>
      <c r="X224" s="6"/>
      <c r="Y224" s="6"/>
      <c r="Z224" s="6"/>
      <c r="AA224" s="6"/>
      <c r="AB224" s="6"/>
      <c r="AC224" s="6"/>
      <c r="AD224" s="7"/>
    </row>
    <row r="225" spans="1:30" ht="15.6" x14ac:dyDescent="0.3">
      <c r="A225" s="4">
        <v>224</v>
      </c>
      <c r="B225" s="5" t="s">
        <v>9092</v>
      </c>
      <c r="C225" s="6" t="s">
        <v>126</v>
      </c>
      <c r="D225" s="5" t="s">
        <v>9093</v>
      </c>
      <c r="E225" s="5" t="s">
        <v>48</v>
      </c>
      <c r="F225" s="6" t="s">
        <v>9094</v>
      </c>
      <c r="G225" s="6" t="s">
        <v>9095</v>
      </c>
      <c r="H225" s="6" t="s">
        <v>1048</v>
      </c>
      <c r="I225" s="6" t="s">
        <v>1818</v>
      </c>
      <c r="J225" s="6" t="s">
        <v>411</v>
      </c>
      <c r="K225" s="6" t="s">
        <v>9096</v>
      </c>
      <c r="L225" s="6">
        <f>36%</f>
        <v>0.36</v>
      </c>
      <c r="M225" s="6" t="s">
        <v>9097</v>
      </c>
      <c r="N225" s="6">
        <f>36%</f>
        <v>0.36</v>
      </c>
      <c r="O225" s="6" t="s">
        <v>9098</v>
      </c>
      <c r="P225" s="6" t="s">
        <v>9099</v>
      </c>
      <c r="Q225" s="6">
        <f>0.0047</f>
        <v>4.7000000000000002E-3</v>
      </c>
      <c r="R225" s="6" t="s">
        <v>9100</v>
      </c>
      <c r="S225" s="6">
        <v>237</v>
      </c>
      <c r="T225" s="6" t="s">
        <v>9101</v>
      </c>
      <c r="U225" s="6">
        <f>9.7%</f>
        <v>9.6999999999999989E-2</v>
      </c>
      <c r="V225" s="5" t="s">
        <v>6509</v>
      </c>
      <c r="W225" s="5" t="s">
        <v>6510</v>
      </c>
      <c r="X225" s="6"/>
      <c r="Y225" s="6"/>
      <c r="Z225" s="6"/>
      <c r="AA225" s="6"/>
      <c r="AB225" s="6"/>
      <c r="AC225" s="6"/>
      <c r="AD225" s="7"/>
    </row>
    <row r="226" spans="1:30" ht="15.6" x14ac:dyDescent="0.3">
      <c r="A226" s="4">
        <v>225</v>
      </c>
      <c r="B226" s="5" t="s">
        <v>9102</v>
      </c>
      <c r="C226" s="6" t="s">
        <v>85</v>
      </c>
      <c r="D226" s="5" t="s">
        <v>9103</v>
      </c>
      <c r="E226" s="5" t="s">
        <v>48</v>
      </c>
      <c r="F226" s="6" t="s">
        <v>9104</v>
      </c>
      <c r="G226" s="6" t="s">
        <v>9105</v>
      </c>
      <c r="H226" s="6" t="s">
        <v>1048</v>
      </c>
      <c r="I226" s="8">
        <v>-0.85</v>
      </c>
      <c r="J226" s="6" t="s">
        <v>1443</v>
      </c>
      <c r="K226" s="6" t="s">
        <v>2729</v>
      </c>
      <c r="L226" s="6" t="s">
        <v>217</v>
      </c>
      <c r="M226" s="6" t="s">
        <v>9106</v>
      </c>
      <c r="N226" s="6">
        <f>0.17%</f>
        <v>1.7000000000000001E-3</v>
      </c>
      <c r="O226" s="6" t="s">
        <v>9107</v>
      </c>
      <c r="P226" s="6" t="s">
        <v>9108</v>
      </c>
      <c r="Q226" s="6">
        <f>0.013</f>
        <v>1.2999999999999999E-2</v>
      </c>
      <c r="R226" s="6" t="s">
        <v>9109</v>
      </c>
      <c r="S226" s="6">
        <v>76</v>
      </c>
      <c r="T226" s="6" t="s">
        <v>977</v>
      </c>
      <c r="U226" s="6"/>
      <c r="V226" s="5" t="s">
        <v>9110</v>
      </c>
      <c r="W226" s="5" t="s">
        <v>9111</v>
      </c>
      <c r="X226" s="6"/>
      <c r="Y226" s="6"/>
      <c r="Z226" s="6"/>
      <c r="AA226" s="6"/>
      <c r="AB226" s="6"/>
      <c r="AC226" s="6"/>
      <c r="AD226" s="7"/>
    </row>
    <row r="227" spans="1:30" ht="15.6" x14ac:dyDescent="0.3">
      <c r="A227" s="4">
        <v>227</v>
      </c>
      <c r="B227" s="5" t="s">
        <v>9112</v>
      </c>
      <c r="C227" s="6" t="s">
        <v>219</v>
      </c>
      <c r="D227" s="5" t="s">
        <v>9113</v>
      </c>
      <c r="E227" s="5" t="s">
        <v>48</v>
      </c>
      <c r="F227" s="6" t="s">
        <v>9114</v>
      </c>
      <c r="G227" s="6" t="s">
        <v>9115</v>
      </c>
      <c r="H227" s="6" t="s">
        <v>1048</v>
      </c>
      <c r="I227" s="6" t="s">
        <v>9116</v>
      </c>
      <c r="J227" s="6" t="s">
        <v>1059</v>
      </c>
      <c r="K227" s="6" t="s">
        <v>9117</v>
      </c>
      <c r="L227" s="6">
        <f>3.8%</f>
        <v>3.7999999999999999E-2</v>
      </c>
      <c r="M227" s="6" t="s">
        <v>9118</v>
      </c>
      <c r="N227" s="6">
        <f>3.8%</f>
        <v>3.7999999999999999E-2</v>
      </c>
      <c r="O227" s="6" t="s">
        <v>9119</v>
      </c>
      <c r="P227" s="6" t="s">
        <v>1474</v>
      </c>
      <c r="Q227" s="6">
        <f>0.013</f>
        <v>1.2999999999999999E-2</v>
      </c>
      <c r="R227" s="6">
        <v>410</v>
      </c>
      <c r="S227" s="6">
        <v>5</v>
      </c>
      <c r="T227" s="6" t="s">
        <v>9120</v>
      </c>
      <c r="U227" s="6">
        <f t="shared" ref="U227:U228" si="0">120%</f>
        <v>1.2</v>
      </c>
      <c r="V227" s="5" t="s">
        <v>9121</v>
      </c>
      <c r="W227" s="5" t="s">
        <v>9122</v>
      </c>
      <c r="X227" s="6"/>
      <c r="Y227" s="6"/>
      <c r="Z227" s="6"/>
      <c r="AA227" s="6"/>
      <c r="AB227" s="6"/>
      <c r="AC227" s="6"/>
      <c r="AD227" s="7"/>
    </row>
    <row r="228" spans="1:30" ht="15.6" x14ac:dyDescent="0.3">
      <c r="A228" s="4">
        <v>228</v>
      </c>
      <c r="B228" s="5" t="s">
        <v>9123</v>
      </c>
      <c r="C228" s="6" t="s">
        <v>46</v>
      </c>
      <c r="D228" s="5" t="s">
        <v>9124</v>
      </c>
      <c r="E228" s="5" t="s">
        <v>48</v>
      </c>
      <c r="F228" s="6" t="s">
        <v>9114</v>
      </c>
      <c r="G228" s="6" t="s">
        <v>9125</v>
      </c>
      <c r="H228" s="6" t="s">
        <v>1048</v>
      </c>
      <c r="I228" s="6" t="s">
        <v>9116</v>
      </c>
      <c r="J228" s="6" t="s">
        <v>2474</v>
      </c>
      <c r="K228" s="6" t="s">
        <v>9117</v>
      </c>
      <c r="L228" s="6">
        <f>3.8%</f>
        <v>3.7999999999999999E-2</v>
      </c>
      <c r="M228" s="6" t="s">
        <v>9118</v>
      </c>
      <c r="N228" s="6">
        <f>3.8%</f>
        <v>3.7999999999999999E-2</v>
      </c>
      <c r="O228" s="6" t="s">
        <v>9119</v>
      </c>
      <c r="P228" s="6" t="s">
        <v>1474</v>
      </c>
      <c r="Q228" s="6">
        <f>0.013</f>
        <v>1.2999999999999999E-2</v>
      </c>
      <c r="R228" s="6">
        <v>410</v>
      </c>
      <c r="S228" s="6">
        <v>5</v>
      </c>
      <c r="T228" s="6" t="s">
        <v>9120</v>
      </c>
      <c r="U228" s="6">
        <f t="shared" si="0"/>
        <v>1.2</v>
      </c>
      <c r="V228" s="5" t="s">
        <v>9121</v>
      </c>
      <c r="W228" s="5" t="s">
        <v>9122</v>
      </c>
      <c r="X228" s="6"/>
      <c r="Y228" s="6"/>
      <c r="Z228" s="6"/>
      <c r="AA228" s="6"/>
      <c r="AB228" s="6"/>
      <c r="AC228" s="6"/>
      <c r="AD228" s="7"/>
    </row>
    <row r="229" spans="1:30" ht="15.6" x14ac:dyDescent="0.3">
      <c r="A229" s="4">
        <v>229</v>
      </c>
      <c r="B229" s="5" t="s">
        <v>9126</v>
      </c>
      <c r="C229" s="6" t="s">
        <v>72</v>
      </c>
      <c r="D229" s="5" t="s">
        <v>9127</v>
      </c>
      <c r="E229" s="5" t="s">
        <v>48</v>
      </c>
      <c r="F229" s="6" t="s">
        <v>9128</v>
      </c>
      <c r="G229" s="6" t="s">
        <v>9129</v>
      </c>
      <c r="H229" s="6" t="s">
        <v>1048</v>
      </c>
      <c r="I229" s="8">
        <v>-0.19</v>
      </c>
      <c r="J229" s="6" t="s">
        <v>1365</v>
      </c>
      <c r="K229" s="6" t="s">
        <v>2721</v>
      </c>
      <c r="L229" s="6">
        <f>19%</f>
        <v>0.19</v>
      </c>
      <c r="M229" s="6" t="s">
        <v>9130</v>
      </c>
      <c r="N229" s="6">
        <f>19%</f>
        <v>0.19</v>
      </c>
      <c r="O229" s="6" t="s">
        <v>9131</v>
      </c>
      <c r="P229" s="6" t="s">
        <v>9132</v>
      </c>
      <c r="Q229" s="6">
        <f>0.017</f>
        <v>1.7000000000000001E-2</v>
      </c>
      <c r="R229" s="6" t="s">
        <v>9133</v>
      </c>
      <c r="S229" s="6">
        <v>243</v>
      </c>
      <c r="T229" s="6" t="s">
        <v>9134</v>
      </c>
      <c r="U229" s="6">
        <f>0.22%</f>
        <v>2.2000000000000001E-3</v>
      </c>
      <c r="V229" s="6"/>
      <c r="W229" s="6"/>
      <c r="X229" s="6"/>
      <c r="Y229" s="6"/>
      <c r="Z229" s="6"/>
      <c r="AA229" s="6"/>
      <c r="AB229" s="6"/>
      <c r="AC229" s="6"/>
      <c r="AD229" s="7"/>
    </row>
    <row r="230" spans="1:30" ht="15.6" x14ac:dyDescent="0.3">
      <c r="A230" s="4">
        <v>230</v>
      </c>
      <c r="B230" s="5" t="s">
        <v>9135</v>
      </c>
      <c r="C230" s="6" t="s">
        <v>31</v>
      </c>
      <c r="D230" s="5" t="s">
        <v>9136</v>
      </c>
      <c r="E230" s="5" t="s">
        <v>48</v>
      </c>
      <c r="F230" s="6" t="s">
        <v>9137</v>
      </c>
      <c r="G230" s="6" t="s">
        <v>9138</v>
      </c>
      <c r="H230" s="6" t="s">
        <v>1048</v>
      </c>
      <c r="I230" s="6" t="s">
        <v>9139</v>
      </c>
      <c r="J230" s="6" t="s">
        <v>482</v>
      </c>
      <c r="K230" s="6" t="s">
        <v>9140</v>
      </c>
      <c r="L230" s="6" t="s">
        <v>217</v>
      </c>
      <c r="M230" s="6" t="s">
        <v>9141</v>
      </c>
      <c r="N230" s="6" t="s">
        <v>889</v>
      </c>
      <c r="O230" s="6" t="s">
        <v>9142</v>
      </c>
      <c r="P230" s="6" t="s">
        <v>9143</v>
      </c>
      <c r="Q230" s="6">
        <f>1.4%</f>
        <v>1.3999999999999999E-2</v>
      </c>
      <c r="R230" s="6" t="s">
        <v>9144</v>
      </c>
      <c r="S230" s="6">
        <v>76</v>
      </c>
      <c r="T230" s="6">
        <v>145</v>
      </c>
      <c r="U230" s="6" t="s">
        <v>9262</v>
      </c>
      <c r="V230" s="6"/>
      <c r="W230" s="6"/>
      <c r="X230" s="6"/>
      <c r="Y230" s="6"/>
      <c r="Z230" s="6"/>
      <c r="AA230" s="6"/>
      <c r="AB230" s="6"/>
      <c r="AC230" s="6"/>
      <c r="AD230" s="7"/>
    </row>
    <row r="231" spans="1:30" ht="15.6" x14ac:dyDescent="0.3">
      <c r="A231" s="4">
        <v>231</v>
      </c>
      <c r="B231" s="5" t="s">
        <v>9145</v>
      </c>
      <c r="C231" s="6" t="s">
        <v>126</v>
      </c>
      <c r="D231" s="5" t="s">
        <v>9146</v>
      </c>
      <c r="E231" s="5" t="s">
        <v>48</v>
      </c>
      <c r="F231" s="6" t="s">
        <v>9147</v>
      </c>
      <c r="G231" s="6" t="s">
        <v>9148</v>
      </c>
      <c r="H231" s="6" t="s">
        <v>1048</v>
      </c>
      <c r="I231" s="6" t="s">
        <v>1975</v>
      </c>
      <c r="J231" s="6" t="s">
        <v>1529</v>
      </c>
      <c r="K231" s="6" t="s">
        <v>9149</v>
      </c>
      <c r="L231" s="6" t="s">
        <v>217</v>
      </c>
      <c r="M231" s="6" t="s">
        <v>9150</v>
      </c>
      <c r="N231" s="6">
        <f>0.01%</f>
        <v>1E-4</v>
      </c>
      <c r="O231" s="6" t="s">
        <v>9151</v>
      </c>
      <c r="P231" s="6" t="s">
        <v>9152</v>
      </c>
      <c r="Q231" s="6">
        <f>0.012</f>
        <v>1.2E-2</v>
      </c>
      <c r="R231" s="6" t="s">
        <v>9153</v>
      </c>
      <c r="S231" s="6">
        <v>65</v>
      </c>
      <c r="T231" s="6" t="s">
        <v>1516</v>
      </c>
      <c r="U231" s="6">
        <f>27%</f>
        <v>0.27</v>
      </c>
      <c r="V231" s="6"/>
      <c r="W231" s="6"/>
      <c r="X231" s="6"/>
      <c r="Y231" s="6"/>
      <c r="Z231" s="6"/>
      <c r="AA231" s="6"/>
      <c r="AB231" s="6"/>
      <c r="AC231" s="6"/>
      <c r="AD231" s="7"/>
    </row>
    <row r="232" spans="1:30" ht="15.6" x14ac:dyDescent="0.3">
      <c r="A232" s="4">
        <v>233</v>
      </c>
      <c r="B232" s="5" t="s">
        <v>9154</v>
      </c>
      <c r="C232" s="6" t="s">
        <v>546</v>
      </c>
      <c r="D232" s="5" t="s">
        <v>9155</v>
      </c>
      <c r="E232" s="5" t="s">
        <v>33</v>
      </c>
      <c r="F232" s="6" t="s">
        <v>9156</v>
      </c>
      <c r="G232" s="6" t="s">
        <v>9157</v>
      </c>
      <c r="H232" s="6" t="s">
        <v>1048</v>
      </c>
      <c r="I232" s="8">
        <v>-0.75</v>
      </c>
      <c r="J232" s="8">
        <v>0</v>
      </c>
      <c r="K232" s="6" t="s">
        <v>618</v>
      </c>
      <c r="L232" s="6">
        <f>8%</f>
        <v>0.08</v>
      </c>
      <c r="M232" s="6" t="s">
        <v>5083</v>
      </c>
      <c r="N232" s="6">
        <f>8%</f>
        <v>0.08</v>
      </c>
      <c r="O232" s="6" t="s">
        <v>9158</v>
      </c>
      <c r="P232" s="6" t="s">
        <v>9159</v>
      </c>
      <c r="Q232" s="6">
        <f>0.0057</f>
        <v>5.7000000000000002E-3</v>
      </c>
      <c r="R232" s="6" t="s">
        <v>9160</v>
      </c>
      <c r="S232" s="6">
        <v>5</v>
      </c>
      <c r="T232" s="6" t="s">
        <v>9161</v>
      </c>
      <c r="U232" s="6">
        <f>5.2%</f>
        <v>5.2000000000000005E-2</v>
      </c>
      <c r="V232" s="6"/>
      <c r="W232" s="6"/>
      <c r="X232" s="6"/>
      <c r="Y232" s="6"/>
      <c r="Z232" s="6"/>
      <c r="AA232" s="6"/>
      <c r="AB232" s="6"/>
      <c r="AC232" s="6"/>
      <c r="AD232" s="7"/>
    </row>
    <row r="233" spans="1:30" ht="15.6" x14ac:dyDescent="0.3">
      <c r="A233" s="4">
        <v>234</v>
      </c>
      <c r="B233" s="5" t="s">
        <v>9162</v>
      </c>
      <c r="C233" s="6" t="s">
        <v>102</v>
      </c>
      <c r="D233" s="5" t="s">
        <v>9163</v>
      </c>
      <c r="E233" s="5" t="s">
        <v>48</v>
      </c>
      <c r="F233" s="6" t="s">
        <v>9164</v>
      </c>
      <c r="G233" s="6" t="s">
        <v>9165</v>
      </c>
      <c r="H233" s="6" t="s">
        <v>1048</v>
      </c>
      <c r="I233" s="6" t="s">
        <v>4747</v>
      </c>
      <c r="J233" s="6" t="s">
        <v>284</v>
      </c>
      <c r="K233" s="6" t="s">
        <v>4778</v>
      </c>
      <c r="L233" s="8">
        <v>-0.66</v>
      </c>
      <c r="M233" s="6" t="s">
        <v>9166</v>
      </c>
      <c r="N233" s="8">
        <v>-0.66</v>
      </c>
      <c r="O233" s="6" t="s">
        <v>9167</v>
      </c>
      <c r="P233" s="6" t="s">
        <v>9168</v>
      </c>
      <c r="Q233" s="8">
        <v>-0.33</v>
      </c>
      <c r="R233" s="6" t="s">
        <v>3705</v>
      </c>
      <c r="S233" s="6">
        <v>28</v>
      </c>
      <c r="T233" s="6" t="s">
        <v>5115</v>
      </c>
      <c r="U233" s="8">
        <v>-0.42</v>
      </c>
      <c r="V233" s="6"/>
      <c r="W233" s="6"/>
      <c r="X233" s="6"/>
      <c r="Y233" s="6"/>
      <c r="Z233" s="6"/>
      <c r="AA233" s="6"/>
      <c r="AB233" s="6"/>
      <c r="AC233" s="6"/>
      <c r="AD233" s="7"/>
    </row>
    <row r="234" spans="1:30" ht="15.6" x14ac:dyDescent="0.3">
      <c r="A234" s="4">
        <v>235</v>
      </c>
      <c r="B234" s="5" t="s">
        <v>9169</v>
      </c>
      <c r="C234" s="6" t="s">
        <v>85</v>
      </c>
      <c r="D234" s="5" t="s">
        <v>9170</v>
      </c>
      <c r="E234" s="5" t="s">
        <v>33</v>
      </c>
      <c r="F234" s="6" t="s">
        <v>9171</v>
      </c>
      <c r="G234" s="6" t="s">
        <v>9172</v>
      </c>
      <c r="H234" s="6" t="s">
        <v>1048</v>
      </c>
      <c r="I234" s="6" t="s">
        <v>4747</v>
      </c>
      <c r="J234" s="6" t="s">
        <v>950</v>
      </c>
      <c r="K234" s="6" t="s">
        <v>8873</v>
      </c>
      <c r="L234" s="8">
        <v>-0.14000000000000001</v>
      </c>
      <c r="M234" s="6" t="s">
        <v>6329</v>
      </c>
      <c r="N234" s="8">
        <v>-0.14000000000000001</v>
      </c>
      <c r="O234" s="6" t="s">
        <v>9173</v>
      </c>
      <c r="P234" s="6" t="s">
        <v>9174</v>
      </c>
      <c r="Q234" s="6">
        <f>8.9%</f>
        <v>8.900000000000001E-2</v>
      </c>
      <c r="R234" s="6" t="s">
        <v>9175</v>
      </c>
      <c r="S234" s="6">
        <v>64</v>
      </c>
      <c r="T234" s="6" t="s">
        <v>9176</v>
      </c>
      <c r="U234" s="8">
        <v>-0.4</v>
      </c>
      <c r="V234" s="6"/>
      <c r="W234" s="6"/>
      <c r="X234" s="6"/>
      <c r="Y234" s="6"/>
      <c r="Z234" s="6"/>
      <c r="AA234" s="6"/>
      <c r="AB234" s="6"/>
      <c r="AC234" s="6"/>
      <c r="AD234" s="7"/>
    </row>
    <row r="235" spans="1:30" ht="15.6" x14ac:dyDescent="0.3">
      <c r="A235" s="4">
        <v>236</v>
      </c>
      <c r="B235" s="5" t="s">
        <v>9177</v>
      </c>
      <c r="C235" s="6" t="s">
        <v>126</v>
      </c>
      <c r="D235" s="5" t="s">
        <v>9178</v>
      </c>
      <c r="E235" s="5" t="s">
        <v>48</v>
      </c>
      <c r="F235" s="6" t="s">
        <v>9179</v>
      </c>
      <c r="G235" s="6" t="s">
        <v>9180</v>
      </c>
      <c r="H235" s="6" t="s">
        <v>1048</v>
      </c>
      <c r="I235" s="8">
        <v>-0.73</v>
      </c>
      <c r="J235" s="6" t="s">
        <v>846</v>
      </c>
      <c r="K235" s="6" t="s">
        <v>518</v>
      </c>
      <c r="L235" s="8">
        <v>-0.51</v>
      </c>
      <c r="M235" s="6" t="s">
        <v>2565</v>
      </c>
      <c r="N235" s="8">
        <v>-0.51</v>
      </c>
      <c r="O235" s="6" t="s">
        <v>9181</v>
      </c>
      <c r="P235" s="6" t="s">
        <v>9182</v>
      </c>
      <c r="Q235" s="6">
        <f>0.0064</f>
        <v>6.4000000000000003E-3</v>
      </c>
      <c r="R235" s="6" t="s">
        <v>9183</v>
      </c>
      <c r="S235" s="6">
        <v>81</v>
      </c>
      <c r="T235" s="6" t="s">
        <v>7824</v>
      </c>
      <c r="U235" s="8">
        <v>-0.26</v>
      </c>
      <c r="V235" s="5" t="s">
        <v>9184</v>
      </c>
      <c r="W235" s="5" t="s">
        <v>9185</v>
      </c>
      <c r="X235" s="6"/>
      <c r="Y235" s="6"/>
      <c r="Z235" s="6"/>
      <c r="AA235" s="6"/>
      <c r="AB235" s="6"/>
      <c r="AC235" s="6"/>
      <c r="AD235" s="7"/>
    </row>
    <row r="236" spans="1:30" ht="15.6" x14ac:dyDescent="0.3">
      <c r="A236" s="4">
        <v>237</v>
      </c>
      <c r="B236" s="5" t="s">
        <v>9186</v>
      </c>
      <c r="C236" s="6" t="s">
        <v>291</v>
      </c>
      <c r="D236" s="5" t="s">
        <v>9187</v>
      </c>
      <c r="E236" s="5" t="s">
        <v>48</v>
      </c>
      <c r="F236" s="6" t="s">
        <v>9188</v>
      </c>
      <c r="G236" s="6" t="s">
        <v>9189</v>
      </c>
      <c r="H236" s="6" t="s">
        <v>36</v>
      </c>
      <c r="I236" s="6" t="s">
        <v>8896</v>
      </c>
      <c r="J236" s="6" t="s">
        <v>1443</v>
      </c>
      <c r="K236" s="6" t="s">
        <v>618</v>
      </c>
      <c r="L236" s="6">
        <f>4%</f>
        <v>0.04</v>
      </c>
      <c r="M236" s="6" t="s">
        <v>9190</v>
      </c>
      <c r="N236" s="6">
        <f>4%</f>
        <v>0.04</v>
      </c>
      <c r="O236" s="6" t="s">
        <v>9191</v>
      </c>
      <c r="P236" s="6" t="s">
        <v>9192</v>
      </c>
      <c r="Q236" s="6">
        <f>1.1%</f>
        <v>1.1000000000000001E-2</v>
      </c>
      <c r="R236" s="6" t="s">
        <v>9193</v>
      </c>
      <c r="S236" s="6">
        <v>128</v>
      </c>
      <c r="T236" s="6" t="s">
        <v>9194</v>
      </c>
      <c r="U236" s="6">
        <f>40%</f>
        <v>0.4</v>
      </c>
      <c r="V236" s="5" t="s">
        <v>9195</v>
      </c>
      <c r="W236" s="5" t="s">
        <v>6527</v>
      </c>
      <c r="X236" s="6"/>
      <c r="Y236" s="6"/>
      <c r="Z236" s="6"/>
      <c r="AA236" s="6"/>
      <c r="AB236" s="6"/>
      <c r="AC236" s="6"/>
      <c r="AD236" s="7"/>
    </row>
    <row r="237" spans="1:30" ht="15.6" x14ac:dyDescent="0.3">
      <c r="A237" s="4">
        <v>238</v>
      </c>
      <c r="B237" s="5" t="s">
        <v>9196</v>
      </c>
      <c r="C237" s="6" t="s">
        <v>46</v>
      </c>
      <c r="D237" s="5" t="s">
        <v>9197</v>
      </c>
      <c r="E237" s="5" t="s">
        <v>33</v>
      </c>
      <c r="F237" s="6" t="s">
        <v>9198</v>
      </c>
      <c r="G237" s="6" t="s">
        <v>9199</v>
      </c>
      <c r="H237" s="6" t="s">
        <v>36</v>
      </c>
      <c r="I237" s="8">
        <v>-0.94</v>
      </c>
      <c r="J237" s="6" t="s">
        <v>2517</v>
      </c>
      <c r="K237" s="6" t="s">
        <v>9200</v>
      </c>
      <c r="L237" s="8">
        <v>-0.28999999999999998</v>
      </c>
      <c r="M237" s="6" t="s">
        <v>9201</v>
      </c>
      <c r="N237" s="8">
        <v>-0.28999999999999998</v>
      </c>
      <c r="O237" s="6" t="s">
        <v>9202</v>
      </c>
      <c r="P237" s="6" t="s">
        <v>9203</v>
      </c>
      <c r="Q237" s="6">
        <f>0.013</f>
        <v>1.2999999999999999E-2</v>
      </c>
      <c r="R237" s="6" t="s">
        <v>9204</v>
      </c>
      <c r="S237" s="6">
        <v>38</v>
      </c>
      <c r="T237" s="6" t="s">
        <v>9205</v>
      </c>
      <c r="U237" s="6">
        <f>72%</f>
        <v>0.72</v>
      </c>
      <c r="V237" s="5" t="s">
        <v>9206</v>
      </c>
      <c r="W237" s="5" t="s">
        <v>7561</v>
      </c>
      <c r="X237" s="6"/>
      <c r="Y237" s="6"/>
      <c r="Z237" s="6"/>
      <c r="AA237" s="6"/>
      <c r="AB237" s="6"/>
      <c r="AC237" s="6"/>
      <c r="AD237" s="7"/>
    </row>
    <row r="238" spans="1:30" ht="15.6" x14ac:dyDescent="0.3">
      <c r="A238" s="4">
        <v>239</v>
      </c>
      <c r="B238" s="5" t="s">
        <v>9207</v>
      </c>
      <c r="C238" s="6" t="s">
        <v>173</v>
      </c>
      <c r="D238" s="5" t="s">
        <v>9208</v>
      </c>
      <c r="E238" s="5" t="s">
        <v>33</v>
      </c>
      <c r="F238" s="6" t="s">
        <v>9209</v>
      </c>
      <c r="G238" s="6" t="s">
        <v>9210</v>
      </c>
      <c r="H238" s="6" t="s">
        <v>36</v>
      </c>
      <c r="I238" s="6" t="s">
        <v>9211</v>
      </c>
      <c r="J238" s="6" t="s">
        <v>1851</v>
      </c>
      <c r="K238" s="6" t="s">
        <v>2662</v>
      </c>
      <c r="L238" s="6" t="s">
        <v>9212</v>
      </c>
      <c r="M238" s="6" t="s">
        <v>9213</v>
      </c>
      <c r="N238" s="6" t="s">
        <v>9212</v>
      </c>
      <c r="O238" s="6" t="s">
        <v>9214</v>
      </c>
      <c r="P238" s="6" t="s">
        <v>9215</v>
      </c>
      <c r="Q238" s="8">
        <v>-0.92</v>
      </c>
      <c r="R238" s="6" t="s">
        <v>9216</v>
      </c>
      <c r="S238" s="6">
        <v>33</v>
      </c>
      <c r="T238" s="6" t="s">
        <v>9217</v>
      </c>
      <c r="U238" s="8">
        <v>-0.93</v>
      </c>
      <c r="V238" s="6"/>
      <c r="W238" s="6"/>
      <c r="X238" s="6"/>
      <c r="Y238" s="6"/>
      <c r="Z238" s="6"/>
      <c r="AA238" s="6"/>
      <c r="AB238" s="6"/>
      <c r="AC238" s="6"/>
      <c r="AD238" s="7"/>
    </row>
    <row r="239" spans="1:30" ht="15.6" x14ac:dyDescent="0.3">
      <c r="A239" s="4">
        <v>240</v>
      </c>
      <c r="B239" s="5" t="s">
        <v>9218</v>
      </c>
      <c r="C239" s="6" t="s">
        <v>1408</v>
      </c>
      <c r="D239" s="5" t="s">
        <v>9219</v>
      </c>
      <c r="E239" s="5" t="s">
        <v>33</v>
      </c>
      <c r="F239" s="6" t="s">
        <v>9220</v>
      </c>
      <c r="G239" s="6" t="s">
        <v>9221</v>
      </c>
      <c r="H239" s="6" t="s">
        <v>36</v>
      </c>
      <c r="I239" s="6" t="s">
        <v>617</v>
      </c>
      <c r="J239" s="8">
        <v>0.01</v>
      </c>
      <c r="K239" s="6" t="s">
        <v>1185</v>
      </c>
      <c r="L239" s="6">
        <f>3.7%</f>
        <v>3.7000000000000005E-2</v>
      </c>
      <c r="M239" s="6" t="s">
        <v>9222</v>
      </c>
      <c r="N239" s="6">
        <f>3.7%</f>
        <v>3.7000000000000005E-2</v>
      </c>
      <c r="O239" s="6" t="s">
        <v>9223</v>
      </c>
      <c r="P239" s="6" t="s">
        <v>9224</v>
      </c>
      <c r="Q239" s="6">
        <f>24%</f>
        <v>0.24</v>
      </c>
      <c r="R239" s="6" t="s">
        <v>9225</v>
      </c>
      <c r="S239" s="6">
        <v>156</v>
      </c>
      <c r="T239" s="6" t="s">
        <v>9226</v>
      </c>
      <c r="U239" s="6"/>
      <c r="V239" s="5" t="s">
        <v>9227</v>
      </c>
      <c r="W239" s="5" t="s">
        <v>6339</v>
      </c>
      <c r="X239" s="6"/>
      <c r="Y239" s="6"/>
      <c r="Z239" s="6"/>
      <c r="AA239" s="6"/>
      <c r="AB239" s="6"/>
      <c r="AC239" s="6"/>
      <c r="AD239" s="7"/>
    </row>
    <row r="240" spans="1:30" ht="15.6" x14ac:dyDescent="0.3">
      <c r="A240" s="4">
        <v>241</v>
      </c>
      <c r="B240" s="5" t="s">
        <v>9228</v>
      </c>
      <c r="C240" s="6" t="s">
        <v>1408</v>
      </c>
      <c r="D240" s="5" t="s">
        <v>9229</v>
      </c>
      <c r="E240" s="5" t="s">
        <v>48</v>
      </c>
      <c r="F240" s="6" t="s">
        <v>9230</v>
      </c>
      <c r="G240" s="6" t="s">
        <v>9231</v>
      </c>
      <c r="H240" s="6" t="s">
        <v>36</v>
      </c>
      <c r="I240" s="8">
        <v>-0.99</v>
      </c>
      <c r="J240" s="6" t="s">
        <v>332</v>
      </c>
      <c r="K240" s="6" t="s">
        <v>8309</v>
      </c>
      <c r="L240" s="8">
        <v>-0.34</v>
      </c>
      <c r="M240" s="6" t="s">
        <v>8310</v>
      </c>
      <c r="N240" s="8">
        <v>-0.34</v>
      </c>
      <c r="O240" s="6" t="s">
        <v>9232</v>
      </c>
      <c r="P240" s="11">
        <v>45705</v>
      </c>
      <c r="Q240" s="6">
        <f>0.012</f>
        <v>1.2E-2</v>
      </c>
      <c r="R240" s="6" t="s">
        <v>9233</v>
      </c>
      <c r="S240" s="6">
        <v>18</v>
      </c>
      <c r="T240" s="6">
        <v>503</v>
      </c>
      <c r="U240" s="6" t="s">
        <v>217</v>
      </c>
      <c r="V240" s="6"/>
      <c r="W240" s="6"/>
      <c r="X240" s="6"/>
      <c r="Y240" s="6"/>
      <c r="Z240" s="6"/>
      <c r="AA240" s="6"/>
      <c r="AB240" s="6"/>
      <c r="AC240" s="6"/>
      <c r="AD240" s="7"/>
    </row>
    <row r="241" spans="1:30" ht="15.6" x14ac:dyDescent="0.3">
      <c r="A241" s="4">
        <v>242</v>
      </c>
      <c r="B241" s="5" t="s">
        <v>9234</v>
      </c>
      <c r="C241" s="6" t="s">
        <v>126</v>
      </c>
      <c r="D241" s="5" t="s">
        <v>9235</v>
      </c>
      <c r="E241" s="5" t="s">
        <v>48</v>
      </c>
      <c r="F241" s="6" t="s">
        <v>9236</v>
      </c>
      <c r="G241" s="6" t="s">
        <v>9237</v>
      </c>
      <c r="H241" s="6" t="s">
        <v>36</v>
      </c>
      <c r="I241" s="6" t="s">
        <v>7463</v>
      </c>
      <c r="J241" s="6" t="s">
        <v>2713</v>
      </c>
      <c r="K241" s="6" t="s">
        <v>8083</v>
      </c>
      <c r="L241" s="6">
        <f>85%</f>
        <v>0.85</v>
      </c>
      <c r="M241" s="6" t="s">
        <v>9238</v>
      </c>
      <c r="N241" s="6">
        <f>85%</f>
        <v>0.85</v>
      </c>
      <c r="O241" s="6" t="s">
        <v>9239</v>
      </c>
      <c r="P241" s="6" t="s">
        <v>9240</v>
      </c>
      <c r="Q241" s="6">
        <f>150%</f>
        <v>1.5</v>
      </c>
      <c r="R241" s="6" t="s">
        <v>9241</v>
      </c>
      <c r="S241" s="6">
        <v>218</v>
      </c>
      <c r="T241" s="6" t="s">
        <v>9242</v>
      </c>
      <c r="U241" s="8">
        <v>-0.64</v>
      </c>
      <c r="V241" s="6"/>
      <c r="W241" s="6"/>
      <c r="X241" s="6"/>
      <c r="Y241" s="6"/>
      <c r="Z241" s="6"/>
      <c r="AA241" s="6"/>
      <c r="AB241" s="6"/>
      <c r="AC241" s="6"/>
      <c r="AD241" s="7"/>
    </row>
    <row r="242" spans="1:30" ht="15.6" x14ac:dyDescent="0.3">
      <c r="A242" s="4">
        <v>244</v>
      </c>
      <c r="B242" s="5" t="s">
        <v>9243</v>
      </c>
      <c r="C242" s="6" t="s">
        <v>126</v>
      </c>
      <c r="D242" s="5" t="s">
        <v>9244</v>
      </c>
      <c r="E242" s="5" t="s">
        <v>48</v>
      </c>
      <c r="F242" s="6" t="s">
        <v>9245</v>
      </c>
      <c r="G242" s="6" t="s">
        <v>9246</v>
      </c>
      <c r="H242" s="6" t="s">
        <v>36</v>
      </c>
      <c r="I242" s="6" t="s">
        <v>9247</v>
      </c>
      <c r="J242" s="6" t="s">
        <v>2009</v>
      </c>
      <c r="K242" s="6" t="s">
        <v>9248</v>
      </c>
      <c r="L242" s="6">
        <f>25%</f>
        <v>0.25</v>
      </c>
      <c r="M242" s="6" t="s">
        <v>9249</v>
      </c>
      <c r="N242" s="6">
        <f>25%</f>
        <v>0.25</v>
      </c>
      <c r="O242" s="6" t="s">
        <v>9250</v>
      </c>
      <c r="P242" s="6" t="s">
        <v>9251</v>
      </c>
      <c r="Q242" s="8">
        <v>-0.46</v>
      </c>
      <c r="R242" s="6" t="s">
        <v>9252</v>
      </c>
      <c r="S242" s="6">
        <v>81</v>
      </c>
      <c r="T242" s="6" t="s">
        <v>9253</v>
      </c>
      <c r="U242" s="8">
        <v>-0.56999999999999995</v>
      </c>
      <c r="V242" s="6"/>
      <c r="W242" s="6"/>
      <c r="X242" s="6"/>
      <c r="Y242" s="6"/>
      <c r="Z242" s="6"/>
      <c r="AA242" s="6"/>
      <c r="AB242" s="6"/>
      <c r="AC242" s="6"/>
      <c r="AD242" s="7"/>
    </row>
    <row r="243" spans="1:30" ht="15.6" x14ac:dyDescent="0.3">
      <c r="A243" s="4">
        <v>245</v>
      </c>
      <c r="B243" s="5" t="s">
        <v>9254</v>
      </c>
      <c r="C243" s="6" t="s">
        <v>72</v>
      </c>
      <c r="D243" s="5" t="s">
        <v>9255</v>
      </c>
      <c r="E243" s="5" t="s">
        <v>48</v>
      </c>
      <c r="F243" s="6" t="s">
        <v>9256</v>
      </c>
      <c r="G243" s="6" t="s">
        <v>9257</v>
      </c>
      <c r="H243" s="6" t="s">
        <v>36</v>
      </c>
      <c r="I243" s="6" t="s">
        <v>9258</v>
      </c>
      <c r="J243" s="6" t="s">
        <v>1600</v>
      </c>
      <c r="K243" s="6" t="s">
        <v>9259</v>
      </c>
      <c r="L243" s="8">
        <v>-0.15</v>
      </c>
      <c r="M243" s="6" t="s">
        <v>2656</v>
      </c>
      <c r="N243" s="8">
        <v>-0.15</v>
      </c>
      <c r="O243" s="6" t="s">
        <v>9260</v>
      </c>
      <c r="P243" s="6" t="s">
        <v>9261</v>
      </c>
      <c r="Q243" s="6">
        <f>700%</f>
        <v>7</v>
      </c>
      <c r="R243" s="6">
        <v>674</v>
      </c>
      <c r="S243" s="6">
        <v>19</v>
      </c>
      <c r="T243" s="6">
        <v>988</v>
      </c>
      <c r="U243" s="6" t="s">
        <v>217</v>
      </c>
      <c r="V243" s="6"/>
      <c r="W243" s="6"/>
      <c r="X243" s="6"/>
      <c r="Y243" s="6"/>
      <c r="Z243" s="6"/>
      <c r="AA243" s="6"/>
      <c r="AB243" s="6"/>
      <c r="AC243" s="6"/>
      <c r="AD243" s="7"/>
    </row>
  </sheetData>
  <hyperlinks>
    <hyperlink ref="B2" r:id="rId1" xr:uid="{00000000-0004-0000-0100-000000000000}"/>
    <hyperlink ref="D2" r:id="rId2" xr:uid="{00000000-0004-0000-0100-000001000000}"/>
    <hyperlink ref="E2" r:id="rId3" xr:uid="{00000000-0004-0000-0100-000002000000}"/>
    <hyperlink ref="V2" r:id="rId4" xr:uid="{00000000-0004-0000-0100-000003000000}"/>
    <hyperlink ref="W2" r:id="rId5" xr:uid="{00000000-0004-0000-0100-000004000000}"/>
    <hyperlink ref="X2" r:id="rId6" xr:uid="{00000000-0004-0000-0100-000005000000}"/>
    <hyperlink ref="Y2" r:id="rId7" xr:uid="{00000000-0004-0000-0100-000006000000}"/>
    <hyperlink ref="Z2" r:id="rId8" xr:uid="{00000000-0004-0000-0100-000007000000}"/>
    <hyperlink ref="AA2" r:id="rId9" xr:uid="{00000000-0004-0000-0100-000008000000}"/>
    <hyperlink ref="AB2" r:id="rId10" xr:uid="{00000000-0004-0000-0100-000009000000}"/>
    <hyperlink ref="AC2" r:id="rId11" xr:uid="{00000000-0004-0000-0100-00000A000000}"/>
    <hyperlink ref="AD2" r:id="rId12" xr:uid="{00000000-0004-0000-0100-00000B000000}"/>
    <hyperlink ref="B3" r:id="rId13" xr:uid="{00000000-0004-0000-0100-00000C000000}"/>
    <hyperlink ref="D3" r:id="rId14" xr:uid="{00000000-0004-0000-0100-00000D000000}"/>
    <hyperlink ref="E3" r:id="rId15" xr:uid="{00000000-0004-0000-0100-00000E000000}"/>
    <hyperlink ref="V3" r:id="rId16" xr:uid="{00000000-0004-0000-0100-00000F000000}"/>
    <hyperlink ref="W3" r:id="rId17" xr:uid="{00000000-0004-0000-0100-000010000000}"/>
    <hyperlink ref="X3" r:id="rId18" xr:uid="{00000000-0004-0000-0100-000011000000}"/>
    <hyperlink ref="Y3" r:id="rId19" xr:uid="{00000000-0004-0000-0100-000012000000}"/>
    <hyperlink ref="Z3" r:id="rId20" xr:uid="{00000000-0004-0000-0100-000013000000}"/>
    <hyperlink ref="AA3" r:id="rId21" xr:uid="{00000000-0004-0000-0100-000014000000}"/>
    <hyperlink ref="AB3" r:id="rId22" xr:uid="{00000000-0004-0000-0100-000015000000}"/>
    <hyperlink ref="AC3" r:id="rId23" xr:uid="{00000000-0004-0000-0100-000016000000}"/>
    <hyperlink ref="AD3" r:id="rId24" xr:uid="{00000000-0004-0000-0100-000017000000}"/>
    <hyperlink ref="B4" r:id="rId25" xr:uid="{00000000-0004-0000-0100-000018000000}"/>
    <hyperlink ref="D4" r:id="rId26" xr:uid="{00000000-0004-0000-0100-000019000000}"/>
    <hyperlink ref="E4" r:id="rId27" xr:uid="{00000000-0004-0000-0100-00001A000000}"/>
    <hyperlink ref="V4" r:id="rId28" xr:uid="{00000000-0004-0000-0100-00001B000000}"/>
    <hyperlink ref="W4" r:id="rId29" xr:uid="{00000000-0004-0000-0100-00001C000000}"/>
    <hyperlink ref="X4" r:id="rId30" xr:uid="{00000000-0004-0000-0100-00001D000000}"/>
    <hyperlink ref="Y4" r:id="rId31" xr:uid="{00000000-0004-0000-0100-00001E000000}"/>
    <hyperlink ref="Z4" r:id="rId32" xr:uid="{00000000-0004-0000-0100-00001F000000}"/>
    <hyperlink ref="AA4" r:id="rId33" xr:uid="{00000000-0004-0000-0100-000020000000}"/>
    <hyperlink ref="AB4" r:id="rId34" xr:uid="{00000000-0004-0000-0100-000021000000}"/>
    <hyperlink ref="AC4" r:id="rId35" xr:uid="{00000000-0004-0000-0100-000022000000}"/>
    <hyperlink ref="AD4" r:id="rId36" xr:uid="{00000000-0004-0000-0100-000023000000}"/>
    <hyperlink ref="B5" r:id="rId37" xr:uid="{00000000-0004-0000-0100-000024000000}"/>
    <hyperlink ref="D5" r:id="rId38" xr:uid="{00000000-0004-0000-0100-000025000000}"/>
    <hyperlink ref="E5" r:id="rId39" xr:uid="{00000000-0004-0000-0100-000026000000}"/>
    <hyperlink ref="V5" r:id="rId40" xr:uid="{00000000-0004-0000-0100-000027000000}"/>
    <hyperlink ref="W5" r:id="rId41" xr:uid="{00000000-0004-0000-0100-000028000000}"/>
    <hyperlink ref="X5" r:id="rId42" xr:uid="{00000000-0004-0000-0100-000029000000}"/>
    <hyperlink ref="Y5" r:id="rId43" xr:uid="{00000000-0004-0000-0100-00002A000000}"/>
    <hyperlink ref="Z5" r:id="rId44" xr:uid="{00000000-0004-0000-0100-00002B000000}"/>
    <hyperlink ref="AA5" r:id="rId45" xr:uid="{00000000-0004-0000-0100-00002C000000}"/>
    <hyperlink ref="AB5" r:id="rId46" xr:uid="{00000000-0004-0000-0100-00002D000000}"/>
    <hyperlink ref="AC5" r:id="rId47" xr:uid="{00000000-0004-0000-0100-00002E000000}"/>
    <hyperlink ref="AD5" r:id="rId48" xr:uid="{00000000-0004-0000-0100-00002F000000}"/>
    <hyperlink ref="B6" r:id="rId49" xr:uid="{00000000-0004-0000-0100-000030000000}"/>
    <hyperlink ref="D6" r:id="rId50" xr:uid="{00000000-0004-0000-0100-000031000000}"/>
    <hyperlink ref="E6" r:id="rId51" xr:uid="{00000000-0004-0000-0100-000032000000}"/>
    <hyperlink ref="V6" r:id="rId52" xr:uid="{00000000-0004-0000-0100-000033000000}"/>
    <hyperlink ref="W6" r:id="rId53" xr:uid="{00000000-0004-0000-0100-000034000000}"/>
    <hyperlink ref="X6" r:id="rId54" xr:uid="{00000000-0004-0000-0100-000035000000}"/>
    <hyperlink ref="Y6" r:id="rId55" xr:uid="{00000000-0004-0000-0100-000036000000}"/>
    <hyperlink ref="Z6" r:id="rId56" xr:uid="{00000000-0004-0000-0100-000037000000}"/>
    <hyperlink ref="AA6" r:id="rId57" xr:uid="{00000000-0004-0000-0100-000038000000}"/>
    <hyperlink ref="AB6" r:id="rId58" xr:uid="{00000000-0004-0000-0100-000039000000}"/>
    <hyperlink ref="AC6" r:id="rId59" xr:uid="{00000000-0004-0000-0100-00003A000000}"/>
    <hyperlink ref="AD6" r:id="rId60" xr:uid="{00000000-0004-0000-0100-00003B000000}"/>
    <hyperlink ref="B7" r:id="rId61" xr:uid="{00000000-0004-0000-0100-00003C000000}"/>
    <hyperlink ref="D7" r:id="rId62" xr:uid="{00000000-0004-0000-0100-00003D000000}"/>
    <hyperlink ref="E7" r:id="rId63" xr:uid="{00000000-0004-0000-0100-00003E000000}"/>
    <hyperlink ref="V7" r:id="rId64" xr:uid="{00000000-0004-0000-0100-00003F000000}"/>
    <hyperlink ref="W7" r:id="rId65" xr:uid="{00000000-0004-0000-0100-000040000000}"/>
    <hyperlink ref="X7" r:id="rId66" xr:uid="{00000000-0004-0000-0100-000041000000}"/>
    <hyperlink ref="Y7" r:id="rId67" xr:uid="{00000000-0004-0000-0100-000042000000}"/>
    <hyperlink ref="Z7" r:id="rId68" xr:uid="{00000000-0004-0000-0100-000043000000}"/>
    <hyperlink ref="AA7" r:id="rId69" xr:uid="{00000000-0004-0000-0100-000044000000}"/>
    <hyperlink ref="AB7" r:id="rId70" xr:uid="{00000000-0004-0000-0100-000045000000}"/>
    <hyperlink ref="AC7" r:id="rId71" xr:uid="{00000000-0004-0000-0100-000046000000}"/>
    <hyperlink ref="AD7" r:id="rId72" xr:uid="{00000000-0004-0000-0100-000047000000}"/>
    <hyperlink ref="B8" r:id="rId73" xr:uid="{00000000-0004-0000-0100-000048000000}"/>
    <hyperlink ref="D8" r:id="rId74" xr:uid="{00000000-0004-0000-0100-000049000000}"/>
    <hyperlink ref="E8" r:id="rId75" xr:uid="{00000000-0004-0000-0100-00004A000000}"/>
    <hyperlink ref="V8" r:id="rId76" xr:uid="{00000000-0004-0000-0100-00004B000000}"/>
    <hyperlink ref="W8" r:id="rId77" xr:uid="{00000000-0004-0000-0100-00004C000000}"/>
    <hyperlink ref="X8" r:id="rId78" xr:uid="{00000000-0004-0000-0100-00004D000000}"/>
    <hyperlink ref="Y8" r:id="rId79" xr:uid="{00000000-0004-0000-0100-00004E000000}"/>
    <hyperlink ref="Z8" r:id="rId80" xr:uid="{00000000-0004-0000-0100-00004F000000}"/>
    <hyperlink ref="AA8" r:id="rId81" xr:uid="{00000000-0004-0000-0100-000050000000}"/>
    <hyperlink ref="AB8" r:id="rId82" xr:uid="{00000000-0004-0000-0100-000051000000}"/>
    <hyperlink ref="AC8" r:id="rId83" xr:uid="{00000000-0004-0000-0100-000052000000}"/>
    <hyperlink ref="AD8" r:id="rId84" xr:uid="{00000000-0004-0000-0100-000053000000}"/>
    <hyperlink ref="B9" r:id="rId85" xr:uid="{00000000-0004-0000-0100-000054000000}"/>
    <hyperlink ref="D9" r:id="rId86" xr:uid="{00000000-0004-0000-0100-000055000000}"/>
    <hyperlink ref="E9" r:id="rId87" xr:uid="{00000000-0004-0000-0100-000056000000}"/>
    <hyperlink ref="V9" r:id="rId88" xr:uid="{00000000-0004-0000-0100-000057000000}"/>
    <hyperlink ref="W9" r:id="rId89" xr:uid="{00000000-0004-0000-0100-000058000000}"/>
    <hyperlink ref="X9" r:id="rId90" xr:uid="{00000000-0004-0000-0100-000059000000}"/>
    <hyperlink ref="Y9" r:id="rId91" xr:uid="{00000000-0004-0000-0100-00005A000000}"/>
    <hyperlink ref="Z9" r:id="rId92" xr:uid="{00000000-0004-0000-0100-00005B000000}"/>
    <hyperlink ref="AA9" r:id="rId93" xr:uid="{00000000-0004-0000-0100-00005C000000}"/>
    <hyperlink ref="AB9" r:id="rId94" xr:uid="{00000000-0004-0000-0100-00005D000000}"/>
    <hyperlink ref="AC9" r:id="rId95" xr:uid="{00000000-0004-0000-0100-00005E000000}"/>
    <hyperlink ref="AD9" r:id="rId96" xr:uid="{00000000-0004-0000-0100-00005F000000}"/>
    <hyperlink ref="B10" r:id="rId97" xr:uid="{00000000-0004-0000-0100-000060000000}"/>
    <hyperlink ref="D10" r:id="rId98" xr:uid="{00000000-0004-0000-0100-000061000000}"/>
    <hyperlink ref="E10" r:id="rId99" xr:uid="{00000000-0004-0000-0100-000062000000}"/>
    <hyperlink ref="V10" r:id="rId100" xr:uid="{00000000-0004-0000-0100-000063000000}"/>
    <hyperlink ref="W10" r:id="rId101" xr:uid="{00000000-0004-0000-0100-000064000000}"/>
    <hyperlink ref="X10" r:id="rId102" xr:uid="{00000000-0004-0000-0100-000065000000}"/>
    <hyperlink ref="Y10" r:id="rId103" xr:uid="{00000000-0004-0000-0100-000066000000}"/>
    <hyperlink ref="Z10" r:id="rId104" xr:uid="{00000000-0004-0000-0100-000067000000}"/>
    <hyperlink ref="AA10" r:id="rId105" xr:uid="{00000000-0004-0000-0100-000068000000}"/>
    <hyperlink ref="AB10" r:id="rId106" xr:uid="{00000000-0004-0000-0100-000069000000}"/>
    <hyperlink ref="AC10" r:id="rId107" xr:uid="{00000000-0004-0000-0100-00006A000000}"/>
    <hyperlink ref="AD10" r:id="rId108" xr:uid="{00000000-0004-0000-0100-00006B000000}"/>
    <hyperlink ref="B11" r:id="rId109" xr:uid="{00000000-0004-0000-0100-00006C000000}"/>
    <hyperlink ref="D11" r:id="rId110" xr:uid="{00000000-0004-0000-0100-00006D000000}"/>
    <hyperlink ref="E11" r:id="rId111" xr:uid="{00000000-0004-0000-0100-00006E000000}"/>
    <hyperlink ref="V11" r:id="rId112" xr:uid="{00000000-0004-0000-0100-00006F000000}"/>
    <hyperlink ref="W11" r:id="rId113" xr:uid="{00000000-0004-0000-0100-000070000000}"/>
    <hyperlink ref="X11" r:id="rId114" xr:uid="{00000000-0004-0000-0100-000071000000}"/>
    <hyperlink ref="Y11" r:id="rId115" xr:uid="{00000000-0004-0000-0100-000072000000}"/>
    <hyperlink ref="Z11" r:id="rId116" xr:uid="{00000000-0004-0000-0100-000073000000}"/>
    <hyperlink ref="AA11" r:id="rId117" xr:uid="{00000000-0004-0000-0100-000074000000}"/>
    <hyperlink ref="AB11" r:id="rId118" xr:uid="{00000000-0004-0000-0100-000075000000}"/>
    <hyperlink ref="AC11" r:id="rId119" xr:uid="{00000000-0004-0000-0100-000076000000}"/>
    <hyperlink ref="AD11" r:id="rId120" xr:uid="{00000000-0004-0000-0100-000077000000}"/>
    <hyperlink ref="B12" r:id="rId121" xr:uid="{00000000-0004-0000-0100-000078000000}"/>
    <hyperlink ref="D12" r:id="rId122" xr:uid="{00000000-0004-0000-0100-000079000000}"/>
    <hyperlink ref="E12" r:id="rId123" xr:uid="{00000000-0004-0000-0100-00007A000000}"/>
    <hyperlink ref="V12" r:id="rId124" xr:uid="{00000000-0004-0000-0100-00007B000000}"/>
    <hyperlink ref="W12" r:id="rId125" xr:uid="{00000000-0004-0000-0100-00007C000000}"/>
    <hyperlink ref="X12" r:id="rId126" xr:uid="{00000000-0004-0000-0100-00007D000000}"/>
    <hyperlink ref="Y12" r:id="rId127" xr:uid="{00000000-0004-0000-0100-00007E000000}"/>
    <hyperlink ref="Z12" r:id="rId128" xr:uid="{00000000-0004-0000-0100-00007F000000}"/>
    <hyperlink ref="AA12" r:id="rId129" xr:uid="{00000000-0004-0000-0100-000080000000}"/>
    <hyperlink ref="AB12" r:id="rId130" xr:uid="{00000000-0004-0000-0100-000081000000}"/>
    <hyperlink ref="AC12" r:id="rId131" xr:uid="{00000000-0004-0000-0100-000082000000}"/>
    <hyperlink ref="AD12" r:id="rId132" xr:uid="{00000000-0004-0000-0100-000083000000}"/>
    <hyperlink ref="B13" r:id="rId133" xr:uid="{00000000-0004-0000-0100-000084000000}"/>
    <hyperlink ref="D13" r:id="rId134" xr:uid="{00000000-0004-0000-0100-000085000000}"/>
    <hyperlink ref="E13" r:id="rId135" xr:uid="{00000000-0004-0000-0100-000086000000}"/>
    <hyperlink ref="V13" r:id="rId136" xr:uid="{00000000-0004-0000-0100-000087000000}"/>
    <hyperlink ref="W13" r:id="rId137" xr:uid="{00000000-0004-0000-0100-000088000000}"/>
    <hyperlink ref="X13" r:id="rId138" xr:uid="{00000000-0004-0000-0100-000089000000}"/>
    <hyperlink ref="Y13" r:id="rId139" xr:uid="{00000000-0004-0000-0100-00008A000000}"/>
    <hyperlink ref="Z13" r:id="rId140" xr:uid="{00000000-0004-0000-0100-00008B000000}"/>
    <hyperlink ref="AA13" r:id="rId141" xr:uid="{00000000-0004-0000-0100-00008C000000}"/>
    <hyperlink ref="AB13" r:id="rId142" xr:uid="{00000000-0004-0000-0100-00008D000000}"/>
    <hyperlink ref="AC13" r:id="rId143" xr:uid="{00000000-0004-0000-0100-00008E000000}"/>
    <hyperlink ref="AD13" r:id="rId144" xr:uid="{00000000-0004-0000-0100-00008F000000}"/>
    <hyperlink ref="B14" r:id="rId145" xr:uid="{00000000-0004-0000-0100-000090000000}"/>
    <hyperlink ref="D14" r:id="rId146" xr:uid="{00000000-0004-0000-0100-000091000000}"/>
    <hyperlink ref="E14" r:id="rId147" xr:uid="{00000000-0004-0000-0100-000092000000}"/>
    <hyperlink ref="V14" r:id="rId148" xr:uid="{00000000-0004-0000-0100-000093000000}"/>
    <hyperlink ref="W14" r:id="rId149" xr:uid="{00000000-0004-0000-0100-000094000000}"/>
    <hyperlink ref="X14" r:id="rId150" xr:uid="{00000000-0004-0000-0100-000095000000}"/>
    <hyperlink ref="Y14" r:id="rId151" xr:uid="{00000000-0004-0000-0100-000096000000}"/>
    <hyperlink ref="Z14" r:id="rId152" xr:uid="{00000000-0004-0000-0100-000097000000}"/>
    <hyperlink ref="AA14" r:id="rId153" xr:uid="{00000000-0004-0000-0100-000098000000}"/>
    <hyperlink ref="AB14" r:id="rId154" xr:uid="{00000000-0004-0000-0100-000099000000}"/>
    <hyperlink ref="AC14" r:id="rId155" xr:uid="{00000000-0004-0000-0100-00009A000000}"/>
    <hyperlink ref="AD14" r:id="rId156" xr:uid="{00000000-0004-0000-0100-00009B000000}"/>
    <hyperlink ref="B15" r:id="rId157" xr:uid="{00000000-0004-0000-0100-00009C000000}"/>
    <hyperlink ref="D15" r:id="rId158" xr:uid="{00000000-0004-0000-0100-00009D000000}"/>
    <hyperlink ref="E15" r:id="rId159" xr:uid="{00000000-0004-0000-0100-00009E000000}"/>
    <hyperlink ref="V15" r:id="rId160" xr:uid="{00000000-0004-0000-0100-00009F000000}"/>
    <hyperlink ref="W15" r:id="rId161" xr:uid="{00000000-0004-0000-0100-0000A0000000}"/>
    <hyperlink ref="X15" r:id="rId162" xr:uid="{00000000-0004-0000-0100-0000A1000000}"/>
    <hyperlink ref="Y15" r:id="rId163" xr:uid="{00000000-0004-0000-0100-0000A2000000}"/>
    <hyperlink ref="Z15" r:id="rId164" xr:uid="{00000000-0004-0000-0100-0000A3000000}"/>
    <hyperlink ref="AA15" r:id="rId165" xr:uid="{00000000-0004-0000-0100-0000A4000000}"/>
    <hyperlink ref="AB15" r:id="rId166" xr:uid="{00000000-0004-0000-0100-0000A5000000}"/>
    <hyperlink ref="AC15" r:id="rId167" xr:uid="{00000000-0004-0000-0100-0000A6000000}"/>
    <hyperlink ref="AD15" r:id="rId168" xr:uid="{00000000-0004-0000-0100-0000A7000000}"/>
    <hyperlink ref="B16" r:id="rId169" xr:uid="{00000000-0004-0000-0100-0000A8000000}"/>
    <hyperlink ref="D16" r:id="rId170" xr:uid="{00000000-0004-0000-0100-0000A9000000}"/>
    <hyperlink ref="E16" r:id="rId171" xr:uid="{00000000-0004-0000-0100-0000AA000000}"/>
    <hyperlink ref="V16" r:id="rId172" xr:uid="{00000000-0004-0000-0100-0000AB000000}"/>
    <hyperlink ref="W16" r:id="rId173" xr:uid="{00000000-0004-0000-0100-0000AC000000}"/>
    <hyperlink ref="X16" r:id="rId174" xr:uid="{00000000-0004-0000-0100-0000AD000000}"/>
    <hyperlink ref="Y16" r:id="rId175" xr:uid="{00000000-0004-0000-0100-0000AE000000}"/>
    <hyperlink ref="Z16" r:id="rId176" xr:uid="{00000000-0004-0000-0100-0000AF000000}"/>
    <hyperlink ref="AA16" r:id="rId177" xr:uid="{00000000-0004-0000-0100-0000B0000000}"/>
    <hyperlink ref="AB16" r:id="rId178" xr:uid="{00000000-0004-0000-0100-0000B1000000}"/>
    <hyperlink ref="AC16" r:id="rId179" xr:uid="{00000000-0004-0000-0100-0000B2000000}"/>
    <hyperlink ref="AD16" r:id="rId180" xr:uid="{00000000-0004-0000-0100-0000B3000000}"/>
    <hyperlink ref="B17" r:id="rId181" xr:uid="{00000000-0004-0000-0100-0000B4000000}"/>
    <hyperlink ref="D17" r:id="rId182" xr:uid="{00000000-0004-0000-0100-0000B5000000}"/>
    <hyperlink ref="E17" r:id="rId183" xr:uid="{00000000-0004-0000-0100-0000B6000000}"/>
    <hyperlink ref="V17" r:id="rId184" xr:uid="{00000000-0004-0000-0100-0000B7000000}"/>
    <hyperlink ref="W17" r:id="rId185" xr:uid="{00000000-0004-0000-0100-0000B8000000}"/>
    <hyperlink ref="X17" r:id="rId186" xr:uid="{00000000-0004-0000-0100-0000B9000000}"/>
    <hyperlink ref="Y17" r:id="rId187" xr:uid="{00000000-0004-0000-0100-0000BA000000}"/>
    <hyperlink ref="Z17" r:id="rId188" xr:uid="{00000000-0004-0000-0100-0000BB000000}"/>
    <hyperlink ref="AA17" r:id="rId189" xr:uid="{00000000-0004-0000-0100-0000BC000000}"/>
    <hyperlink ref="AB17" r:id="rId190" xr:uid="{00000000-0004-0000-0100-0000BD000000}"/>
    <hyperlink ref="AC17" r:id="rId191" xr:uid="{00000000-0004-0000-0100-0000BE000000}"/>
    <hyperlink ref="AD17" r:id="rId192" xr:uid="{00000000-0004-0000-0100-0000BF000000}"/>
    <hyperlink ref="B18" r:id="rId193" xr:uid="{00000000-0004-0000-0100-0000C0000000}"/>
    <hyperlink ref="D18" r:id="rId194" xr:uid="{00000000-0004-0000-0100-0000C1000000}"/>
    <hyperlink ref="E18" r:id="rId195" xr:uid="{00000000-0004-0000-0100-0000C2000000}"/>
    <hyperlink ref="V18" r:id="rId196" xr:uid="{00000000-0004-0000-0100-0000C3000000}"/>
    <hyperlink ref="W18" r:id="rId197" xr:uid="{00000000-0004-0000-0100-0000C4000000}"/>
    <hyperlink ref="X18" r:id="rId198" xr:uid="{00000000-0004-0000-0100-0000C5000000}"/>
    <hyperlink ref="Y18" r:id="rId199" xr:uid="{00000000-0004-0000-0100-0000C6000000}"/>
    <hyperlink ref="Z18" r:id="rId200" xr:uid="{00000000-0004-0000-0100-0000C7000000}"/>
    <hyperlink ref="AA18" r:id="rId201" xr:uid="{00000000-0004-0000-0100-0000C8000000}"/>
    <hyperlink ref="AB18" r:id="rId202" xr:uid="{00000000-0004-0000-0100-0000C9000000}"/>
    <hyperlink ref="AC18" r:id="rId203" xr:uid="{00000000-0004-0000-0100-0000CA000000}"/>
    <hyperlink ref="AD18" r:id="rId204" xr:uid="{00000000-0004-0000-0100-0000CB000000}"/>
    <hyperlink ref="B19" r:id="rId205" xr:uid="{00000000-0004-0000-0100-0000CC000000}"/>
    <hyperlink ref="D19" r:id="rId206" xr:uid="{00000000-0004-0000-0100-0000CD000000}"/>
    <hyperlink ref="E19" r:id="rId207" xr:uid="{00000000-0004-0000-0100-0000CE000000}"/>
    <hyperlink ref="V19" r:id="rId208" xr:uid="{00000000-0004-0000-0100-0000CF000000}"/>
    <hyperlink ref="W19" r:id="rId209" xr:uid="{00000000-0004-0000-0100-0000D0000000}"/>
    <hyperlink ref="X19" r:id="rId210" xr:uid="{00000000-0004-0000-0100-0000D1000000}"/>
    <hyperlink ref="Y19" r:id="rId211" xr:uid="{00000000-0004-0000-0100-0000D2000000}"/>
    <hyperlink ref="Z19" r:id="rId212" xr:uid="{00000000-0004-0000-0100-0000D3000000}"/>
    <hyperlink ref="AA19" r:id="rId213" xr:uid="{00000000-0004-0000-0100-0000D4000000}"/>
    <hyperlink ref="AB19" r:id="rId214" xr:uid="{00000000-0004-0000-0100-0000D5000000}"/>
    <hyperlink ref="AC19" r:id="rId215" xr:uid="{00000000-0004-0000-0100-0000D6000000}"/>
    <hyperlink ref="AD19" r:id="rId216" xr:uid="{00000000-0004-0000-0100-0000D7000000}"/>
    <hyperlink ref="B20" r:id="rId217" xr:uid="{00000000-0004-0000-0100-0000D8000000}"/>
    <hyperlink ref="D20" r:id="rId218" xr:uid="{00000000-0004-0000-0100-0000D9000000}"/>
    <hyperlink ref="E20" r:id="rId219" xr:uid="{00000000-0004-0000-0100-0000DA000000}"/>
    <hyperlink ref="V20" r:id="rId220" xr:uid="{00000000-0004-0000-0100-0000DB000000}"/>
    <hyperlink ref="W20" r:id="rId221" xr:uid="{00000000-0004-0000-0100-0000DC000000}"/>
    <hyperlink ref="X20" r:id="rId222" xr:uid="{00000000-0004-0000-0100-0000DD000000}"/>
    <hyperlink ref="Y20" r:id="rId223" xr:uid="{00000000-0004-0000-0100-0000DE000000}"/>
    <hyperlink ref="Z20" r:id="rId224" xr:uid="{00000000-0004-0000-0100-0000DF000000}"/>
    <hyperlink ref="AA20" r:id="rId225" xr:uid="{00000000-0004-0000-0100-0000E0000000}"/>
    <hyperlink ref="AB20" r:id="rId226" xr:uid="{00000000-0004-0000-0100-0000E1000000}"/>
    <hyperlink ref="AC20" r:id="rId227" xr:uid="{00000000-0004-0000-0100-0000E2000000}"/>
    <hyperlink ref="AD20" r:id="rId228" xr:uid="{00000000-0004-0000-0100-0000E3000000}"/>
    <hyperlink ref="B21" r:id="rId229" xr:uid="{00000000-0004-0000-0100-0000E4000000}"/>
    <hyperlink ref="D21" r:id="rId230" xr:uid="{00000000-0004-0000-0100-0000E5000000}"/>
    <hyperlink ref="E21" r:id="rId231" xr:uid="{00000000-0004-0000-0100-0000E6000000}"/>
    <hyperlink ref="V21" r:id="rId232" xr:uid="{00000000-0004-0000-0100-0000E7000000}"/>
    <hyperlink ref="W21" r:id="rId233" xr:uid="{00000000-0004-0000-0100-0000E8000000}"/>
    <hyperlink ref="X21" r:id="rId234" xr:uid="{00000000-0004-0000-0100-0000E9000000}"/>
    <hyperlink ref="Y21" r:id="rId235" xr:uid="{00000000-0004-0000-0100-0000EA000000}"/>
    <hyperlink ref="Z21" r:id="rId236" xr:uid="{00000000-0004-0000-0100-0000EB000000}"/>
    <hyperlink ref="AA21" r:id="rId237" xr:uid="{00000000-0004-0000-0100-0000EC000000}"/>
    <hyperlink ref="AB21" r:id="rId238" xr:uid="{00000000-0004-0000-0100-0000ED000000}"/>
    <hyperlink ref="AC21" r:id="rId239" xr:uid="{00000000-0004-0000-0100-0000EE000000}"/>
    <hyperlink ref="AD21" r:id="rId240" xr:uid="{00000000-0004-0000-0100-0000EF000000}"/>
    <hyperlink ref="B22" r:id="rId241" xr:uid="{00000000-0004-0000-0100-0000F0000000}"/>
    <hyperlink ref="D22" r:id="rId242" xr:uid="{00000000-0004-0000-0100-0000F1000000}"/>
    <hyperlink ref="E22" r:id="rId243" xr:uid="{00000000-0004-0000-0100-0000F2000000}"/>
    <hyperlink ref="V22" r:id="rId244" xr:uid="{00000000-0004-0000-0100-0000F3000000}"/>
    <hyperlink ref="W22" r:id="rId245" xr:uid="{00000000-0004-0000-0100-0000F4000000}"/>
    <hyperlink ref="X22" r:id="rId246" xr:uid="{00000000-0004-0000-0100-0000F5000000}"/>
    <hyperlink ref="Y22" r:id="rId247" xr:uid="{00000000-0004-0000-0100-0000F6000000}"/>
    <hyperlink ref="Z22" r:id="rId248" xr:uid="{00000000-0004-0000-0100-0000F7000000}"/>
    <hyperlink ref="AA22" r:id="rId249" xr:uid="{00000000-0004-0000-0100-0000F8000000}"/>
    <hyperlink ref="AB22" r:id="rId250" xr:uid="{00000000-0004-0000-0100-0000F9000000}"/>
    <hyperlink ref="AC22" r:id="rId251" xr:uid="{00000000-0004-0000-0100-0000FA000000}"/>
    <hyperlink ref="AD22" r:id="rId252" xr:uid="{00000000-0004-0000-0100-0000FB000000}"/>
    <hyperlink ref="B23" r:id="rId253" xr:uid="{00000000-0004-0000-0100-0000FC000000}"/>
    <hyperlink ref="D23" r:id="rId254" xr:uid="{00000000-0004-0000-0100-0000FD000000}"/>
    <hyperlink ref="E23" r:id="rId255" xr:uid="{00000000-0004-0000-0100-0000FE000000}"/>
    <hyperlink ref="V23" r:id="rId256" xr:uid="{00000000-0004-0000-0100-0000FF000000}"/>
    <hyperlink ref="W23" r:id="rId257" xr:uid="{00000000-0004-0000-0100-000000010000}"/>
    <hyperlink ref="X23" r:id="rId258" xr:uid="{00000000-0004-0000-0100-000001010000}"/>
    <hyperlink ref="Y23" r:id="rId259" xr:uid="{00000000-0004-0000-0100-000002010000}"/>
    <hyperlink ref="Z23" r:id="rId260" xr:uid="{00000000-0004-0000-0100-000003010000}"/>
    <hyperlink ref="AA23" r:id="rId261" xr:uid="{00000000-0004-0000-0100-000004010000}"/>
    <hyperlink ref="AB23" r:id="rId262" xr:uid="{00000000-0004-0000-0100-000005010000}"/>
    <hyperlink ref="AC23" r:id="rId263" xr:uid="{00000000-0004-0000-0100-000006010000}"/>
    <hyperlink ref="AD23" r:id="rId264" xr:uid="{00000000-0004-0000-0100-000007010000}"/>
    <hyperlink ref="B24" r:id="rId265" xr:uid="{00000000-0004-0000-0100-000008010000}"/>
    <hyperlink ref="D24" r:id="rId266" xr:uid="{00000000-0004-0000-0100-000009010000}"/>
    <hyperlink ref="E24" r:id="rId267" xr:uid="{00000000-0004-0000-0100-00000A010000}"/>
    <hyperlink ref="V24" r:id="rId268" xr:uid="{00000000-0004-0000-0100-00000B010000}"/>
    <hyperlink ref="W24" r:id="rId269" xr:uid="{00000000-0004-0000-0100-00000C010000}"/>
    <hyperlink ref="X24" r:id="rId270" xr:uid="{00000000-0004-0000-0100-00000D010000}"/>
    <hyperlink ref="Y24" r:id="rId271" xr:uid="{00000000-0004-0000-0100-00000E010000}"/>
    <hyperlink ref="Z24" r:id="rId272" xr:uid="{00000000-0004-0000-0100-00000F010000}"/>
    <hyperlink ref="AA24" r:id="rId273" xr:uid="{00000000-0004-0000-0100-000010010000}"/>
    <hyperlink ref="AB24" r:id="rId274" xr:uid="{00000000-0004-0000-0100-000011010000}"/>
    <hyperlink ref="AC24" r:id="rId275" xr:uid="{00000000-0004-0000-0100-000012010000}"/>
    <hyperlink ref="AD24" r:id="rId276" xr:uid="{00000000-0004-0000-0100-000013010000}"/>
    <hyperlink ref="B25" r:id="rId277" xr:uid="{00000000-0004-0000-0100-000014010000}"/>
    <hyperlink ref="D25" r:id="rId278" xr:uid="{00000000-0004-0000-0100-000015010000}"/>
    <hyperlink ref="E25" r:id="rId279" xr:uid="{00000000-0004-0000-0100-000016010000}"/>
    <hyperlink ref="V25" r:id="rId280" xr:uid="{00000000-0004-0000-0100-000017010000}"/>
    <hyperlink ref="W25" r:id="rId281" xr:uid="{00000000-0004-0000-0100-000018010000}"/>
    <hyperlink ref="X25" r:id="rId282" xr:uid="{00000000-0004-0000-0100-000019010000}"/>
    <hyperlink ref="Y25" r:id="rId283" xr:uid="{00000000-0004-0000-0100-00001A010000}"/>
    <hyperlink ref="Z25" r:id="rId284" xr:uid="{00000000-0004-0000-0100-00001B010000}"/>
    <hyperlink ref="AA25" r:id="rId285" xr:uid="{00000000-0004-0000-0100-00001C010000}"/>
    <hyperlink ref="AB25" r:id="rId286" xr:uid="{00000000-0004-0000-0100-00001D010000}"/>
    <hyperlink ref="AC25" r:id="rId287" xr:uid="{00000000-0004-0000-0100-00001E010000}"/>
    <hyperlink ref="AD25" r:id="rId288" xr:uid="{00000000-0004-0000-0100-00001F010000}"/>
    <hyperlink ref="B26" r:id="rId289" xr:uid="{00000000-0004-0000-0100-000020010000}"/>
    <hyperlink ref="D26" r:id="rId290" xr:uid="{00000000-0004-0000-0100-000021010000}"/>
    <hyperlink ref="E26" r:id="rId291" xr:uid="{00000000-0004-0000-0100-000022010000}"/>
    <hyperlink ref="V26" r:id="rId292" xr:uid="{00000000-0004-0000-0100-000023010000}"/>
    <hyperlink ref="W26" r:id="rId293" xr:uid="{00000000-0004-0000-0100-000024010000}"/>
    <hyperlink ref="X26" r:id="rId294" xr:uid="{00000000-0004-0000-0100-000025010000}"/>
    <hyperlink ref="Y26" r:id="rId295" xr:uid="{00000000-0004-0000-0100-000026010000}"/>
    <hyperlink ref="Z26" r:id="rId296" xr:uid="{00000000-0004-0000-0100-000027010000}"/>
    <hyperlink ref="AA26" r:id="rId297" xr:uid="{00000000-0004-0000-0100-000028010000}"/>
    <hyperlink ref="AB26" r:id="rId298" xr:uid="{00000000-0004-0000-0100-000029010000}"/>
    <hyperlink ref="AC26" r:id="rId299" xr:uid="{00000000-0004-0000-0100-00002A010000}"/>
    <hyperlink ref="AD26" r:id="rId300" xr:uid="{00000000-0004-0000-0100-00002B010000}"/>
    <hyperlink ref="B27" r:id="rId301" xr:uid="{00000000-0004-0000-0100-00002C010000}"/>
    <hyperlink ref="D27" r:id="rId302" xr:uid="{00000000-0004-0000-0100-00002D010000}"/>
    <hyperlink ref="E27" r:id="rId303" xr:uid="{00000000-0004-0000-0100-00002E010000}"/>
    <hyperlink ref="V27" r:id="rId304" xr:uid="{00000000-0004-0000-0100-00002F010000}"/>
    <hyperlink ref="W27" r:id="rId305" xr:uid="{00000000-0004-0000-0100-000030010000}"/>
    <hyperlink ref="X27" r:id="rId306" xr:uid="{00000000-0004-0000-0100-000031010000}"/>
    <hyperlink ref="Y27" r:id="rId307" xr:uid="{00000000-0004-0000-0100-000032010000}"/>
    <hyperlink ref="Z27" r:id="rId308" xr:uid="{00000000-0004-0000-0100-000033010000}"/>
    <hyperlink ref="AA27" r:id="rId309" xr:uid="{00000000-0004-0000-0100-000034010000}"/>
    <hyperlink ref="AB27" r:id="rId310" xr:uid="{00000000-0004-0000-0100-000035010000}"/>
    <hyperlink ref="AC27" r:id="rId311" xr:uid="{00000000-0004-0000-0100-000036010000}"/>
    <hyperlink ref="AD27" r:id="rId312" xr:uid="{00000000-0004-0000-0100-000037010000}"/>
    <hyperlink ref="B28" r:id="rId313" xr:uid="{00000000-0004-0000-0100-000038010000}"/>
    <hyperlink ref="D28" r:id="rId314" xr:uid="{00000000-0004-0000-0100-000039010000}"/>
    <hyperlink ref="E28" r:id="rId315" xr:uid="{00000000-0004-0000-0100-00003A010000}"/>
    <hyperlink ref="V28" r:id="rId316" xr:uid="{00000000-0004-0000-0100-00003B010000}"/>
    <hyperlink ref="W28" r:id="rId317" xr:uid="{00000000-0004-0000-0100-00003C010000}"/>
    <hyperlink ref="X28" r:id="rId318" xr:uid="{00000000-0004-0000-0100-00003D010000}"/>
    <hyperlink ref="Y28" r:id="rId319" xr:uid="{00000000-0004-0000-0100-00003E010000}"/>
    <hyperlink ref="Z28" r:id="rId320" xr:uid="{00000000-0004-0000-0100-00003F010000}"/>
    <hyperlink ref="AA28" r:id="rId321" xr:uid="{00000000-0004-0000-0100-000040010000}"/>
    <hyperlink ref="AB28" r:id="rId322" xr:uid="{00000000-0004-0000-0100-000041010000}"/>
    <hyperlink ref="AC28" r:id="rId323" xr:uid="{00000000-0004-0000-0100-000042010000}"/>
    <hyperlink ref="AD28" r:id="rId324" xr:uid="{00000000-0004-0000-0100-000043010000}"/>
    <hyperlink ref="B29" r:id="rId325" xr:uid="{00000000-0004-0000-0100-000044010000}"/>
    <hyperlink ref="D29" r:id="rId326" xr:uid="{00000000-0004-0000-0100-000045010000}"/>
    <hyperlink ref="E29" r:id="rId327" xr:uid="{00000000-0004-0000-0100-000046010000}"/>
    <hyperlink ref="V29" r:id="rId328" xr:uid="{00000000-0004-0000-0100-000047010000}"/>
    <hyperlink ref="W29" r:id="rId329" xr:uid="{00000000-0004-0000-0100-000048010000}"/>
    <hyperlink ref="X29" r:id="rId330" xr:uid="{00000000-0004-0000-0100-000049010000}"/>
    <hyperlink ref="Y29" r:id="rId331" xr:uid="{00000000-0004-0000-0100-00004A010000}"/>
    <hyperlink ref="Z29" r:id="rId332" xr:uid="{00000000-0004-0000-0100-00004B010000}"/>
    <hyperlink ref="AA29" r:id="rId333" xr:uid="{00000000-0004-0000-0100-00004C010000}"/>
    <hyperlink ref="AB29" r:id="rId334" xr:uid="{00000000-0004-0000-0100-00004D010000}"/>
    <hyperlink ref="AC29" r:id="rId335" xr:uid="{00000000-0004-0000-0100-00004E010000}"/>
    <hyperlink ref="AD29" r:id="rId336" xr:uid="{00000000-0004-0000-0100-00004F010000}"/>
    <hyperlink ref="B30" r:id="rId337" xr:uid="{00000000-0004-0000-0100-000050010000}"/>
    <hyperlink ref="D30" r:id="rId338" xr:uid="{00000000-0004-0000-0100-000051010000}"/>
    <hyperlink ref="E30" r:id="rId339" xr:uid="{00000000-0004-0000-0100-000052010000}"/>
    <hyperlink ref="V30" r:id="rId340" xr:uid="{00000000-0004-0000-0100-000053010000}"/>
    <hyperlink ref="W30" r:id="rId341" xr:uid="{00000000-0004-0000-0100-000054010000}"/>
    <hyperlink ref="X30" r:id="rId342" xr:uid="{00000000-0004-0000-0100-000055010000}"/>
    <hyperlink ref="Y30" r:id="rId343" xr:uid="{00000000-0004-0000-0100-000056010000}"/>
    <hyperlink ref="Z30" r:id="rId344" xr:uid="{00000000-0004-0000-0100-000057010000}"/>
    <hyperlink ref="AA30" r:id="rId345" xr:uid="{00000000-0004-0000-0100-000058010000}"/>
    <hyperlink ref="AB30" r:id="rId346" xr:uid="{00000000-0004-0000-0100-000059010000}"/>
    <hyperlink ref="AC30" r:id="rId347" xr:uid="{00000000-0004-0000-0100-00005A010000}"/>
    <hyperlink ref="AD30" r:id="rId348" xr:uid="{00000000-0004-0000-0100-00005B010000}"/>
    <hyperlink ref="B31" r:id="rId349" xr:uid="{00000000-0004-0000-0100-00005C010000}"/>
    <hyperlink ref="D31" r:id="rId350" xr:uid="{00000000-0004-0000-0100-00005D010000}"/>
    <hyperlink ref="E31" r:id="rId351" xr:uid="{00000000-0004-0000-0100-00005E010000}"/>
    <hyperlink ref="V31" r:id="rId352" xr:uid="{00000000-0004-0000-0100-00005F010000}"/>
    <hyperlink ref="W31" r:id="rId353" xr:uid="{00000000-0004-0000-0100-000060010000}"/>
    <hyperlink ref="X31" r:id="rId354" xr:uid="{00000000-0004-0000-0100-000061010000}"/>
    <hyperlink ref="Y31" r:id="rId355" xr:uid="{00000000-0004-0000-0100-000062010000}"/>
    <hyperlink ref="Z31" r:id="rId356" xr:uid="{00000000-0004-0000-0100-000063010000}"/>
    <hyperlink ref="AA31" r:id="rId357" xr:uid="{00000000-0004-0000-0100-000064010000}"/>
    <hyperlink ref="AB31" r:id="rId358" xr:uid="{00000000-0004-0000-0100-000065010000}"/>
    <hyperlink ref="AC31" r:id="rId359" xr:uid="{00000000-0004-0000-0100-000066010000}"/>
    <hyperlink ref="AD31" r:id="rId360" xr:uid="{00000000-0004-0000-0100-000067010000}"/>
    <hyperlink ref="B32" r:id="rId361" xr:uid="{00000000-0004-0000-0100-000068010000}"/>
    <hyperlink ref="D32" r:id="rId362" xr:uid="{00000000-0004-0000-0100-000069010000}"/>
    <hyperlink ref="E32" r:id="rId363" xr:uid="{00000000-0004-0000-0100-00006A010000}"/>
    <hyperlink ref="V32" r:id="rId364" xr:uid="{00000000-0004-0000-0100-00006B010000}"/>
    <hyperlink ref="W32" r:id="rId365" xr:uid="{00000000-0004-0000-0100-00006C010000}"/>
    <hyperlink ref="X32" r:id="rId366" xr:uid="{00000000-0004-0000-0100-00006D010000}"/>
    <hyperlink ref="Y32" r:id="rId367" xr:uid="{00000000-0004-0000-0100-00006E010000}"/>
    <hyperlink ref="Z32" r:id="rId368" xr:uid="{00000000-0004-0000-0100-00006F010000}"/>
    <hyperlink ref="AA32" r:id="rId369" xr:uid="{00000000-0004-0000-0100-000070010000}"/>
    <hyperlink ref="AB32" r:id="rId370" xr:uid="{00000000-0004-0000-0100-000071010000}"/>
    <hyperlink ref="AC32" r:id="rId371" xr:uid="{00000000-0004-0000-0100-000072010000}"/>
    <hyperlink ref="AD32" r:id="rId372" xr:uid="{00000000-0004-0000-0100-000073010000}"/>
    <hyperlink ref="B33" r:id="rId373" xr:uid="{00000000-0004-0000-0100-000074010000}"/>
    <hyperlink ref="D33" r:id="rId374" xr:uid="{00000000-0004-0000-0100-000075010000}"/>
    <hyperlink ref="E33" r:id="rId375" xr:uid="{00000000-0004-0000-0100-000076010000}"/>
    <hyperlink ref="V33" r:id="rId376" xr:uid="{00000000-0004-0000-0100-000077010000}"/>
    <hyperlink ref="W33" r:id="rId377" xr:uid="{00000000-0004-0000-0100-000078010000}"/>
    <hyperlink ref="X33" r:id="rId378" xr:uid="{00000000-0004-0000-0100-000079010000}"/>
    <hyperlink ref="Y33" r:id="rId379" xr:uid="{00000000-0004-0000-0100-00007A010000}"/>
    <hyperlink ref="Z33" r:id="rId380" xr:uid="{00000000-0004-0000-0100-00007B010000}"/>
    <hyperlink ref="AA33" r:id="rId381" xr:uid="{00000000-0004-0000-0100-00007C010000}"/>
    <hyperlink ref="AB33" r:id="rId382" xr:uid="{00000000-0004-0000-0100-00007D010000}"/>
    <hyperlink ref="AC33" r:id="rId383" xr:uid="{00000000-0004-0000-0100-00007E010000}"/>
    <hyperlink ref="AD33" r:id="rId384" xr:uid="{00000000-0004-0000-0100-00007F010000}"/>
    <hyperlink ref="B34" r:id="rId385" xr:uid="{00000000-0004-0000-0100-000080010000}"/>
    <hyperlink ref="D34" r:id="rId386" xr:uid="{00000000-0004-0000-0100-000081010000}"/>
    <hyperlink ref="E34" r:id="rId387" xr:uid="{00000000-0004-0000-0100-000082010000}"/>
    <hyperlink ref="V34" r:id="rId388" xr:uid="{00000000-0004-0000-0100-000083010000}"/>
    <hyperlink ref="W34" r:id="rId389" xr:uid="{00000000-0004-0000-0100-000084010000}"/>
    <hyperlink ref="X34" r:id="rId390" xr:uid="{00000000-0004-0000-0100-000085010000}"/>
    <hyperlink ref="Y34" r:id="rId391" xr:uid="{00000000-0004-0000-0100-000086010000}"/>
    <hyperlink ref="Z34" r:id="rId392" xr:uid="{00000000-0004-0000-0100-000087010000}"/>
    <hyperlink ref="AA34" r:id="rId393" xr:uid="{00000000-0004-0000-0100-000088010000}"/>
    <hyperlink ref="AB34" r:id="rId394" xr:uid="{00000000-0004-0000-0100-000089010000}"/>
    <hyperlink ref="AC34" r:id="rId395" xr:uid="{00000000-0004-0000-0100-00008A010000}"/>
    <hyperlink ref="AD34" r:id="rId396" xr:uid="{00000000-0004-0000-0100-00008B010000}"/>
    <hyperlink ref="B35" r:id="rId397" xr:uid="{00000000-0004-0000-0100-00008C010000}"/>
    <hyperlink ref="D35" r:id="rId398" xr:uid="{00000000-0004-0000-0100-00008D010000}"/>
    <hyperlink ref="E35" r:id="rId399" xr:uid="{00000000-0004-0000-0100-00008E010000}"/>
    <hyperlink ref="V35" r:id="rId400" xr:uid="{00000000-0004-0000-0100-00008F010000}"/>
    <hyperlink ref="W35" r:id="rId401" xr:uid="{00000000-0004-0000-0100-000090010000}"/>
    <hyperlink ref="X35" r:id="rId402" xr:uid="{00000000-0004-0000-0100-000091010000}"/>
    <hyperlink ref="Y35" r:id="rId403" xr:uid="{00000000-0004-0000-0100-000092010000}"/>
    <hyperlink ref="Z35" r:id="rId404" xr:uid="{00000000-0004-0000-0100-000093010000}"/>
    <hyperlink ref="AA35" r:id="rId405" xr:uid="{00000000-0004-0000-0100-000094010000}"/>
    <hyperlink ref="AB35" r:id="rId406" xr:uid="{00000000-0004-0000-0100-000095010000}"/>
    <hyperlink ref="AC35" r:id="rId407" xr:uid="{00000000-0004-0000-0100-000096010000}"/>
    <hyperlink ref="AD35" r:id="rId408" xr:uid="{00000000-0004-0000-0100-000097010000}"/>
    <hyperlink ref="B36" r:id="rId409" xr:uid="{00000000-0004-0000-0100-000098010000}"/>
    <hyperlink ref="D36" r:id="rId410" xr:uid="{00000000-0004-0000-0100-000099010000}"/>
    <hyperlink ref="E36" r:id="rId411" xr:uid="{00000000-0004-0000-0100-00009A010000}"/>
    <hyperlink ref="V36" r:id="rId412" xr:uid="{00000000-0004-0000-0100-00009B010000}"/>
    <hyperlink ref="W36" r:id="rId413" xr:uid="{00000000-0004-0000-0100-00009C010000}"/>
    <hyperlink ref="X36" r:id="rId414" xr:uid="{00000000-0004-0000-0100-00009D010000}"/>
    <hyperlink ref="Y36" r:id="rId415" xr:uid="{00000000-0004-0000-0100-00009E010000}"/>
    <hyperlink ref="Z36" r:id="rId416" xr:uid="{00000000-0004-0000-0100-00009F010000}"/>
    <hyperlink ref="AA36" r:id="rId417" xr:uid="{00000000-0004-0000-0100-0000A0010000}"/>
    <hyperlink ref="AB36" r:id="rId418" xr:uid="{00000000-0004-0000-0100-0000A1010000}"/>
    <hyperlink ref="AC36" r:id="rId419" xr:uid="{00000000-0004-0000-0100-0000A2010000}"/>
    <hyperlink ref="AD36" r:id="rId420" xr:uid="{00000000-0004-0000-0100-0000A3010000}"/>
    <hyperlink ref="B37" r:id="rId421" xr:uid="{00000000-0004-0000-0100-0000A4010000}"/>
    <hyperlink ref="D37" r:id="rId422" xr:uid="{00000000-0004-0000-0100-0000A5010000}"/>
    <hyperlink ref="E37" r:id="rId423" xr:uid="{00000000-0004-0000-0100-0000A6010000}"/>
    <hyperlink ref="V37" r:id="rId424" xr:uid="{00000000-0004-0000-0100-0000A7010000}"/>
    <hyperlink ref="W37" r:id="rId425" xr:uid="{00000000-0004-0000-0100-0000A8010000}"/>
    <hyperlink ref="X37" r:id="rId426" xr:uid="{00000000-0004-0000-0100-0000A9010000}"/>
    <hyperlink ref="Y37" r:id="rId427" xr:uid="{00000000-0004-0000-0100-0000AA010000}"/>
    <hyperlink ref="Z37" r:id="rId428" xr:uid="{00000000-0004-0000-0100-0000AB010000}"/>
    <hyperlink ref="AA37" r:id="rId429" xr:uid="{00000000-0004-0000-0100-0000AC010000}"/>
    <hyperlink ref="AB37" r:id="rId430" xr:uid="{00000000-0004-0000-0100-0000AD010000}"/>
    <hyperlink ref="AC37" r:id="rId431" xr:uid="{00000000-0004-0000-0100-0000AE010000}"/>
    <hyperlink ref="AD37" r:id="rId432" xr:uid="{00000000-0004-0000-0100-0000AF010000}"/>
    <hyperlink ref="B38" r:id="rId433" xr:uid="{00000000-0004-0000-0100-0000B0010000}"/>
    <hyperlink ref="D38" r:id="rId434" xr:uid="{00000000-0004-0000-0100-0000B1010000}"/>
    <hyperlink ref="E38" r:id="rId435" xr:uid="{00000000-0004-0000-0100-0000B2010000}"/>
    <hyperlink ref="V38" r:id="rId436" xr:uid="{00000000-0004-0000-0100-0000B3010000}"/>
    <hyperlink ref="W38" r:id="rId437" xr:uid="{00000000-0004-0000-0100-0000B4010000}"/>
    <hyperlink ref="X38" r:id="rId438" xr:uid="{00000000-0004-0000-0100-0000B5010000}"/>
    <hyperlink ref="Y38" r:id="rId439" xr:uid="{00000000-0004-0000-0100-0000B6010000}"/>
    <hyperlink ref="Z38" r:id="rId440" xr:uid="{00000000-0004-0000-0100-0000B7010000}"/>
    <hyperlink ref="AA38" r:id="rId441" xr:uid="{00000000-0004-0000-0100-0000B8010000}"/>
    <hyperlink ref="AB38" r:id="rId442" xr:uid="{00000000-0004-0000-0100-0000B9010000}"/>
    <hyperlink ref="AC38" r:id="rId443" xr:uid="{00000000-0004-0000-0100-0000BA010000}"/>
    <hyperlink ref="AD38" r:id="rId444" xr:uid="{00000000-0004-0000-0100-0000BB010000}"/>
    <hyperlink ref="B39" r:id="rId445" xr:uid="{00000000-0004-0000-0100-0000BC010000}"/>
    <hyperlink ref="D39" r:id="rId446" xr:uid="{00000000-0004-0000-0100-0000BD010000}"/>
    <hyperlink ref="E39" r:id="rId447" xr:uid="{00000000-0004-0000-0100-0000BE010000}"/>
    <hyperlink ref="V39" r:id="rId448" xr:uid="{00000000-0004-0000-0100-0000BF010000}"/>
    <hyperlink ref="W39" r:id="rId449" xr:uid="{00000000-0004-0000-0100-0000C0010000}"/>
    <hyperlink ref="X39" r:id="rId450" xr:uid="{00000000-0004-0000-0100-0000C1010000}"/>
    <hyperlink ref="Y39" r:id="rId451" xr:uid="{00000000-0004-0000-0100-0000C2010000}"/>
    <hyperlink ref="Z39" r:id="rId452" xr:uid="{00000000-0004-0000-0100-0000C3010000}"/>
    <hyperlink ref="AA39" r:id="rId453" xr:uid="{00000000-0004-0000-0100-0000C4010000}"/>
    <hyperlink ref="AB39" r:id="rId454" xr:uid="{00000000-0004-0000-0100-0000C5010000}"/>
    <hyperlink ref="AC39" r:id="rId455" xr:uid="{00000000-0004-0000-0100-0000C6010000}"/>
    <hyperlink ref="AD39" r:id="rId456" xr:uid="{00000000-0004-0000-0100-0000C7010000}"/>
    <hyperlink ref="B40" r:id="rId457" xr:uid="{00000000-0004-0000-0100-0000C8010000}"/>
    <hyperlink ref="D40" r:id="rId458" xr:uid="{00000000-0004-0000-0100-0000C9010000}"/>
    <hyperlink ref="E40" r:id="rId459" xr:uid="{00000000-0004-0000-0100-0000CA010000}"/>
    <hyperlink ref="V40" r:id="rId460" xr:uid="{00000000-0004-0000-0100-0000CB010000}"/>
    <hyperlink ref="W40" r:id="rId461" xr:uid="{00000000-0004-0000-0100-0000CC010000}"/>
    <hyperlink ref="X40" r:id="rId462" xr:uid="{00000000-0004-0000-0100-0000CD010000}"/>
    <hyperlink ref="Y40" r:id="rId463" xr:uid="{00000000-0004-0000-0100-0000CE010000}"/>
    <hyperlink ref="Z40" r:id="rId464" xr:uid="{00000000-0004-0000-0100-0000CF010000}"/>
    <hyperlink ref="AA40" r:id="rId465" xr:uid="{00000000-0004-0000-0100-0000D0010000}"/>
    <hyperlink ref="AB40" r:id="rId466" xr:uid="{00000000-0004-0000-0100-0000D1010000}"/>
    <hyperlink ref="AC40" r:id="rId467" xr:uid="{00000000-0004-0000-0100-0000D2010000}"/>
    <hyperlink ref="AD40" r:id="rId468" xr:uid="{00000000-0004-0000-0100-0000D3010000}"/>
    <hyperlink ref="B41" r:id="rId469" xr:uid="{00000000-0004-0000-0100-0000D4010000}"/>
    <hyperlink ref="D41" r:id="rId470" xr:uid="{00000000-0004-0000-0100-0000D5010000}"/>
    <hyperlink ref="E41" r:id="rId471" xr:uid="{00000000-0004-0000-0100-0000D6010000}"/>
    <hyperlink ref="V41" r:id="rId472" xr:uid="{00000000-0004-0000-0100-0000D7010000}"/>
    <hyperlink ref="W41" r:id="rId473" xr:uid="{00000000-0004-0000-0100-0000D8010000}"/>
    <hyperlink ref="X41" r:id="rId474" xr:uid="{00000000-0004-0000-0100-0000D9010000}"/>
    <hyperlink ref="Y41" r:id="rId475" xr:uid="{00000000-0004-0000-0100-0000DA010000}"/>
    <hyperlink ref="Z41" r:id="rId476" xr:uid="{00000000-0004-0000-0100-0000DB010000}"/>
    <hyperlink ref="AA41" r:id="rId477" xr:uid="{00000000-0004-0000-0100-0000DC010000}"/>
    <hyperlink ref="AB41" r:id="rId478" xr:uid="{00000000-0004-0000-0100-0000DD010000}"/>
    <hyperlink ref="AC41" r:id="rId479" xr:uid="{00000000-0004-0000-0100-0000DE010000}"/>
    <hyperlink ref="AD41" r:id="rId480" xr:uid="{00000000-0004-0000-0100-0000DF010000}"/>
    <hyperlink ref="B42" r:id="rId481" xr:uid="{00000000-0004-0000-0100-0000E0010000}"/>
    <hyperlink ref="D42" r:id="rId482" xr:uid="{00000000-0004-0000-0100-0000E1010000}"/>
    <hyperlink ref="E42" r:id="rId483" xr:uid="{00000000-0004-0000-0100-0000E2010000}"/>
    <hyperlink ref="V42" r:id="rId484" xr:uid="{00000000-0004-0000-0100-0000E3010000}"/>
    <hyperlink ref="W42" r:id="rId485" xr:uid="{00000000-0004-0000-0100-0000E4010000}"/>
    <hyperlink ref="X42" r:id="rId486" xr:uid="{00000000-0004-0000-0100-0000E5010000}"/>
    <hyperlink ref="Y42" r:id="rId487" xr:uid="{00000000-0004-0000-0100-0000E6010000}"/>
    <hyperlink ref="Z42" r:id="rId488" xr:uid="{00000000-0004-0000-0100-0000E7010000}"/>
    <hyperlink ref="AA42" r:id="rId489" xr:uid="{00000000-0004-0000-0100-0000E8010000}"/>
    <hyperlink ref="AB42" r:id="rId490" xr:uid="{00000000-0004-0000-0100-0000E9010000}"/>
    <hyperlink ref="AC42" r:id="rId491" xr:uid="{00000000-0004-0000-0100-0000EA010000}"/>
    <hyperlink ref="AD42" r:id="rId492" xr:uid="{00000000-0004-0000-0100-0000EB010000}"/>
    <hyperlink ref="B43" r:id="rId493" xr:uid="{00000000-0004-0000-0100-0000EC010000}"/>
    <hyperlink ref="D43" r:id="rId494" xr:uid="{00000000-0004-0000-0100-0000ED010000}"/>
    <hyperlink ref="E43" r:id="rId495" xr:uid="{00000000-0004-0000-0100-0000EE010000}"/>
    <hyperlink ref="V43" r:id="rId496" xr:uid="{00000000-0004-0000-0100-0000EF010000}"/>
    <hyperlink ref="W43" r:id="rId497" xr:uid="{00000000-0004-0000-0100-0000F0010000}"/>
    <hyperlink ref="X43" r:id="rId498" xr:uid="{00000000-0004-0000-0100-0000F1010000}"/>
    <hyperlink ref="Y43" r:id="rId499" xr:uid="{00000000-0004-0000-0100-0000F2010000}"/>
    <hyperlink ref="Z43" r:id="rId500" xr:uid="{00000000-0004-0000-0100-0000F3010000}"/>
    <hyperlink ref="AA43" r:id="rId501" xr:uid="{00000000-0004-0000-0100-0000F4010000}"/>
    <hyperlink ref="AB43" r:id="rId502" xr:uid="{00000000-0004-0000-0100-0000F5010000}"/>
    <hyperlink ref="AC43" r:id="rId503" xr:uid="{00000000-0004-0000-0100-0000F6010000}"/>
    <hyperlink ref="AD43" r:id="rId504" xr:uid="{00000000-0004-0000-0100-0000F7010000}"/>
    <hyperlink ref="B44" r:id="rId505" xr:uid="{00000000-0004-0000-0100-0000F8010000}"/>
    <hyperlink ref="D44" r:id="rId506" xr:uid="{00000000-0004-0000-0100-0000F9010000}"/>
    <hyperlink ref="E44" r:id="rId507" xr:uid="{00000000-0004-0000-0100-0000FA010000}"/>
    <hyperlink ref="V44" r:id="rId508" xr:uid="{00000000-0004-0000-0100-0000FB010000}"/>
    <hyperlink ref="W44" r:id="rId509" xr:uid="{00000000-0004-0000-0100-0000FC010000}"/>
    <hyperlink ref="X44" r:id="rId510" xr:uid="{00000000-0004-0000-0100-0000FD010000}"/>
    <hyperlink ref="Y44" r:id="rId511" xr:uid="{00000000-0004-0000-0100-0000FE010000}"/>
    <hyperlink ref="Z44" r:id="rId512" xr:uid="{00000000-0004-0000-0100-0000FF010000}"/>
    <hyperlink ref="AA44" r:id="rId513" xr:uid="{00000000-0004-0000-0100-000000020000}"/>
    <hyperlink ref="AB44" r:id="rId514" xr:uid="{00000000-0004-0000-0100-000001020000}"/>
    <hyperlink ref="AC44" r:id="rId515" xr:uid="{00000000-0004-0000-0100-000002020000}"/>
    <hyperlink ref="B45" r:id="rId516" xr:uid="{00000000-0004-0000-0100-000003020000}"/>
    <hyperlink ref="D45" r:id="rId517" xr:uid="{00000000-0004-0000-0100-000004020000}"/>
    <hyperlink ref="E45" r:id="rId518" xr:uid="{00000000-0004-0000-0100-000005020000}"/>
    <hyperlink ref="V45" r:id="rId519" xr:uid="{00000000-0004-0000-0100-000006020000}"/>
    <hyperlink ref="W45" r:id="rId520" xr:uid="{00000000-0004-0000-0100-000007020000}"/>
    <hyperlink ref="X45" r:id="rId521" xr:uid="{00000000-0004-0000-0100-000008020000}"/>
    <hyperlink ref="Y45" r:id="rId522" xr:uid="{00000000-0004-0000-0100-000009020000}"/>
    <hyperlink ref="Z45" r:id="rId523" xr:uid="{00000000-0004-0000-0100-00000A020000}"/>
    <hyperlink ref="AA45" r:id="rId524" xr:uid="{00000000-0004-0000-0100-00000B020000}"/>
    <hyperlink ref="AB45" r:id="rId525" xr:uid="{00000000-0004-0000-0100-00000C020000}"/>
    <hyperlink ref="AC45" r:id="rId526" xr:uid="{00000000-0004-0000-0100-00000D020000}"/>
    <hyperlink ref="AD45" r:id="rId527" xr:uid="{00000000-0004-0000-0100-00000E020000}"/>
    <hyperlink ref="B46" r:id="rId528" xr:uid="{00000000-0004-0000-0100-00000F020000}"/>
    <hyperlink ref="D46" r:id="rId529" xr:uid="{00000000-0004-0000-0100-000010020000}"/>
    <hyperlink ref="E46" r:id="rId530" xr:uid="{00000000-0004-0000-0100-000011020000}"/>
    <hyperlink ref="V46" r:id="rId531" xr:uid="{00000000-0004-0000-0100-000012020000}"/>
    <hyperlink ref="W46" r:id="rId532" xr:uid="{00000000-0004-0000-0100-000013020000}"/>
    <hyperlink ref="X46" r:id="rId533" xr:uid="{00000000-0004-0000-0100-000014020000}"/>
    <hyperlink ref="Y46" r:id="rId534" xr:uid="{00000000-0004-0000-0100-000015020000}"/>
    <hyperlink ref="Z46" r:id="rId535" xr:uid="{00000000-0004-0000-0100-000016020000}"/>
    <hyperlink ref="AA46" r:id="rId536" xr:uid="{00000000-0004-0000-0100-000017020000}"/>
    <hyperlink ref="AB46" r:id="rId537" xr:uid="{00000000-0004-0000-0100-000018020000}"/>
    <hyperlink ref="AC46" r:id="rId538" xr:uid="{00000000-0004-0000-0100-000019020000}"/>
    <hyperlink ref="AD46" r:id="rId539" xr:uid="{00000000-0004-0000-0100-00001A020000}"/>
    <hyperlink ref="B47" r:id="rId540" xr:uid="{00000000-0004-0000-0100-00001B020000}"/>
    <hyperlink ref="D47" r:id="rId541" xr:uid="{00000000-0004-0000-0100-00001C020000}"/>
    <hyperlink ref="E47" r:id="rId542" xr:uid="{00000000-0004-0000-0100-00001D020000}"/>
    <hyperlink ref="V47" r:id="rId543" xr:uid="{00000000-0004-0000-0100-00001E020000}"/>
    <hyperlink ref="W47" r:id="rId544" xr:uid="{00000000-0004-0000-0100-00001F020000}"/>
    <hyperlink ref="X47" r:id="rId545" xr:uid="{00000000-0004-0000-0100-000020020000}"/>
    <hyperlink ref="Y47" r:id="rId546" xr:uid="{00000000-0004-0000-0100-000021020000}"/>
    <hyperlink ref="Z47" r:id="rId547" xr:uid="{00000000-0004-0000-0100-000022020000}"/>
    <hyperlink ref="AA47" r:id="rId548" xr:uid="{00000000-0004-0000-0100-000023020000}"/>
    <hyperlink ref="AB47" r:id="rId549" xr:uid="{00000000-0004-0000-0100-000024020000}"/>
    <hyperlink ref="AC47" r:id="rId550" xr:uid="{00000000-0004-0000-0100-000025020000}"/>
    <hyperlink ref="AD47" r:id="rId551" xr:uid="{00000000-0004-0000-0100-000026020000}"/>
    <hyperlink ref="B48" r:id="rId552" xr:uid="{00000000-0004-0000-0100-000027020000}"/>
    <hyperlink ref="D48" r:id="rId553" xr:uid="{00000000-0004-0000-0100-000028020000}"/>
    <hyperlink ref="E48" r:id="rId554" xr:uid="{00000000-0004-0000-0100-000029020000}"/>
    <hyperlink ref="V48" r:id="rId555" xr:uid="{00000000-0004-0000-0100-00002A020000}"/>
    <hyperlink ref="W48" r:id="rId556" xr:uid="{00000000-0004-0000-0100-00002B020000}"/>
    <hyperlink ref="X48" r:id="rId557" xr:uid="{00000000-0004-0000-0100-00002C020000}"/>
    <hyperlink ref="Y48" r:id="rId558" xr:uid="{00000000-0004-0000-0100-00002D020000}"/>
    <hyperlink ref="Z48" r:id="rId559" xr:uid="{00000000-0004-0000-0100-00002E020000}"/>
    <hyperlink ref="AA48" r:id="rId560" xr:uid="{00000000-0004-0000-0100-00002F020000}"/>
    <hyperlink ref="AB48" r:id="rId561" xr:uid="{00000000-0004-0000-0100-000030020000}"/>
    <hyperlink ref="AC48" r:id="rId562" xr:uid="{00000000-0004-0000-0100-000031020000}"/>
    <hyperlink ref="AD48" r:id="rId563" xr:uid="{00000000-0004-0000-0100-000032020000}"/>
    <hyperlink ref="B49" r:id="rId564" xr:uid="{00000000-0004-0000-0100-000033020000}"/>
    <hyperlink ref="D49" r:id="rId565" xr:uid="{00000000-0004-0000-0100-000034020000}"/>
    <hyperlink ref="E49" r:id="rId566" xr:uid="{00000000-0004-0000-0100-000035020000}"/>
    <hyperlink ref="V49" r:id="rId567" xr:uid="{00000000-0004-0000-0100-000036020000}"/>
    <hyperlink ref="W49" r:id="rId568" xr:uid="{00000000-0004-0000-0100-000037020000}"/>
    <hyperlink ref="X49" r:id="rId569" xr:uid="{00000000-0004-0000-0100-000038020000}"/>
    <hyperlink ref="Y49" r:id="rId570" xr:uid="{00000000-0004-0000-0100-000039020000}"/>
    <hyperlink ref="Z49" r:id="rId571" xr:uid="{00000000-0004-0000-0100-00003A020000}"/>
    <hyperlink ref="AA49" r:id="rId572" xr:uid="{00000000-0004-0000-0100-00003B020000}"/>
    <hyperlink ref="AB49" r:id="rId573" xr:uid="{00000000-0004-0000-0100-00003C020000}"/>
    <hyperlink ref="AC49" r:id="rId574" xr:uid="{00000000-0004-0000-0100-00003D020000}"/>
    <hyperlink ref="B50" r:id="rId575" xr:uid="{00000000-0004-0000-0100-00003E020000}"/>
    <hyperlink ref="D50" r:id="rId576" xr:uid="{00000000-0004-0000-0100-00003F020000}"/>
    <hyperlink ref="E50" r:id="rId577" xr:uid="{00000000-0004-0000-0100-000040020000}"/>
    <hyperlink ref="V50" r:id="rId578" xr:uid="{00000000-0004-0000-0100-000041020000}"/>
    <hyperlink ref="W50" r:id="rId579" xr:uid="{00000000-0004-0000-0100-000042020000}"/>
    <hyperlink ref="X50" r:id="rId580" xr:uid="{00000000-0004-0000-0100-000043020000}"/>
    <hyperlink ref="Y50" r:id="rId581" xr:uid="{00000000-0004-0000-0100-000044020000}"/>
    <hyperlink ref="Z50" r:id="rId582" xr:uid="{00000000-0004-0000-0100-000045020000}"/>
    <hyperlink ref="AA50" r:id="rId583" xr:uid="{00000000-0004-0000-0100-000046020000}"/>
    <hyperlink ref="AB50" r:id="rId584" xr:uid="{00000000-0004-0000-0100-000047020000}"/>
    <hyperlink ref="AC50" r:id="rId585" xr:uid="{00000000-0004-0000-0100-000048020000}"/>
    <hyperlink ref="AD50" r:id="rId586" xr:uid="{00000000-0004-0000-0100-000049020000}"/>
    <hyperlink ref="B51" r:id="rId587" xr:uid="{00000000-0004-0000-0100-00004A020000}"/>
    <hyperlink ref="D51" r:id="rId588" xr:uid="{00000000-0004-0000-0100-00004B020000}"/>
    <hyperlink ref="E51" r:id="rId589" xr:uid="{00000000-0004-0000-0100-00004C020000}"/>
    <hyperlink ref="V51" r:id="rId590" xr:uid="{00000000-0004-0000-0100-00004D020000}"/>
    <hyperlink ref="W51" r:id="rId591" xr:uid="{00000000-0004-0000-0100-00004E020000}"/>
    <hyperlink ref="X51" r:id="rId592" xr:uid="{00000000-0004-0000-0100-00004F020000}"/>
    <hyperlink ref="Y51" r:id="rId593" xr:uid="{00000000-0004-0000-0100-000050020000}"/>
    <hyperlink ref="Z51" r:id="rId594" xr:uid="{00000000-0004-0000-0100-000051020000}"/>
    <hyperlink ref="AA51" r:id="rId595" xr:uid="{00000000-0004-0000-0100-000052020000}"/>
    <hyperlink ref="AB51" r:id="rId596" xr:uid="{00000000-0004-0000-0100-000053020000}"/>
    <hyperlink ref="AC51" r:id="rId597" xr:uid="{00000000-0004-0000-0100-000054020000}"/>
    <hyperlink ref="AD51" r:id="rId598" xr:uid="{00000000-0004-0000-0100-000055020000}"/>
    <hyperlink ref="B52" r:id="rId599" xr:uid="{00000000-0004-0000-0100-000056020000}"/>
    <hyperlink ref="D52" r:id="rId600" xr:uid="{00000000-0004-0000-0100-000057020000}"/>
    <hyperlink ref="E52" r:id="rId601" xr:uid="{00000000-0004-0000-0100-000058020000}"/>
    <hyperlink ref="V52" r:id="rId602" xr:uid="{00000000-0004-0000-0100-000059020000}"/>
    <hyperlink ref="W52" r:id="rId603" xr:uid="{00000000-0004-0000-0100-00005A020000}"/>
    <hyperlink ref="X52" r:id="rId604" xr:uid="{00000000-0004-0000-0100-00005B020000}"/>
    <hyperlink ref="Y52" r:id="rId605" xr:uid="{00000000-0004-0000-0100-00005C020000}"/>
    <hyperlink ref="Z52" r:id="rId606" xr:uid="{00000000-0004-0000-0100-00005D020000}"/>
    <hyperlink ref="AA52" r:id="rId607" xr:uid="{00000000-0004-0000-0100-00005E020000}"/>
    <hyperlink ref="AB52" r:id="rId608" xr:uid="{00000000-0004-0000-0100-00005F020000}"/>
    <hyperlink ref="AC52" r:id="rId609" xr:uid="{00000000-0004-0000-0100-000060020000}"/>
    <hyperlink ref="AD52" r:id="rId610" xr:uid="{00000000-0004-0000-0100-000061020000}"/>
    <hyperlink ref="B53" r:id="rId611" xr:uid="{00000000-0004-0000-0100-000062020000}"/>
    <hyperlink ref="D53" r:id="rId612" xr:uid="{00000000-0004-0000-0100-000063020000}"/>
    <hyperlink ref="E53" r:id="rId613" xr:uid="{00000000-0004-0000-0100-000064020000}"/>
    <hyperlink ref="V53" r:id="rId614" xr:uid="{00000000-0004-0000-0100-000065020000}"/>
    <hyperlink ref="W53" r:id="rId615" xr:uid="{00000000-0004-0000-0100-000066020000}"/>
    <hyperlink ref="X53" r:id="rId616" xr:uid="{00000000-0004-0000-0100-000067020000}"/>
    <hyperlink ref="Y53" r:id="rId617" xr:uid="{00000000-0004-0000-0100-000068020000}"/>
    <hyperlink ref="Z53" r:id="rId618" xr:uid="{00000000-0004-0000-0100-000069020000}"/>
    <hyperlink ref="AA53" r:id="rId619" xr:uid="{00000000-0004-0000-0100-00006A020000}"/>
    <hyperlink ref="AB53" r:id="rId620" xr:uid="{00000000-0004-0000-0100-00006B020000}"/>
    <hyperlink ref="AC53" r:id="rId621" xr:uid="{00000000-0004-0000-0100-00006C020000}"/>
    <hyperlink ref="AD53" r:id="rId622" xr:uid="{00000000-0004-0000-0100-00006D020000}"/>
    <hyperlink ref="B54" r:id="rId623" xr:uid="{00000000-0004-0000-0100-00006E020000}"/>
    <hyperlink ref="D54" r:id="rId624" xr:uid="{00000000-0004-0000-0100-00006F020000}"/>
    <hyperlink ref="E54" r:id="rId625" xr:uid="{00000000-0004-0000-0100-000070020000}"/>
    <hyperlink ref="V54" r:id="rId626" xr:uid="{00000000-0004-0000-0100-000071020000}"/>
    <hyperlink ref="W54" r:id="rId627" xr:uid="{00000000-0004-0000-0100-000072020000}"/>
    <hyperlink ref="X54" r:id="rId628" xr:uid="{00000000-0004-0000-0100-000073020000}"/>
    <hyperlink ref="Y54" r:id="rId629" xr:uid="{00000000-0004-0000-0100-000074020000}"/>
    <hyperlink ref="Z54" r:id="rId630" xr:uid="{00000000-0004-0000-0100-000075020000}"/>
    <hyperlink ref="AA54" r:id="rId631" xr:uid="{00000000-0004-0000-0100-000076020000}"/>
    <hyperlink ref="AB54" r:id="rId632" xr:uid="{00000000-0004-0000-0100-000077020000}"/>
    <hyperlink ref="AC54" r:id="rId633" xr:uid="{00000000-0004-0000-0100-000078020000}"/>
    <hyperlink ref="B55" r:id="rId634" xr:uid="{00000000-0004-0000-0100-000079020000}"/>
    <hyperlink ref="D55" r:id="rId635" xr:uid="{00000000-0004-0000-0100-00007A020000}"/>
    <hyperlink ref="E55" r:id="rId636" xr:uid="{00000000-0004-0000-0100-00007B020000}"/>
    <hyperlink ref="V55" r:id="rId637" xr:uid="{00000000-0004-0000-0100-00007C020000}"/>
    <hyperlink ref="W55" r:id="rId638" xr:uid="{00000000-0004-0000-0100-00007D020000}"/>
    <hyperlink ref="X55" r:id="rId639" xr:uid="{00000000-0004-0000-0100-00007E020000}"/>
    <hyperlink ref="Y55" r:id="rId640" xr:uid="{00000000-0004-0000-0100-00007F020000}"/>
    <hyperlink ref="Z55" r:id="rId641" xr:uid="{00000000-0004-0000-0100-000080020000}"/>
    <hyperlink ref="AA55" r:id="rId642" xr:uid="{00000000-0004-0000-0100-000081020000}"/>
    <hyperlink ref="AB55" r:id="rId643" xr:uid="{00000000-0004-0000-0100-000082020000}"/>
    <hyperlink ref="AC55" r:id="rId644" xr:uid="{00000000-0004-0000-0100-000083020000}"/>
    <hyperlink ref="AD55" r:id="rId645" xr:uid="{00000000-0004-0000-0100-000084020000}"/>
    <hyperlink ref="B56" r:id="rId646" xr:uid="{00000000-0004-0000-0100-000085020000}"/>
    <hyperlink ref="D56" r:id="rId647" xr:uid="{00000000-0004-0000-0100-000086020000}"/>
    <hyperlink ref="E56" r:id="rId648" xr:uid="{00000000-0004-0000-0100-000087020000}"/>
    <hyperlink ref="V56" r:id="rId649" xr:uid="{00000000-0004-0000-0100-000088020000}"/>
    <hyperlink ref="W56" r:id="rId650" xr:uid="{00000000-0004-0000-0100-000089020000}"/>
    <hyperlink ref="X56" r:id="rId651" xr:uid="{00000000-0004-0000-0100-00008A020000}"/>
    <hyperlink ref="Y56" r:id="rId652" xr:uid="{00000000-0004-0000-0100-00008B020000}"/>
    <hyperlink ref="Z56" r:id="rId653" xr:uid="{00000000-0004-0000-0100-00008C020000}"/>
    <hyperlink ref="AA56" r:id="rId654" xr:uid="{00000000-0004-0000-0100-00008D020000}"/>
    <hyperlink ref="AB56" r:id="rId655" xr:uid="{00000000-0004-0000-0100-00008E020000}"/>
    <hyperlink ref="AC56" r:id="rId656" xr:uid="{00000000-0004-0000-0100-00008F020000}"/>
    <hyperlink ref="AD56" r:id="rId657" xr:uid="{00000000-0004-0000-0100-000090020000}"/>
    <hyperlink ref="B57" r:id="rId658" xr:uid="{00000000-0004-0000-0100-000091020000}"/>
    <hyperlink ref="D57" r:id="rId659" xr:uid="{00000000-0004-0000-0100-000092020000}"/>
    <hyperlink ref="E57" r:id="rId660" xr:uid="{00000000-0004-0000-0100-000093020000}"/>
    <hyperlink ref="B58" r:id="rId661" xr:uid="{00000000-0004-0000-0100-000094020000}"/>
    <hyperlink ref="D58" r:id="rId662" xr:uid="{00000000-0004-0000-0100-000095020000}"/>
    <hyperlink ref="E58" r:id="rId663" xr:uid="{00000000-0004-0000-0100-000096020000}"/>
    <hyperlink ref="V58" r:id="rId664" xr:uid="{00000000-0004-0000-0100-000097020000}"/>
    <hyperlink ref="W58" r:id="rId665" xr:uid="{00000000-0004-0000-0100-000098020000}"/>
    <hyperlink ref="X58" r:id="rId666" xr:uid="{00000000-0004-0000-0100-000099020000}"/>
    <hyperlink ref="Y58" r:id="rId667" xr:uid="{00000000-0004-0000-0100-00009A020000}"/>
    <hyperlink ref="Z58" r:id="rId668" xr:uid="{00000000-0004-0000-0100-00009B020000}"/>
    <hyperlink ref="AA58" r:id="rId669" xr:uid="{00000000-0004-0000-0100-00009C020000}"/>
    <hyperlink ref="AB58" r:id="rId670" xr:uid="{00000000-0004-0000-0100-00009D020000}"/>
    <hyperlink ref="AC58" r:id="rId671" xr:uid="{00000000-0004-0000-0100-00009E020000}"/>
    <hyperlink ref="AD58" r:id="rId672" xr:uid="{00000000-0004-0000-0100-00009F020000}"/>
    <hyperlink ref="B59" r:id="rId673" xr:uid="{00000000-0004-0000-0100-0000A0020000}"/>
    <hyperlink ref="D59" r:id="rId674" xr:uid="{00000000-0004-0000-0100-0000A1020000}"/>
    <hyperlink ref="E59" r:id="rId675" xr:uid="{00000000-0004-0000-0100-0000A2020000}"/>
    <hyperlink ref="V59" r:id="rId676" xr:uid="{00000000-0004-0000-0100-0000A3020000}"/>
    <hyperlink ref="W59" r:id="rId677" xr:uid="{00000000-0004-0000-0100-0000A4020000}"/>
    <hyperlink ref="X59" r:id="rId678" xr:uid="{00000000-0004-0000-0100-0000A5020000}"/>
    <hyperlink ref="Y59" r:id="rId679" xr:uid="{00000000-0004-0000-0100-0000A6020000}"/>
    <hyperlink ref="Z59" r:id="rId680" xr:uid="{00000000-0004-0000-0100-0000A7020000}"/>
    <hyperlink ref="AA59" r:id="rId681" xr:uid="{00000000-0004-0000-0100-0000A8020000}"/>
    <hyperlink ref="AB59" r:id="rId682" xr:uid="{00000000-0004-0000-0100-0000A9020000}"/>
    <hyperlink ref="AC59" r:id="rId683" xr:uid="{00000000-0004-0000-0100-0000AA020000}"/>
    <hyperlink ref="AD59" r:id="rId684" xr:uid="{00000000-0004-0000-0100-0000AB020000}"/>
    <hyperlink ref="B60" r:id="rId685" xr:uid="{00000000-0004-0000-0100-0000AC020000}"/>
    <hyperlink ref="D60" r:id="rId686" xr:uid="{00000000-0004-0000-0100-0000AD020000}"/>
    <hyperlink ref="E60" r:id="rId687" xr:uid="{00000000-0004-0000-0100-0000AE020000}"/>
    <hyperlink ref="V60" r:id="rId688" xr:uid="{00000000-0004-0000-0100-0000AF020000}"/>
    <hyperlink ref="W60" r:id="rId689" xr:uid="{00000000-0004-0000-0100-0000B0020000}"/>
    <hyperlink ref="X60" r:id="rId690" xr:uid="{00000000-0004-0000-0100-0000B1020000}"/>
    <hyperlink ref="Y60" r:id="rId691" xr:uid="{00000000-0004-0000-0100-0000B2020000}"/>
    <hyperlink ref="Z60" r:id="rId692" xr:uid="{00000000-0004-0000-0100-0000B3020000}"/>
    <hyperlink ref="AA60" r:id="rId693" xr:uid="{00000000-0004-0000-0100-0000B4020000}"/>
    <hyperlink ref="AB60" r:id="rId694" xr:uid="{00000000-0004-0000-0100-0000B5020000}"/>
    <hyperlink ref="AC60" r:id="rId695" xr:uid="{00000000-0004-0000-0100-0000B6020000}"/>
    <hyperlink ref="AD60" r:id="rId696" xr:uid="{00000000-0004-0000-0100-0000B7020000}"/>
    <hyperlink ref="B61" r:id="rId697" xr:uid="{00000000-0004-0000-0100-0000B8020000}"/>
    <hyperlink ref="D61" r:id="rId698" xr:uid="{00000000-0004-0000-0100-0000B9020000}"/>
    <hyperlink ref="E61" r:id="rId699" xr:uid="{00000000-0004-0000-0100-0000BA020000}"/>
    <hyperlink ref="V61" r:id="rId700" xr:uid="{00000000-0004-0000-0100-0000BB020000}"/>
    <hyperlink ref="W61" r:id="rId701" xr:uid="{00000000-0004-0000-0100-0000BC020000}"/>
    <hyperlink ref="X61" r:id="rId702" xr:uid="{00000000-0004-0000-0100-0000BD020000}"/>
    <hyperlink ref="Y61" r:id="rId703" xr:uid="{00000000-0004-0000-0100-0000BE020000}"/>
    <hyperlink ref="Z61" r:id="rId704" xr:uid="{00000000-0004-0000-0100-0000BF020000}"/>
    <hyperlink ref="AA61" r:id="rId705" xr:uid="{00000000-0004-0000-0100-0000C0020000}"/>
    <hyperlink ref="B62" r:id="rId706" xr:uid="{00000000-0004-0000-0100-0000C1020000}"/>
    <hyperlink ref="D62" r:id="rId707" xr:uid="{00000000-0004-0000-0100-0000C2020000}"/>
    <hyperlink ref="E62" r:id="rId708" xr:uid="{00000000-0004-0000-0100-0000C3020000}"/>
    <hyperlink ref="V62" r:id="rId709" xr:uid="{00000000-0004-0000-0100-0000C4020000}"/>
    <hyperlink ref="W62" r:id="rId710" xr:uid="{00000000-0004-0000-0100-0000C5020000}"/>
    <hyperlink ref="X62" r:id="rId711" xr:uid="{00000000-0004-0000-0100-0000C6020000}"/>
    <hyperlink ref="Y62" r:id="rId712" xr:uid="{00000000-0004-0000-0100-0000C7020000}"/>
    <hyperlink ref="Z62" r:id="rId713" xr:uid="{00000000-0004-0000-0100-0000C8020000}"/>
    <hyperlink ref="AA62" r:id="rId714" xr:uid="{00000000-0004-0000-0100-0000C9020000}"/>
    <hyperlink ref="AB62" r:id="rId715" xr:uid="{00000000-0004-0000-0100-0000CA020000}"/>
    <hyperlink ref="AC62" r:id="rId716" xr:uid="{00000000-0004-0000-0100-0000CB020000}"/>
    <hyperlink ref="AD62" r:id="rId717" xr:uid="{00000000-0004-0000-0100-0000CC020000}"/>
    <hyperlink ref="B63" r:id="rId718" xr:uid="{00000000-0004-0000-0100-0000CD020000}"/>
    <hyperlink ref="D63" r:id="rId719" xr:uid="{00000000-0004-0000-0100-0000CE020000}"/>
    <hyperlink ref="E63" r:id="rId720" xr:uid="{00000000-0004-0000-0100-0000CF020000}"/>
    <hyperlink ref="V63" r:id="rId721" xr:uid="{00000000-0004-0000-0100-0000D0020000}"/>
    <hyperlink ref="W63" r:id="rId722" xr:uid="{00000000-0004-0000-0100-0000D1020000}"/>
    <hyperlink ref="X63" r:id="rId723" xr:uid="{00000000-0004-0000-0100-0000D2020000}"/>
    <hyperlink ref="Y63" r:id="rId724" xr:uid="{00000000-0004-0000-0100-0000D3020000}"/>
    <hyperlink ref="Z63" r:id="rId725" xr:uid="{00000000-0004-0000-0100-0000D4020000}"/>
    <hyperlink ref="AA63" r:id="rId726" xr:uid="{00000000-0004-0000-0100-0000D5020000}"/>
    <hyperlink ref="AB63" r:id="rId727" xr:uid="{00000000-0004-0000-0100-0000D6020000}"/>
    <hyperlink ref="AC63" r:id="rId728" xr:uid="{00000000-0004-0000-0100-0000D7020000}"/>
    <hyperlink ref="AD63" r:id="rId729" xr:uid="{00000000-0004-0000-0100-0000D8020000}"/>
    <hyperlink ref="B64" r:id="rId730" xr:uid="{00000000-0004-0000-0100-0000D9020000}"/>
    <hyperlink ref="D64" r:id="rId731" xr:uid="{00000000-0004-0000-0100-0000DA020000}"/>
    <hyperlink ref="E64" r:id="rId732" xr:uid="{00000000-0004-0000-0100-0000DB020000}"/>
    <hyperlink ref="V64" r:id="rId733" xr:uid="{00000000-0004-0000-0100-0000DC020000}"/>
    <hyperlink ref="W64" r:id="rId734" xr:uid="{00000000-0004-0000-0100-0000DD020000}"/>
    <hyperlink ref="X64" r:id="rId735" xr:uid="{00000000-0004-0000-0100-0000DE020000}"/>
    <hyperlink ref="Y64" r:id="rId736" xr:uid="{00000000-0004-0000-0100-0000DF020000}"/>
    <hyperlink ref="Z64" r:id="rId737" xr:uid="{00000000-0004-0000-0100-0000E0020000}"/>
    <hyperlink ref="AA64" r:id="rId738" xr:uid="{00000000-0004-0000-0100-0000E1020000}"/>
    <hyperlink ref="AB64" r:id="rId739" xr:uid="{00000000-0004-0000-0100-0000E2020000}"/>
    <hyperlink ref="AC64" r:id="rId740" xr:uid="{00000000-0004-0000-0100-0000E3020000}"/>
    <hyperlink ref="AD64" r:id="rId741" xr:uid="{00000000-0004-0000-0100-0000E4020000}"/>
    <hyperlink ref="B65" r:id="rId742" xr:uid="{00000000-0004-0000-0100-0000E5020000}"/>
    <hyperlink ref="D65" r:id="rId743" xr:uid="{00000000-0004-0000-0100-0000E6020000}"/>
    <hyperlink ref="E65" r:id="rId744" xr:uid="{00000000-0004-0000-0100-0000E7020000}"/>
    <hyperlink ref="V65" r:id="rId745" xr:uid="{00000000-0004-0000-0100-0000E8020000}"/>
    <hyperlink ref="W65" r:id="rId746" xr:uid="{00000000-0004-0000-0100-0000E9020000}"/>
    <hyperlink ref="X65" r:id="rId747" xr:uid="{00000000-0004-0000-0100-0000EA020000}"/>
    <hyperlink ref="Y65" r:id="rId748" xr:uid="{00000000-0004-0000-0100-0000EB020000}"/>
    <hyperlink ref="Z65" r:id="rId749" xr:uid="{00000000-0004-0000-0100-0000EC020000}"/>
    <hyperlink ref="AA65" r:id="rId750" xr:uid="{00000000-0004-0000-0100-0000ED020000}"/>
    <hyperlink ref="AB65" r:id="rId751" xr:uid="{00000000-0004-0000-0100-0000EE020000}"/>
    <hyperlink ref="AC65" r:id="rId752" xr:uid="{00000000-0004-0000-0100-0000EF020000}"/>
    <hyperlink ref="AD65" r:id="rId753" xr:uid="{00000000-0004-0000-0100-0000F0020000}"/>
    <hyperlink ref="B66" r:id="rId754" xr:uid="{00000000-0004-0000-0100-0000F1020000}"/>
    <hyperlink ref="D66" r:id="rId755" xr:uid="{00000000-0004-0000-0100-0000F2020000}"/>
    <hyperlink ref="E66" r:id="rId756" xr:uid="{00000000-0004-0000-0100-0000F3020000}"/>
    <hyperlink ref="V66" r:id="rId757" xr:uid="{00000000-0004-0000-0100-0000F4020000}"/>
    <hyperlink ref="W66" r:id="rId758" xr:uid="{00000000-0004-0000-0100-0000F5020000}"/>
    <hyperlink ref="X66" r:id="rId759" xr:uid="{00000000-0004-0000-0100-0000F6020000}"/>
    <hyperlink ref="Y66" r:id="rId760" xr:uid="{00000000-0004-0000-0100-0000F7020000}"/>
    <hyperlink ref="Z66" r:id="rId761" xr:uid="{00000000-0004-0000-0100-0000F8020000}"/>
    <hyperlink ref="AA66" r:id="rId762" xr:uid="{00000000-0004-0000-0100-0000F9020000}"/>
    <hyperlink ref="B67" r:id="rId763" xr:uid="{00000000-0004-0000-0100-0000FA020000}"/>
    <hyperlink ref="D67" r:id="rId764" xr:uid="{00000000-0004-0000-0100-0000FB020000}"/>
    <hyperlink ref="E67" r:id="rId765" xr:uid="{00000000-0004-0000-0100-0000FC020000}"/>
    <hyperlink ref="B68" r:id="rId766" xr:uid="{00000000-0004-0000-0100-0000FD020000}"/>
    <hyperlink ref="D68" r:id="rId767" xr:uid="{00000000-0004-0000-0100-0000FE020000}"/>
    <hyperlink ref="E68" r:id="rId768" xr:uid="{00000000-0004-0000-0100-0000FF020000}"/>
    <hyperlink ref="V68" r:id="rId769" xr:uid="{00000000-0004-0000-0100-000000030000}"/>
    <hyperlink ref="W68" r:id="rId770" xr:uid="{00000000-0004-0000-0100-000001030000}"/>
    <hyperlink ref="X68" r:id="rId771" xr:uid="{00000000-0004-0000-0100-000002030000}"/>
    <hyperlink ref="Y68" r:id="rId772" xr:uid="{00000000-0004-0000-0100-000003030000}"/>
    <hyperlink ref="Z68" r:id="rId773" xr:uid="{00000000-0004-0000-0100-000004030000}"/>
    <hyperlink ref="AA68" r:id="rId774" xr:uid="{00000000-0004-0000-0100-000005030000}"/>
    <hyperlink ref="AB68" r:id="rId775" xr:uid="{00000000-0004-0000-0100-000006030000}"/>
    <hyperlink ref="AC68" r:id="rId776" xr:uid="{00000000-0004-0000-0100-000007030000}"/>
    <hyperlink ref="AD68" r:id="rId777" xr:uid="{00000000-0004-0000-0100-000008030000}"/>
    <hyperlink ref="B69" r:id="rId778" xr:uid="{00000000-0004-0000-0100-000009030000}"/>
    <hyperlink ref="D69" r:id="rId779" xr:uid="{00000000-0004-0000-0100-00000A030000}"/>
    <hyperlink ref="E69" r:id="rId780" xr:uid="{00000000-0004-0000-0100-00000B030000}"/>
    <hyperlink ref="V69" r:id="rId781" xr:uid="{00000000-0004-0000-0100-00000C030000}"/>
    <hyperlink ref="W69" r:id="rId782" xr:uid="{00000000-0004-0000-0100-00000D030000}"/>
    <hyperlink ref="X69" r:id="rId783" xr:uid="{00000000-0004-0000-0100-00000E030000}"/>
    <hyperlink ref="Y69" r:id="rId784" xr:uid="{00000000-0004-0000-0100-00000F030000}"/>
    <hyperlink ref="Z69" r:id="rId785" xr:uid="{00000000-0004-0000-0100-000010030000}"/>
    <hyperlink ref="AA69" r:id="rId786" xr:uid="{00000000-0004-0000-0100-000011030000}"/>
    <hyperlink ref="AB69" r:id="rId787" xr:uid="{00000000-0004-0000-0100-000012030000}"/>
    <hyperlink ref="AC69" r:id="rId788" xr:uid="{00000000-0004-0000-0100-000013030000}"/>
    <hyperlink ref="AD69" r:id="rId789" xr:uid="{00000000-0004-0000-0100-000014030000}"/>
    <hyperlink ref="B70" r:id="rId790" xr:uid="{00000000-0004-0000-0100-000015030000}"/>
    <hyperlink ref="D70" r:id="rId791" xr:uid="{00000000-0004-0000-0100-000016030000}"/>
    <hyperlink ref="E70" r:id="rId792" xr:uid="{00000000-0004-0000-0100-000017030000}"/>
    <hyperlink ref="V70" r:id="rId793" xr:uid="{00000000-0004-0000-0100-000018030000}"/>
    <hyperlink ref="W70" r:id="rId794" xr:uid="{00000000-0004-0000-0100-000019030000}"/>
    <hyperlink ref="X70" r:id="rId795" xr:uid="{00000000-0004-0000-0100-00001A030000}"/>
    <hyperlink ref="Y70" r:id="rId796" xr:uid="{00000000-0004-0000-0100-00001B030000}"/>
    <hyperlink ref="Z70" r:id="rId797" xr:uid="{00000000-0004-0000-0100-00001C030000}"/>
    <hyperlink ref="AA70" r:id="rId798" xr:uid="{00000000-0004-0000-0100-00001D030000}"/>
    <hyperlink ref="AB70" r:id="rId799" xr:uid="{00000000-0004-0000-0100-00001E030000}"/>
    <hyperlink ref="AC70" r:id="rId800" xr:uid="{00000000-0004-0000-0100-00001F030000}"/>
    <hyperlink ref="B71" r:id="rId801" xr:uid="{00000000-0004-0000-0100-000020030000}"/>
    <hyperlink ref="D71" r:id="rId802" xr:uid="{00000000-0004-0000-0100-000021030000}"/>
    <hyperlink ref="E71" r:id="rId803" xr:uid="{00000000-0004-0000-0100-000022030000}"/>
    <hyperlink ref="V71" r:id="rId804" xr:uid="{00000000-0004-0000-0100-000023030000}"/>
    <hyperlink ref="W71" r:id="rId805" xr:uid="{00000000-0004-0000-0100-000024030000}"/>
    <hyperlink ref="X71" r:id="rId806" xr:uid="{00000000-0004-0000-0100-000025030000}"/>
    <hyperlink ref="Y71" r:id="rId807" xr:uid="{00000000-0004-0000-0100-000026030000}"/>
    <hyperlink ref="Z71" r:id="rId808" xr:uid="{00000000-0004-0000-0100-000027030000}"/>
    <hyperlink ref="AA71" r:id="rId809" xr:uid="{00000000-0004-0000-0100-000028030000}"/>
    <hyperlink ref="B72" r:id="rId810" xr:uid="{00000000-0004-0000-0100-000029030000}"/>
    <hyperlink ref="D72" r:id="rId811" xr:uid="{00000000-0004-0000-0100-00002A030000}"/>
    <hyperlink ref="E72" r:id="rId812" xr:uid="{00000000-0004-0000-0100-00002B030000}"/>
    <hyperlink ref="V72" r:id="rId813" xr:uid="{00000000-0004-0000-0100-00002C030000}"/>
    <hyperlink ref="W72" r:id="rId814" xr:uid="{00000000-0004-0000-0100-00002D030000}"/>
    <hyperlink ref="X72" r:id="rId815" xr:uid="{00000000-0004-0000-0100-00002E030000}"/>
    <hyperlink ref="Y72" r:id="rId816" xr:uid="{00000000-0004-0000-0100-00002F030000}"/>
    <hyperlink ref="Z72" r:id="rId817" xr:uid="{00000000-0004-0000-0100-000030030000}"/>
    <hyperlink ref="AA72" r:id="rId818" xr:uid="{00000000-0004-0000-0100-000031030000}"/>
    <hyperlink ref="AB72" r:id="rId819" xr:uid="{00000000-0004-0000-0100-000032030000}"/>
    <hyperlink ref="AC72" r:id="rId820" xr:uid="{00000000-0004-0000-0100-000033030000}"/>
    <hyperlink ref="AD72" r:id="rId821" xr:uid="{00000000-0004-0000-0100-000034030000}"/>
    <hyperlink ref="B73" r:id="rId822" xr:uid="{00000000-0004-0000-0100-000035030000}"/>
    <hyperlink ref="D73" r:id="rId823" xr:uid="{00000000-0004-0000-0100-000036030000}"/>
    <hyperlink ref="V73" r:id="rId824" xr:uid="{00000000-0004-0000-0100-000037030000}"/>
    <hyperlink ref="W73" r:id="rId825" xr:uid="{00000000-0004-0000-0100-000038030000}"/>
    <hyperlink ref="X73" r:id="rId826" xr:uid="{00000000-0004-0000-0100-000039030000}"/>
    <hyperlink ref="Y73" r:id="rId827" xr:uid="{00000000-0004-0000-0100-00003A030000}"/>
    <hyperlink ref="Z73" r:id="rId828" xr:uid="{00000000-0004-0000-0100-00003B030000}"/>
    <hyperlink ref="AA73" r:id="rId829" xr:uid="{00000000-0004-0000-0100-00003C030000}"/>
    <hyperlink ref="B74" r:id="rId830" xr:uid="{00000000-0004-0000-0100-00003D030000}"/>
    <hyperlink ref="D74" r:id="rId831" xr:uid="{00000000-0004-0000-0100-00003E030000}"/>
    <hyperlink ref="E74" r:id="rId832" xr:uid="{00000000-0004-0000-0100-00003F030000}"/>
    <hyperlink ref="V74" r:id="rId833" xr:uid="{00000000-0004-0000-0100-000040030000}"/>
    <hyperlink ref="W74" r:id="rId834" xr:uid="{00000000-0004-0000-0100-000041030000}"/>
    <hyperlink ref="X74" r:id="rId835" xr:uid="{00000000-0004-0000-0100-000042030000}"/>
    <hyperlink ref="Y74" r:id="rId836" xr:uid="{00000000-0004-0000-0100-000043030000}"/>
    <hyperlink ref="Z74" r:id="rId837" xr:uid="{00000000-0004-0000-0100-000044030000}"/>
    <hyperlink ref="AA74" r:id="rId838" xr:uid="{00000000-0004-0000-0100-000045030000}"/>
    <hyperlink ref="AB74" r:id="rId839" xr:uid="{00000000-0004-0000-0100-000046030000}"/>
    <hyperlink ref="AC74" r:id="rId840" xr:uid="{00000000-0004-0000-0100-000047030000}"/>
    <hyperlink ref="B75" r:id="rId841" xr:uid="{00000000-0004-0000-0100-000048030000}"/>
    <hyperlink ref="D75" r:id="rId842" xr:uid="{00000000-0004-0000-0100-000049030000}"/>
    <hyperlink ref="E75" r:id="rId843" xr:uid="{00000000-0004-0000-0100-00004A030000}"/>
    <hyperlink ref="V75" r:id="rId844" xr:uid="{00000000-0004-0000-0100-00004B030000}"/>
    <hyperlink ref="W75" r:id="rId845" xr:uid="{00000000-0004-0000-0100-00004C030000}"/>
    <hyperlink ref="X75" r:id="rId846" xr:uid="{00000000-0004-0000-0100-00004D030000}"/>
    <hyperlink ref="Y75" r:id="rId847" xr:uid="{00000000-0004-0000-0100-00004E030000}"/>
    <hyperlink ref="Z75" r:id="rId848" xr:uid="{00000000-0004-0000-0100-00004F030000}"/>
    <hyperlink ref="AA75" r:id="rId849" xr:uid="{00000000-0004-0000-0100-000050030000}"/>
    <hyperlink ref="AB75" r:id="rId850" xr:uid="{00000000-0004-0000-0100-000051030000}"/>
    <hyperlink ref="AC75" r:id="rId851" xr:uid="{00000000-0004-0000-0100-000052030000}"/>
    <hyperlink ref="B76" r:id="rId852" xr:uid="{00000000-0004-0000-0100-000053030000}"/>
    <hyperlink ref="D76" r:id="rId853" xr:uid="{00000000-0004-0000-0100-000054030000}"/>
    <hyperlink ref="E76" r:id="rId854" xr:uid="{00000000-0004-0000-0100-000055030000}"/>
    <hyperlink ref="V76" r:id="rId855" xr:uid="{00000000-0004-0000-0100-000056030000}"/>
    <hyperlink ref="W76" r:id="rId856" xr:uid="{00000000-0004-0000-0100-000057030000}"/>
    <hyperlink ref="X76" r:id="rId857" xr:uid="{00000000-0004-0000-0100-000058030000}"/>
    <hyperlink ref="Y76" r:id="rId858" xr:uid="{00000000-0004-0000-0100-000059030000}"/>
    <hyperlink ref="Z76" r:id="rId859" xr:uid="{00000000-0004-0000-0100-00005A030000}"/>
    <hyperlink ref="AA76" r:id="rId860" xr:uid="{00000000-0004-0000-0100-00005B030000}"/>
    <hyperlink ref="AB76" r:id="rId861" xr:uid="{00000000-0004-0000-0100-00005C030000}"/>
    <hyperlink ref="AC76" r:id="rId862" xr:uid="{00000000-0004-0000-0100-00005D030000}"/>
    <hyperlink ref="AD76" r:id="rId863" xr:uid="{00000000-0004-0000-0100-00005E030000}"/>
    <hyperlink ref="B77" r:id="rId864" xr:uid="{00000000-0004-0000-0100-00005F030000}"/>
    <hyperlink ref="D77" r:id="rId865" xr:uid="{00000000-0004-0000-0100-000060030000}"/>
    <hyperlink ref="E77" r:id="rId866" xr:uid="{00000000-0004-0000-0100-000061030000}"/>
    <hyperlink ref="V77" r:id="rId867" xr:uid="{00000000-0004-0000-0100-000062030000}"/>
    <hyperlink ref="W77" r:id="rId868" xr:uid="{00000000-0004-0000-0100-000063030000}"/>
    <hyperlink ref="X77" r:id="rId869" xr:uid="{00000000-0004-0000-0100-000064030000}"/>
    <hyperlink ref="Y77" r:id="rId870" xr:uid="{00000000-0004-0000-0100-000065030000}"/>
    <hyperlink ref="Z77" r:id="rId871" xr:uid="{00000000-0004-0000-0100-000066030000}"/>
    <hyperlink ref="AA77" r:id="rId872" xr:uid="{00000000-0004-0000-0100-000067030000}"/>
    <hyperlink ref="AB77" r:id="rId873" xr:uid="{00000000-0004-0000-0100-000068030000}"/>
    <hyperlink ref="AC77" r:id="rId874" xr:uid="{00000000-0004-0000-0100-000069030000}"/>
    <hyperlink ref="AD77" r:id="rId875" xr:uid="{00000000-0004-0000-0100-00006A030000}"/>
    <hyperlink ref="B78" r:id="rId876" xr:uid="{00000000-0004-0000-0100-00006B030000}"/>
    <hyperlink ref="D78" r:id="rId877" xr:uid="{00000000-0004-0000-0100-00006C030000}"/>
    <hyperlink ref="E78" r:id="rId878" xr:uid="{00000000-0004-0000-0100-00006D030000}"/>
    <hyperlink ref="V78" r:id="rId879" xr:uid="{00000000-0004-0000-0100-00006E030000}"/>
    <hyperlink ref="W78" r:id="rId880" xr:uid="{00000000-0004-0000-0100-00006F030000}"/>
    <hyperlink ref="X78" r:id="rId881" xr:uid="{00000000-0004-0000-0100-000070030000}"/>
    <hyperlink ref="Y78" r:id="rId882" xr:uid="{00000000-0004-0000-0100-000071030000}"/>
    <hyperlink ref="Z78" r:id="rId883" xr:uid="{00000000-0004-0000-0100-000072030000}"/>
    <hyperlink ref="AA78" r:id="rId884" xr:uid="{00000000-0004-0000-0100-000073030000}"/>
    <hyperlink ref="AB78" r:id="rId885" xr:uid="{00000000-0004-0000-0100-000074030000}"/>
    <hyperlink ref="AC78" r:id="rId886" xr:uid="{00000000-0004-0000-0100-000075030000}"/>
    <hyperlink ref="AD78" r:id="rId887" xr:uid="{00000000-0004-0000-0100-000076030000}"/>
    <hyperlink ref="B79" r:id="rId888" xr:uid="{00000000-0004-0000-0100-000077030000}"/>
    <hyperlink ref="D79" r:id="rId889" xr:uid="{00000000-0004-0000-0100-000078030000}"/>
    <hyperlink ref="E79" r:id="rId890" xr:uid="{00000000-0004-0000-0100-000079030000}"/>
    <hyperlink ref="V79" r:id="rId891" xr:uid="{00000000-0004-0000-0100-00007A030000}"/>
    <hyperlink ref="W79" r:id="rId892" xr:uid="{00000000-0004-0000-0100-00007B030000}"/>
    <hyperlink ref="X79" r:id="rId893" xr:uid="{00000000-0004-0000-0100-00007C030000}"/>
    <hyperlink ref="Y79" r:id="rId894" xr:uid="{00000000-0004-0000-0100-00007D030000}"/>
    <hyperlink ref="Z79" r:id="rId895" xr:uid="{00000000-0004-0000-0100-00007E030000}"/>
    <hyperlink ref="AA79" r:id="rId896" xr:uid="{00000000-0004-0000-0100-00007F030000}"/>
    <hyperlink ref="AB79" r:id="rId897" xr:uid="{00000000-0004-0000-0100-000080030000}"/>
    <hyperlink ref="AC79" r:id="rId898" xr:uid="{00000000-0004-0000-0100-000081030000}"/>
    <hyperlink ref="B80" r:id="rId899" xr:uid="{00000000-0004-0000-0100-000082030000}"/>
    <hyperlink ref="D80" r:id="rId900" xr:uid="{00000000-0004-0000-0100-000083030000}"/>
    <hyperlink ref="E80" r:id="rId901" xr:uid="{00000000-0004-0000-0100-000084030000}"/>
    <hyperlink ref="V80" r:id="rId902" xr:uid="{00000000-0004-0000-0100-000085030000}"/>
    <hyperlink ref="W80" r:id="rId903" xr:uid="{00000000-0004-0000-0100-000086030000}"/>
    <hyperlink ref="X80" r:id="rId904" xr:uid="{00000000-0004-0000-0100-000087030000}"/>
    <hyperlink ref="Y80" r:id="rId905" xr:uid="{00000000-0004-0000-0100-000088030000}"/>
    <hyperlink ref="Z80" r:id="rId906" xr:uid="{00000000-0004-0000-0100-000089030000}"/>
    <hyperlink ref="AA80" r:id="rId907" xr:uid="{00000000-0004-0000-0100-00008A030000}"/>
    <hyperlink ref="AB80" r:id="rId908" xr:uid="{00000000-0004-0000-0100-00008B030000}"/>
    <hyperlink ref="AC80" r:id="rId909" xr:uid="{00000000-0004-0000-0100-00008C030000}"/>
    <hyperlink ref="AD80" r:id="rId910" xr:uid="{00000000-0004-0000-0100-00008D030000}"/>
    <hyperlink ref="B81" r:id="rId911" xr:uid="{00000000-0004-0000-0100-00008E030000}"/>
    <hyperlink ref="D81" r:id="rId912" xr:uid="{00000000-0004-0000-0100-00008F030000}"/>
    <hyperlink ref="E81" r:id="rId913" xr:uid="{00000000-0004-0000-0100-000090030000}"/>
    <hyperlink ref="V81" r:id="rId914" xr:uid="{00000000-0004-0000-0100-000091030000}"/>
    <hyperlink ref="W81" r:id="rId915" xr:uid="{00000000-0004-0000-0100-000092030000}"/>
    <hyperlink ref="X81" r:id="rId916" xr:uid="{00000000-0004-0000-0100-000093030000}"/>
    <hyperlink ref="Y81" r:id="rId917" xr:uid="{00000000-0004-0000-0100-000094030000}"/>
    <hyperlink ref="Z81" r:id="rId918" xr:uid="{00000000-0004-0000-0100-000095030000}"/>
    <hyperlink ref="AA81" r:id="rId919" xr:uid="{00000000-0004-0000-0100-000096030000}"/>
    <hyperlink ref="AB81" r:id="rId920" xr:uid="{00000000-0004-0000-0100-000097030000}"/>
    <hyperlink ref="AC81" r:id="rId921" xr:uid="{00000000-0004-0000-0100-000098030000}"/>
    <hyperlink ref="B82" r:id="rId922" xr:uid="{00000000-0004-0000-0100-000099030000}"/>
    <hyperlink ref="D82" r:id="rId923" xr:uid="{00000000-0004-0000-0100-00009A030000}"/>
    <hyperlink ref="E82" r:id="rId924" xr:uid="{00000000-0004-0000-0100-00009B030000}"/>
    <hyperlink ref="V82" r:id="rId925" xr:uid="{00000000-0004-0000-0100-00009C030000}"/>
    <hyperlink ref="W82" r:id="rId926" xr:uid="{00000000-0004-0000-0100-00009D030000}"/>
    <hyperlink ref="X82" r:id="rId927" xr:uid="{00000000-0004-0000-0100-00009E030000}"/>
    <hyperlink ref="Y82" r:id="rId928" xr:uid="{00000000-0004-0000-0100-00009F030000}"/>
    <hyperlink ref="Z82" r:id="rId929" xr:uid="{00000000-0004-0000-0100-0000A0030000}"/>
    <hyperlink ref="AA82" r:id="rId930" xr:uid="{00000000-0004-0000-0100-0000A1030000}"/>
    <hyperlink ref="B83" r:id="rId931" xr:uid="{00000000-0004-0000-0100-0000A2030000}"/>
    <hyperlink ref="D83" r:id="rId932" xr:uid="{00000000-0004-0000-0100-0000A3030000}"/>
    <hyperlink ref="E83" r:id="rId933" xr:uid="{00000000-0004-0000-0100-0000A4030000}"/>
    <hyperlink ref="B84" r:id="rId934" xr:uid="{00000000-0004-0000-0100-0000A5030000}"/>
    <hyperlink ref="D84" r:id="rId935" xr:uid="{00000000-0004-0000-0100-0000A6030000}"/>
    <hyperlink ref="E84" r:id="rId936" xr:uid="{00000000-0004-0000-0100-0000A7030000}"/>
    <hyperlink ref="V84" r:id="rId937" xr:uid="{00000000-0004-0000-0100-0000A8030000}"/>
    <hyperlink ref="W84" r:id="rId938" xr:uid="{00000000-0004-0000-0100-0000A9030000}"/>
    <hyperlink ref="X84" r:id="rId939" xr:uid="{00000000-0004-0000-0100-0000AA030000}"/>
    <hyperlink ref="Y84" r:id="rId940" xr:uid="{00000000-0004-0000-0100-0000AB030000}"/>
    <hyperlink ref="Z84" r:id="rId941" xr:uid="{00000000-0004-0000-0100-0000AC030000}"/>
    <hyperlink ref="AA84" r:id="rId942" xr:uid="{00000000-0004-0000-0100-0000AD030000}"/>
    <hyperlink ref="AB84" r:id="rId943" xr:uid="{00000000-0004-0000-0100-0000AE030000}"/>
    <hyperlink ref="AC84" r:id="rId944" xr:uid="{00000000-0004-0000-0100-0000AF030000}"/>
    <hyperlink ref="AD84" r:id="rId945" xr:uid="{00000000-0004-0000-0100-0000B0030000}"/>
    <hyperlink ref="B85" r:id="rId946" xr:uid="{00000000-0004-0000-0100-0000B1030000}"/>
    <hyperlink ref="D85" r:id="rId947" xr:uid="{00000000-0004-0000-0100-0000B2030000}"/>
    <hyperlink ref="E85" r:id="rId948" xr:uid="{00000000-0004-0000-0100-0000B3030000}"/>
    <hyperlink ref="V85" r:id="rId949" xr:uid="{00000000-0004-0000-0100-0000B4030000}"/>
    <hyperlink ref="W85" r:id="rId950" xr:uid="{00000000-0004-0000-0100-0000B5030000}"/>
    <hyperlink ref="X85" r:id="rId951" xr:uid="{00000000-0004-0000-0100-0000B6030000}"/>
    <hyperlink ref="Y85" r:id="rId952" xr:uid="{00000000-0004-0000-0100-0000B7030000}"/>
    <hyperlink ref="Z85" r:id="rId953" xr:uid="{00000000-0004-0000-0100-0000B8030000}"/>
    <hyperlink ref="AA85" r:id="rId954" xr:uid="{00000000-0004-0000-0100-0000B9030000}"/>
    <hyperlink ref="AB85" r:id="rId955" xr:uid="{00000000-0004-0000-0100-0000BA030000}"/>
    <hyperlink ref="AC85" r:id="rId956" xr:uid="{00000000-0004-0000-0100-0000BB030000}"/>
    <hyperlink ref="AD85" r:id="rId957" xr:uid="{00000000-0004-0000-0100-0000BC030000}"/>
    <hyperlink ref="B86" r:id="rId958" xr:uid="{00000000-0004-0000-0100-0000BD030000}"/>
    <hyperlink ref="D86" r:id="rId959" xr:uid="{00000000-0004-0000-0100-0000BE030000}"/>
    <hyperlink ref="E86" r:id="rId960" xr:uid="{00000000-0004-0000-0100-0000BF030000}"/>
    <hyperlink ref="B87" r:id="rId961" xr:uid="{00000000-0004-0000-0100-0000C0030000}"/>
    <hyperlink ref="D87" r:id="rId962" xr:uid="{00000000-0004-0000-0100-0000C1030000}"/>
    <hyperlink ref="V87" r:id="rId963" xr:uid="{00000000-0004-0000-0100-0000C2030000}"/>
    <hyperlink ref="W87" r:id="rId964" xr:uid="{00000000-0004-0000-0100-0000C3030000}"/>
    <hyperlink ref="X87" r:id="rId965" xr:uid="{00000000-0004-0000-0100-0000C4030000}"/>
    <hyperlink ref="Y87" r:id="rId966" xr:uid="{00000000-0004-0000-0100-0000C5030000}"/>
    <hyperlink ref="Z87" r:id="rId967" xr:uid="{00000000-0004-0000-0100-0000C6030000}"/>
    <hyperlink ref="AA87" r:id="rId968" xr:uid="{00000000-0004-0000-0100-0000C7030000}"/>
    <hyperlink ref="AB87" r:id="rId969" xr:uid="{00000000-0004-0000-0100-0000C8030000}"/>
    <hyperlink ref="AC87" r:id="rId970" xr:uid="{00000000-0004-0000-0100-0000C9030000}"/>
    <hyperlink ref="AD87" r:id="rId971" xr:uid="{00000000-0004-0000-0100-0000CA030000}"/>
    <hyperlink ref="B88" r:id="rId972" xr:uid="{00000000-0004-0000-0100-0000CB030000}"/>
    <hyperlink ref="D88" r:id="rId973" xr:uid="{00000000-0004-0000-0100-0000CC030000}"/>
    <hyperlink ref="E88" r:id="rId974" xr:uid="{00000000-0004-0000-0100-0000CD030000}"/>
    <hyperlink ref="V88" r:id="rId975" xr:uid="{00000000-0004-0000-0100-0000CE030000}"/>
    <hyperlink ref="W88" r:id="rId976" xr:uid="{00000000-0004-0000-0100-0000CF030000}"/>
    <hyperlink ref="X88" r:id="rId977" xr:uid="{00000000-0004-0000-0100-0000D0030000}"/>
    <hyperlink ref="Y88" r:id="rId978" xr:uid="{00000000-0004-0000-0100-0000D1030000}"/>
    <hyperlink ref="Z88" r:id="rId979" xr:uid="{00000000-0004-0000-0100-0000D2030000}"/>
    <hyperlink ref="AA88" r:id="rId980" xr:uid="{00000000-0004-0000-0100-0000D3030000}"/>
    <hyperlink ref="AB88" r:id="rId981" xr:uid="{00000000-0004-0000-0100-0000D4030000}"/>
    <hyperlink ref="AC88" r:id="rId982" xr:uid="{00000000-0004-0000-0100-0000D5030000}"/>
    <hyperlink ref="B89" r:id="rId983" xr:uid="{00000000-0004-0000-0100-0000D6030000}"/>
    <hyperlink ref="D89" r:id="rId984" xr:uid="{00000000-0004-0000-0100-0000D7030000}"/>
    <hyperlink ref="E89" r:id="rId985" xr:uid="{00000000-0004-0000-0100-0000D8030000}"/>
    <hyperlink ref="V89" r:id="rId986" xr:uid="{00000000-0004-0000-0100-0000D9030000}"/>
    <hyperlink ref="W89" r:id="rId987" xr:uid="{00000000-0004-0000-0100-0000DA030000}"/>
    <hyperlink ref="X89" r:id="rId988" xr:uid="{00000000-0004-0000-0100-0000DB030000}"/>
    <hyperlink ref="Y89" r:id="rId989" xr:uid="{00000000-0004-0000-0100-0000DC030000}"/>
    <hyperlink ref="Z89" r:id="rId990" xr:uid="{00000000-0004-0000-0100-0000DD030000}"/>
    <hyperlink ref="AA89" r:id="rId991" xr:uid="{00000000-0004-0000-0100-0000DE030000}"/>
    <hyperlink ref="AB89" r:id="rId992" xr:uid="{00000000-0004-0000-0100-0000DF030000}"/>
    <hyperlink ref="AC89" r:id="rId993" xr:uid="{00000000-0004-0000-0100-0000E0030000}"/>
    <hyperlink ref="B90" r:id="rId994" xr:uid="{00000000-0004-0000-0100-0000E1030000}"/>
    <hyperlink ref="D90" r:id="rId995" xr:uid="{00000000-0004-0000-0100-0000E2030000}"/>
    <hyperlink ref="E90" r:id="rId996" xr:uid="{00000000-0004-0000-0100-0000E3030000}"/>
    <hyperlink ref="V90" r:id="rId997" xr:uid="{00000000-0004-0000-0100-0000E4030000}"/>
    <hyperlink ref="W90" r:id="rId998" xr:uid="{00000000-0004-0000-0100-0000E5030000}"/>
    <hyperlink ref="X90" r:id="rId999" xr:uid="{00000000-0004-0000-0100-0000E6030000}"/>
    <hyperlink ref="Y90" r:id="rId1000" xr:uid="{00000000-0004-0000-0100-0000E7030000}"/>
    <hyperlink ref="Z90" r:id="rId1001" xr:uid="{00000000-0004-0000-0100-0000E8030000}"/>
    <hyperlink ref="AA90" r:id="rId1002" xr:uid="{00000000-0004-0000-0100-0000E9030000}"/>
    <hyperlink ref="AB90" r:id="rId1003" xr:uid="{00000000-0004-0000-0100-0000EA030000}"/>
    <hyperlink ref="AC90" r:id="rId1004" xr:uid="{00000000-0004-0000-0100-0000EB030000}"/>
    <hyperlink ref="AD90" r:id="rId1005" xr:uid="{00000000-0004-0000-0100-0000EC030000}"/>
    <hyperlink ref="B91" r:id="rId1006" xr:uid="{00000000-0004-0000-0100-0000ED030000}"/>
    <hyperlink ref="D91" r:id="rId1007" xr:uid="{00000000-0004-0000-0100-0000EE030000}"/>
    <hyperlink ref="E91" r:id="rId1008" xr:uid="{00000000-0004-0000-0100-0000EF030000}"/>
    <hyperlink ref="B92" r:id="rId1009" xr:uid="{00000000-0004-0000-0100-0000F0030000}"/>
    <hyperlink ref="D92" r:id="rId1010" xr:uid="{00000000-0004-0000-0100-0000F1030000}"/>
    <hyperlink ref="E92" r:id="rId1011" xr:uid="{00000000-0004-0000-0100-0000F2030000}"/>
    <hyperlink ref="V92" r:id="rId1012" xr:uid="{00000000-0004-0000-0100-0000F3030000}"/>
    <hyperlink ref="W92" r:id="rId1013" xr:uid="{00000000-0004-0000-0100-0000F4030000}"/>
    <hyperlink ref="X92" r:id="rId1014" xr:uid="{00000000-0004-0000-0100-0000F5030000}"/>
    <hyperlink ref="Y92" r:id="rId1015" xr:uid="{00000000-0004-0000-0100-0000F6030000}"/>
    <hyperlink ref="B93" r:id="rId1016" xr:uid="{00000000-0004-0000-0100-0000F7030000}"/>
    <hyperlink ref="D93" r:id="rId1017" xr:uid="{00000000-0004-0000-0100-0000F8030000}"/>
    <hyperlink ref="E93" r:id="rId1018" xr:uid="{00000000-0004-0000-0100-0000F9030000}"/>
    <hyperlink ref="V93" r:id="rId1019" xr:uid="{00000000-0004-0000-0100-0000FA030000}"/>
    <hyperlink ref="W93" r:id="rId1020" xr:uid="{00000000-0004-0000-0100-0000FB030000}"/>
    <hyperlink ref="X93" r:id="rId1021" xr:uid="{00000000-0004-0000-0100-0000FC030000}"/>
    <hyperlink ref="Y93" r:id="rId1022" xr:uid="{00000000-0004-0000-0100-0000FD030000}"/>
    <hyperlink ref="Z93" r:id="rId1023" xr:uid="{00000000-0004-0000-0100-0000FE030000}"/>
    <hyperlink ref="AA93" r:id="rId1024" xr:uid="{00000000-0004-0000-0100-0000FF030000}"/>
    <hyperlink ref="B94" r:id="rId1025" xr:uid="{00000000-0004-0000-0100-000000040000}"/>
    <hyperlink ref="D94" r:id="rId1026" xr:uid="{00000000-0004-0000-0100-000001040000}"/>
    <hyperlink ref="E94" r:id="rId1027" xr:uid="{00000000-0004-0000-0100-000002040000}"/>
    <hyperlink ref="B95" r:id="rId1028" xr:uid="{00000000-0004-0000-0100-000003040000}"/>
    <hyperlink ref="D95" r:id="rId1029" xr:uid="{00000000-0004-0000-0100-000004040000}"/>
    <hyperlink ref="E95" r:id="rId1030" xr:uid="{00000000-0004-0000-0100-000005040000}"/>
    <hyperlink ref="V95" r:id="rId1031" xr:uid="{00000000-0004-0000-0100-000006040000}"/>
    <hyperlink ref="W95" r:id="rId1032" xr:uid="{00000000-0004-0000-0100-000007040000}"/>
    <hyperlink ref="X95" r:id="rId1033" xr:uid="{00000000-0004-0000-0100-000008040000}"/>
    <hyperlink ref="Y95" r:id="rId1034" xr:uid="{00000000-0004-0000-0100-000009040000}"/>
    <hyperlink ref="Z95" r:id="rId1035" xr:uid="{00000000-0004-0000-0100-00000A040000}"/>
    <hyperlink ref="AA95" r:id="rId1036" xr:uid="{00000000-0004-0000-0100-00000B040000}"/>
    <hyperlink ref="AB95" r:id="rId1037" xr:uid="{00000000-0004-0000-0100-00000C040000}"/>
    <hyperlink ref="AC95" r:id="rId1038" xr:uid="{00000000-0004-0000-0100-00000D040000}"/>
    <hyperlink ref="B96" r:id="rId1039" xr:uid="{00000000-0004-0000-0100-00000E040000}"/>
    <hyperlink ref="D96" r:id="rId1040" xr:uid="{00000000-0004-0000-0100-00000F040000}"/>
    <hyperlink ref="E96" r:id="rId1041" xr:uid="{00000000-0004-0000-0100-000010040000}"/>
    <hyperlink ref="V96" r:id="rId1042" xr:uid="{00000000-0004-0000-0100-000011040000}"/>
    <hyperlink ref="W96" r:id="rId1043" xr:uid="{00000000-0004-0000-0100-000012040000}"/>
    <hyperlink ref="B97" r:id="rId1044" xr:uid="{00000000-0004-0000-0100-000013040000}"/>
    <hyperlink ref="D97" r:id="rId1045" xr:uid="{00000000-0004-0000-0100-000014040000}"/>
    <hyperlink ref="E97" r:id="rId1046" xr:uid="{00000000-0004-0000-0100-000015040000}"/>
    <hyperlink ref="V97" r:id="rId1047" xr:uid="{00000000-0004-0000-0100-000016040000}"/>
    <hyperlink ref="W97" r:id="rId1048" xr:uid="{00000000-0004-0000-0100-000017040000}"/>
    <hyperlink ref="X97" r:id="rId1049" xr:uid="{00000000-0004-0000-0100-000018040000}"/>
    <hyperlink ref="Y97" r:id="rId1050" xr:uid="{00000000-0004-0000-0100-000019040000}"/>
    <hyperlink ref="Z97" r:id="rId1051" xr:uid="{00000000-0004-0000-0100-00001A040000}"/>
    <hyperlink ref="AA97" r:id="rId1052" xr:uid="{00000000-0004-0000-0100-00001B040000}"/>
    <hyperlink ref="B98" r:id="rId1053" xr:uid="{00000000-0004-0000-0100-00001C040000}"/>
    <hyperlink ref="D98" r:id="rId1054" xr:uid="{00000000-0004-0000-0100-00001D040000}"/>
    <hyperlink ref="E98" r:id="rId1055" xr:uid="{00000000-0004-0000-0100-00001E040000}"/>
    <hyperlink ref="V98" r:id="rId1056" xr:uid="{00000000-0004-0000-0100-00001F040000}"/>
    <hyperlink ref="W98" r:id="rId1057" xr:uid="{00000000-0004-0000-0100-000020040000}"/>
    <hyperlink ref="X98" r:id="rId1058" xr:uid="{00000000-0004-0000-0100-000021040000}"/>
    <hyperlink ref="Y98" r:id="rId1059" xr:uid="{00000000-0004-0000-0100-000022040000}"/>
    <hyperlink ref="Z98" r:id="rId1060" xr:uid="{00000000-0004-0000-0100-000023040000}"/>
    <hyperlink ref="AA98" r:id="rId1061" xr:uid="{00000000-0004-0000-0100-000024040000}"/>
    <hyperlink ref="AB98" r:id="rId1062" xr:uid="{00000000-0004-0000-0100-000025040000}"/>
    <hyperlink ref="AC98" r:id="rId1063" xr:uid="{00000000-0004-0000-0100-000026040000}"/>
    <hyperlink ref="B99" r:id="rId1064" xr:uid="{00000000-0004-0000-0100-000027040000}"/>
    <hyperlink ref="D99" r:id="rId1065" xr:uid="{00000000-0004-0000-0100-000028040000}"/>
    <hyperlink ref="E99" r:id="rId1066" xr:uid="{00000000-0004-0000-0100-000029040000}"/>
    <hyperlink ref="V99" r:id="rId1067" xr:uid="{00000000-0004-0000-0100-00002A040000}"/>
    <hyperlink ref="W99" r:id="rId1068" xr:uid="{00000000-0004-0000-0100-00002B040000}"/>
    <hyperlink ref="X99" r:id="rId1069" xr:uid="{00000000-0004-0000-0100-00002C040000}"/>
    <hyperlink ref="Y99" r:id="rId1070" xr:uid="{00000000-0004-0000-0100-00002D040000}"/>
    <hyperlink ref="Z99" r:id="rId1071" xr:uid="{00000000-0004-0000-0100-00002E040000}"/>
    <hyperlink ref="AA99" r:id="rId1072" xr:uid="{00000000-0004-0000-0100-00002F040000}"/>
    <hyperlink ref="AB99" r:id="rId1073" xr:uid="{00000000-0004-0000-0100-000030040000}"/>
    <hyperlink ref="AC99" r:id="rId1074" xr:uid="{00000000-0004-0000-0100-000031040000}"/>
    <hyperlink ref="AD99" r:id="rId1075" xr:uid="{00000000-0004-0000-0100-000032040000}"/>
    <hyperlink ref="B100" r:id="rId1076" xr:uid="{00000000-0004-0000-0100-000033040000}"/>
    <hyperlink ref="D100" r:id="rId1077" xr:uid="{00000000-0004-0000-0100-000034040000}"/>
    <hyperlink ref="E100" r:id="rId1078" xr:uid="{00000000-0004-0000-0100-000035040000}"/>
    <hyperlink ref="V100" r:id="rId1079" xr:uid="{00000000-0004-0000-0100-000036040000}"/>
    <hyperlink ref="W100" r:id="rId1080" xr:uid="{00000000-0004-0000-0100-000037040000}"/>
    <hyperlink ref="X100" r:id="rId1081" xr:uid="{00000000-0004-0000-0100-000038040000}"/>
    <hyperlink ref="Y100" r:id="rId1082" xr:uid="{00000000-0004-0000-0100-000039040000}"/>
    <hyperlink ref="Z100" r:id="rId1083" xr:uid="{00000000-0004-0000-0100-00003A040000}"/>
    <hyperlink ref="AA100" r:id="rId1084" xr:uid="{00000000-0004-0000-0100-00003B040000}"/>
    <hyperlink ref="AB100" r:id="rId1085" xr:uid="{00000000-0004-0000-0100-00003C040000}"/>
    <hyperlink ref="AC100" r:id="rId1086" xr:uid="{00000000-0004-0000-0100-00003D040000}"/>
    <hyperlink ref="B101" r:id="rId1087" xr:uid="{00000000-0004-0000-0100-00003E040000}"/>
    <hyperlink ref="D101" r:id="rId1088" xr:uid="{00000000-0004-0000-0100-00003F040000}"/>
    <hyperlink ref="E101" r:id="rId1089" xr:uid="{00000000-0004-0000-0100-000040040000}"/>
    <hyperlink ref="V101" r:id="rId1090" xr:uid="{00000000-0004-0000-0100-000041040000}"/>
    <hyperlink ref="W101" r:id="rId1091" xr:uid="{00000000-0004-0000-0100-000042040000}"/>
    <hyperlink ref="X101" r:id="rId1092" xr:uid="{00000000-0004-0000-0100-000043040000}"/>
    <hyperlink ref="Y101" r:id="rId1093" xr:uid="{00000000-0004-0000-0100-000044040000}"/>
    <hyperlink ref="Z101" r:id="rId1094" xr:uid="{00000000-0004-0000-0100-000045040000}"/>
    <hyperlink ref="AA101" r:id="rId1095" xr:uid="{00000000-0004-0000-0100-000046040000}"/>
    <hyperlink ref="AB101" r:id="rId1096" xr:uid="{00000000-0004-0000-0100-000047040000}"/>
    <hyperlink ref="AC101" r:id="rId1097" xr:uid="{00000000-0004-0000-0100-000048040000}"/>
    <hyperlink ref="AD101" r:id="rId1098" xr:uid="{00000000-0004-0000-0100-000049040000}"/>
    <hyperlink ref="B102" r:id="rId1099" xr:uid="{00000000-0004-0000-0100-00004A040000}"/>
    <hyperlink ref="D102" r:id="rId1100" xr:uid="{00000000-0004-0000-0100-00004B040000}"/>
    <hyperlink ref="E102" r:id="rId1101" xr:uid="{00000000-0004-0000-0100-00004C040000}"/>
    <hyperlink ref="V102" r:id="rId1102" xr:uid="{00000000-0004-0000-0100-00004D040000}"/>
    <hyperlink ref="W102" r:id="rId1103" xr:uid="{00000000-0004-0000-0100-00004E040000}"/>
    <hyperlink ref="X102" r:id="rId1104" xr:uid="{00000000-0004-0000-0100-00004F040000}"/>
    <hyperlink ref="Y102" r:id="rId1105" xr:uid="{00000000-0004-0000-0100-000050040000}"/>
    <hyperlink ref="Z102" r:id="rId1106" xr:uid="{00000000-0004-0000-0100-000051040000}"/>
    <hyperlink ref="AA102" r:id="rId1107" xr:uid="{00000000-0004-0000-0100-000052040000}"/>
    <hyperlink ref="AB102" r:id="rId1108" xr:uid="{00000000-0004-0000-0100-000053040000}"/>
    <hyperlink ref="AC102" r:id="rId1109" xr:uid="{00000000-0004-0000-0100-000054040000}"/>
    <hyperlink ref="B103" r:id="rId1110" xr:uid="{00000000-0004-0000-0100-000055040000}"/>
    <hyperlink ref="D103" r:id="rId1111" xr:uid="{00000000-0004-0000-0100-000056040000}"/>
    <hyperlink ref="E103" r:id="rId1112" xr:uid="{00000000-0004-0000-0100-000057040000}"/>
    <hyperlink ref="V103" r:id="rId1113" xr:uid="{00000000-0004-0000-0100-000058040000}"/>
    <hyperlink ref="W103" r:id="rId1114" xr:uid="{00000000-0004-0000-0100-000059040000}"/>
    <hyperlink ref="X103" r:id="rId1115" xr:uid="{00000000-0004-0000-0100-00005A040000}"/>
    <hyperlink ref="Y103" r:id="rId1116" xr:uid="{00000000-0004-0000-0100-00005B040000}"/>
    <hyperlink ref="Z103" r:id="rId1117" xr:uid="{00000000-0004-0000-0100-00005C040000}"/>
    <hyperlink ref="AA103" r:id="rId1118" xr:uid="{00000000-0004-0000-0100-00005D040000}"/>
    <hyperlink ref="AB103" r:id="rId1119" xr:uid="{00000000-0004-0000-0100-00005E040000}"/>
    <hyperlink ref="AC103" r:id="rId1120" xr:uid="{00000000-0004-0000-0100-00005F040000}"/>
    <hyperlink ref="AD103" r:id="rId1121" xr:uid="{00000000-0004-0000-0100-000060040000}"/>
    <hyperlink ref="B104" r:id="rId1122" xr:uid="{00000000-0004-0000-0100-000061040000}"/>
    <hyperlink ref="D104" r:id="rId1123" xr:uid="{00000000-0004-0000-0100-000062040000}"/>
    <hyperlink ref="E104" r:id="rId1124" xr:uid="{00000000-0004-0000-0100-000063040000}"/>
    <hyperlink ref="V104" r:id="rId1125" xr:uid="{00000000-0004-0000-0100-000064040000}"/>
    <hyperlink ref="W104" r:id="rId1126" xr:uid="{00000000-0004-0000-0100-000065040000}"/>
    <hyperlink ref="X104" r:id="rId1127" xr:uid="{00000000-0004-0000-0100-000066040000}"/>
    <hyperlink ref="Y104" r:id="rId1128" xr:uid="{00000000-0004-0000-0100-000067040000}"/>
    <hyperlink ref="Z104" r:id="rId1129" xr:uid="{00000000-0004-0000-0100-000068040000}"/>
    <hyperlink ref="AA104" r:id="rId1130" xr:uid="{00000000-0004-0000-0100-000069040000}"/>
    <hyperlink ref="AB104" r:id="rId1131" xr:uid="{00000000-0004-0000-0100-00006A040000}"/>
    <hyperlink ref="AC104" r:id="rId1132" xr:uid="{00000000-0004-0000-0100-00006B040000}"/>
    <hyperlink ref="AD104" r:id="rId1133" xr:uid="{00000000-0004-0000-0100-00006C040000}"/>
    <hyperlink ref="B105" r:id="rId1134" xr:uid="{00000000-0004-0000-0100-00006D040000}"/>
    <hyperlink ref="D105" r:id="rId1135" xr:uid="{00000000-0004-0000-0100-00006E040000}"/>
    <hyperlink ref="E105" r:id="rId1136" xr:uid="{00000000-0004-0000-0100-00006F040000}"/>
    <hyperlink ref="V105" r:id="rId1137" xr:uid="{00000000-0004-0000-0100-000070040000}"/>
    <hyperlink ref="W105" r:id="rId1138" xr:uid="{00000000-0004-0000-0100-000071040000}"/>
    <hyperlink ref="X105" r:id="rId1139" xr:uid="{00000000-0004-0000-0100-000072040000}"/>
    <hyperlink ref="Y105" r:id="rId1140" xr:uid="{00000000-0004-0000-0100-000073040000}"/>
    <hyperlink ref="Z105" r:id="rId1141" xr:uid="{00000000-0004-0000-0100-000074040000}"/>
    <hyperlink ref="AA105" r:id="rId1142" xr:uid="{00000000-0004-0000-0100-000075040000}"/>
    <hyperlink ref="B106" r:id="rId1143" xr:uid="{00000000-0004-0000-0100-000076040000}"/>
    <hyperlink ref="D106" r:id="rId1144" xr:uid="{00000000-0004-0000-0100-000077040000}"/>
    <hyperlink ref="E106" r:id="rId1145" xr:uid="{00000000-0004-0000-0100-000078040000}"/>
    <hyperlink ref="V106" r:id="rId1146" xr:uid="{00000000-0004-0000-0100-000079040000}"/>
    <hyperlink ref="W106" r:id="rId1147" xr:uid="{00000000-0004-0000-0100-00007A040000}"/>
    <hyperlink ref="X106" r:id="rId1148" xr:uid="{00000000-0004-0000-0100-00007B040000}"/>
    <hyperlink ref="Y106" r:id="rId1149" xr:uid="{00000000-0004-0000-0100-00007C040000}"/>
    <hyperlink ref="B107" r:id="rId1150" xr:uid="{00000000-0004-0000-0100-00007D040000}"/>
    <hyperlink ref="D107" r:id="rId1151" xr:uid="{00000000-0004-0000-0100-00007E040000}"/>
    <hyperlink ref="E107" r:id="rId1152" xr:uid="{00000000-0004-0000-0100-00007F040000}"/>
    <hyperlink ref="V107" r:id="rId1153" xr:uid="{00000000-0004-0000-0100-000080040000}"/>
    <hyperlink ref="W107" r:id="rId1154" xr:uid="{00000000-0004-0000-0100-000081040000}"/>
    <hyperlink ref="X107" r:id="rId1155" xr:uid="{00000000-0004-0000-0100-000082040000}"/>
    <hyperlink ref="Y107" r:id="rId1156" xr:uid="{00000000-0004-0000-0100-000083040000}"/>
    <hyperlink ref="Z107" r:id="rId1157" xr:uid="{00000000-0004-0000-0100-000084040000}"/>
    <hyperlink ref="AA107" r:id="rId1158" xr:uid="{00000000-0004-0000-0100-000085040000}"/>
    <hyperlink ref="AB107" r:id="rId1159" xr:uid="{00000000-0004-0000-0100-000086040000}"/>
    <hyperlink ref="AC107" r:id="rId1160" xr:uid="{00000000-0004-0000-0100-000087040000}"/>
    <hyperlink ref="B108" r:id="rId1161" xr:uid="{00000000-0004-0000-0100-000088040000}"/>
    <hyperlink ref="D108" r:id="rId1162" xr:uid="{00000000-0004-0000-0100-000089040000}"/>
    <hyperlink ref="E108" r:id="rId1163" xr:uid="{00000000-0004-0000-0100-00008A040000}"/>
    <hyperlink ref="V108" r:id="rId1164" xr:uid="{00000000-0004-0000-0100-00008B040000}"/>
    <hyperlink ref="W108" r:id="rId1165" xr:uid="{00000000-0004-0000-0100-00008C040000}"/>
    <hyperlink ref="X108" r:id="rId1166" xr:uid="{00000000-0004-0000-0100-00008D040000}"/>
    <hyperlink ref="Y108" r:id="rId1167" xr:uid="{00000000-0004-0000-0100-00008E040000}"/>
    <hyperlink ref="Z108" r:id="rId1168" xr:uid="{00000000-0004-0000-0100-00008F040000}"/>
    <hyperlink ref="AA108" r:id="rId1169" xr:uid="{00000000-0004-0000-0100-000090040000}"/>
    <hyperlink ref="AB108" r:id="rId1170" xr:uid="{00000000-0004-0000-0100-000091040000}"/>
    <hyperlink ref="AC108" r:id="rId1171" xr:uid="{00000000-0004-0000-0100-000092040000}"/>
    <hyperlink ref="AD108" r:id="rId1172" xr:uid="{00000000-0004-0000-0100-000093040000}"/>
    <hyperlink ref="B109" r:id="rId1173" xr:uid="{00000000-0004-0000-0100-000094040000}"/>
    <hyperlink ref="D109" r:id="rId1174" xr:uid="{00000000-0004-0000-0100-000095040000}"/>
    <hyperlink ref="E109" r:id="rId1175" xr:uid="{00000000-0004-0000-0100-000096040000}"/>
    <hyperlink ref="V109" r:id="rId1176" xr:uid="{00000000-0004-0000-0100-000097040000}"/>
    <hyperlink ref="W109" r:id="rId1177" xr:uid="{00000000-0004-0000-0100-000098040000}"/>
    <hyperlink ref="X109" r:id="rId1178" xr:uid="{00000000-0004-0000-0100-000099040000}"/>
    <hyperlink ref="Y109" r:id="rId1179" xr:uid="{00000000-0004-0000-0100-00009A040000}"/>
    <hyperlink ref="Z109" r:id="rId1180" xr:uid="{00000000-0004-0000-0100-00009B040000}"/>
    <hyperlink ref="AA109" r:id="rId1181" xr:uid="{00000000-0004-0000-0100-00009C040000}"/>
    <hyperlink ref="AB109" r:id="rId1182" xr:uid="{00000000-0004-0000-0100-00009D040000}"/>
    <hyperlink ref="AC109" r:id="rId1183" xr:uid="{00000000-0004-0000-0100-00009E040000}"/>
    <hyperlink ref="B110" r:id="rId1184" xr:uid="{00000000-0004-0000-0100-00009F040000}"/>
    <hyperlink ref="D110" r:id="rId1185" xr:uid="{00000000-0004-0000-0100-0000A0040000}"/>
    <hyperlink ref="E110" r:id="rId1186" xr:uid="{00000000-0004-0000-0100-0000A1040000}"/>
    <hyperlink ref="V110" r:id="rId1187" xr:uid="{00000000-0004-0000-0100-0000A2040000}"/>
    <hyperlink ref="W110" r:id="rId1188" xr:uid="{00000000-0004-0000-0100-0000A3040000}"/>
    <hyperlink ref="X110" r:id="rId1189" xr:uid="{00000000-0004-0000-0100-0000A4040000}"/>
    <hyperlink ref="Y110" r:id="rId1190" xr:uid="{00000000-0004-0000-0100-0000A5040000}"/>
    <hyperlink ref="Z110" r:id="rId1191" xr:uid="{00000000-0004-0000-0100-0000A6040000}"/>
    <hyperlink ref="AA110" r:id="rId1192" xr:uid="{00000000-0004-0000-0100-0000A7040000}"/>
    <hyperlink ref="AB110" r:id="rId1193" xr:uid="{00000000-0004-0000-0100-0000A8040000}"/>
    <hyperlink ref="AC110" r:id="rId1194" xr:uid="{00000000-0004-0000-0100-0000A9040000}"/>
    <hyperlink ref="AD110" r:id="rId1195" xr:uid="{00000000-0004-0000-0100-0000AA040000}"/>
    <hyperlink ref="B111" r:id="rId1196" xr:uid="{00000000-0004-0000-0100-0000AB040000}"/>
    <hyperlink ref="D111" r:id="rId1197" xr:uid="{00000000-0004-0000-0100-0000AC040000}"/>
    <hyperlink ref="E111" r:id="rId1198" xr:uid="{00000000-0004-0000-0100-0000AD040000}"/>
    <hyperlink ref="V111" r:id="rId1199" xr:uid="{00000000-0004-0000-0100-0000AE040000}"/>
    <hyperlink ref="W111" r:id="rId1200" xr:uid="{00000000-0004-0000-0100-0000AF040000}"/>
    <hyperlink ref="X111" r:id="rId1201" xr:uid="{00000000-0004-0000-0100-0000B0040000}"/>
    <hyperlink ref="Y111" r:id="rId1202" xr:uid="{00000000-0004-0000-0100-0000B1040000}"/>
    <hyperlink ref="B112" r:id="rId1203" xr:uid="{00000000-0004-0000-0100-0000B2040000}"/>
    <hyperlink ref="D112" r:id="rId1204" xr:uid="{00000000-0004-0000-0100-0000B3040000}"/>
    <hyperlink ref="E112" r:id="rId1205" xr:uid="{00000000-0004-0000-0100-0000B4040000}"/>
    <hyperlink ref="V112" r:id="rId1206" xr:uid="{00000000-0004-0000-0100-0000B5040000}"/>
    <hyperlink ref="W112" r:id="rId1207" xr:uid="{00000000-0004-0000-0100-0000B6040000}"/>
    <hyperlink ref="X112" r:id="rId1208" xr:uid="{00000000-0004-0000-0100-0000B7040000}"/>
    <hyperlink ref="Y112" r:id="rId1209" xr:uid="{00000000-0004-0000-0100-0000B8040000}"/>
    <hyperlink ref="Z112" r:id="rId1210" xr:uid="{00000000-0004-0000-0100-0000B9040000}"/>
    <hyperlink ref="AA112" r:id="rId1211" xr:uid="{00000000-0004-0000-0100-0000BA040000}"/>
    <hyperlink ref="B113" r:id="rId1212" xr:uid="{00000000-0004-0000-0100-0000BB040000}"/>
    <hyperlink ref="D113" r:id="rId1213" xr:uid="{00000000-0004-0000-0100-0000BC040000}"/>
    <hyperlink ref="E113" r:id="rId1214" xr:uid="{00000000-0004-0000-0100-0000BD040000}"/>
    <hyperlink ref="B114" r:id="rId1215" xr:uid="{00000000-0004-0000-0100-0000BE040000}"/>
    <hyperlink ref="D114" r:id="rId1216" xr:uid="{00000000-0004-0000-0100-0000BF040000}"/>
    <hyperlink ref="E114" r:id="rId1217" xr:uid="{00000000-0004-0000-0100-0000C0040000}"/>
    <hyperlink ref="V114" r:id="rId1218" xr:uid="{00000000-0004-0000-0100-0000C1040000}"/>
    <hyperlink ref="W114" r:id="rId1219" xr:uid="{00000000-0004-0000-0100-0000C2040000}"/>
    <hyperlink ref="B115" r:id="rId1220" xr:uid="{00000000-0004-0000-0100-0000C3040000}"/>
    <hyperlink ref="D115" r:id="rId1221" xr:uid="{00000000-0004-0000-0100-0000C4040000}"/>
    <hyperlink ref="E115" r:id="rId1222" xr:uid="{00000000-0004-0000-0100-0000C5040000}"/>
    <hyperlink ref="V115" r:id="rId1223" xr:uid="{00000000-0004-0000-0100-0000C6040000}"/>
    <hyperlink ref="W115" r:id="rId1224" xr:uid="{00000000-0004-0000-0100-0000C7040000}"/>
    <hyperlink ref="B116" r:id="rId1225" xr:uid="{00000000-0004-0000-0100-0000C8040000}"/>
    <hyperlink ref="D116" r:id="rId1226" xr:uid="{00000000-0004-0000-0100-0000C9040000}"/>
    <hyperlink ref="E116" r:id="rId1227" xr:uid="{00000000-0004-0000-0100-0000CA040000}"/>
    <hyperlink ref="V116" r:id="rId1228" xr:uid="{00000000-0004-0000-0100-0000CB040000}"/>
    <hyperlink ref="W116" r:id="rId1229" xr:uid="{00000000-0004-0000-0100-0000CC040000}"/>
    <hyperlink ref="X116" r:id="rId1230" xr:uid="{00000000-0004-0000-0100-0000CD040000}"/>
    <hyperlink ref="Y116" r:id="rId1231" xr:uid="{00000000-0004-0000-0100-0000CE040000}"/>
    <hyperlink ref="B117" r:id="rId1232" xr:uid="{00000000-0004-0000-0100-0000CF040000}"/>
    <hyperlink ref="D117" r:id="rId1233" xr:uid="{00000000-0004-0000-0100-0000D0040000}"/>
    <hyperlink ref="E117" r:id="rId1234" xr:uid="{00000000-0004-0000-0100-0000D1040000}"/>
    <hyperlink ref="B118" r:id="rId1235" xr:uid="{00000000-0004-0000-0100-0000D2040000}"/>
    <hyperlink ref="D118" r:id="rId1236" xr:uid="{00000000-0004-0000-0100-0000D3040000}"/>
    <hyperlink ref="E118" r:id="rId1237" xr:uid="{00000000-0004-0000-0100-0000D4040000}"/>
    <hyperlink ref="V118" r:id="rId1238" xr:uid="{00000000-0004-0000-0100-0000D5040000}"/>
    <hyperlink ref="W118" r:id="rId1239" xr:uid="{00000000-0004-0000-0100-0000D6040000}"/>
    <hyperlink ref="X118" r:id="rId1240" xr:uid="{00000000-0004-0000-0100-0000D7040000}"/>
    <hyperlink ref="Y118" r:id="rId1241" xr:uid="{00000000-0004-0000-0100-0000D8040000}"/>
    <hyperlink ref="B119" r:id="rId1242" xr:uid="{00000000-0004-0000-0100-0000D9040000}"/>
    <hyperlink ref="D119" r:id="rId1243" xr:uid="{00000000-0004-0000-0100-0000DA040000}"/>
    <hyperlink ref="E119" r:id="rId1244" xr:uid="{00000000-0004-0000-0100-0000DB040000}"/>
    <hyperlink ref="V119" r:id="rId1245" xr:uid="{00000000-0004-0000-0100-0000DC040000}"/>
    <hyperlink ref="W119" r:id="rId1246" xr:uid="{00000000-0004-0000-0100-0000DD040000}"/>
    <hyperlink ref="X119" r:id="rId1247" xr:uid="{00000000-0004-0000-0100-0000DE040000}"/>
    <hyperlink ref="Y119" r:id="rId1248" xr:uid="{00000000-0004-0000-0100-0000DF040000}"/>
    <hyperlink ref="Z119" r:id="rId1249" xr:uid="{00000000-0004-0000-0100-0000E0040000}"/>
    <hyperlink ref="AA119" r:id="rId1250" xr:uid="{00000000-0004-0000-0100-0000E1040000}"/>
    <hyperlink ref="AB119" r:id="rId1251" xr:uid="{00000000-0004-0000-0100-0000E2040000}"/>
    <hyperlink ref="AC119" r:id="rId1252" xr:uid="{00000000-0004-0000-0100-0000E3040000}"/>
    <hyperlink ref="B120" r:id="rId1253" xr:uid="{00000000-0004-0000-0100-0000E4040000}"/>
    <hyperlink ref="D120" r:id="rId1254" xr:uid="{00000000-0004-0000-0100-0000E5040000}"/>
    <hyperlink ref="E120" r:id="rId1255" xr:uid="{00000000-0004-0000-0100-0000E6040000}"/>
    <hyperlink ref="V120" r:id="rId1256" xr:uid="{00000000-0004-0000-0100-0000E7040000}"/>
    <hyperlink ref="W120" r:id="rId1257" xr:uid="{00000000-0004-0000-0100-0000E8040000}"/>
    <hyperlink ref="B121" r:id="rId1258" xr:uid="{00000000-0004-0000-0100-0000E9040000}"/>
    <hyperlink ref="D121" r:id="rId1259" xr:uid="{00000000-0004-0000-0100-0000EA040000}"/>
    <hyperlink ref="E121" r:id="rId1260" xr:uid="{00000000-0004-0000-0100-0000EB040000}"/>
    <hyperlink ref="V121" r:id="rId1261" xr:uid="{00000000-0004-0000-0100-0000EC040000}"/>
    <hyperlink ref="W121" r:id="rId1262" xr:uid="{00000000-0004-0000-0100-0000ED040000}"/>
    <hyperlink ref="X121" r:id="rId1263" xr:uid="{00000000-0004-0000-0100-0000EE040000}"/>
    <hyperlink ref="Y121" r:id="rId1264" xr:uid="{00000000-0004-0000-0100-0000EF040000}"/>
    <hyperlink ref="Z121" r:id="rId1265" xr:uid="{00000000-0004-0000-0100-0000F0040000}"/>
    <hyperlink ref="AA121" r:id="rId1266" xr:uid="{00000000-0004-0000-0100-0000F1040000}"/>
    <hyperlink ref="B122" r:id="rId1267" xr:uid="{00000000-0004-0000-0100-0000F2040000}"/>
    <hyperlink ref="D122" r:id="rId1268" xr:uid="{00000000-0004-0000-0100-0000F3040000}"/>
    <hyperlink ref="E122" r:id="rId1269" xr:uid="{00000000-0004-0000-0100-0000F4040000}"/>
    <hyperlink ref="B123" r:id="rId1270" xr:uid="{00000000-0004-0000-0100-0000F5040000}"/>
    <hyperlink ref="D123" r:id="rId1271" xr:uid="{00000000-0004-0000-0100-0000F6040000}"/>
    <hyperlink ref="E123" r:id="rId1272" xr:uid="{00000000-0004-0000-0100-0000F7040000}"/>
    <hyperlink ref="V123" r:id="rId1273" xr:uid="{00000000-0004-0000-0100-0000F8040000}"/>
    <hyperlink ref="W123" r:id="rId1274" xr:uid="{00000000-0004-0000-0100-0000F9040000}"/>
    <hyperlink ref="X123" r:id="rId1275" xr:uid="{00000000-0004-0000-0100-0000FA040000}"/>
    <hyperlink ref="Y123" r:id="rId1276" xr:uid="{00000000-0004-0000-0100-0000FB040000}"/>
    <hyperlink ref="Z123" r:id="rId1277" xr:uid="{00000000-0004-0000-0100-0000FC040000}"/>
    <hyperlink ref="AA123" r:id="rId1278" xr:uid="{00000000-0004-0000-0100-0000FD040000}"/>
    <hyperlink ref="AB123" r:id="rId1279" xr:uid="{00000000-0004-0000-0100-0000FE040000}"/>
    <hyperlink ref="AC123" r:id="rId1280" xr:uid="{00000000-0004-0000-0100-0000FF040000}"/>
    <hyperlink ref="B124" r:id="rId1281" xr:uid="{00000000-0004-0000-0100-000000050000}"/>
    <hyperlink ref="D124" r:id="rId1282" xr:uid="{00000000-0004-0000-0100-000001050000}"/>
    <hyperlink ref="E124" r:id="rId1283" xr:uid="{00000000-0004-0000-0100-000002050000}"/>
    <hyperlink ref="V124" r:id="rId1284" xr:uid="{00000000-0004-0000-0100-000003050000}"/>
    <hyperlink ref="W124" r:id="rId1285" xr:uid="{00000000-0004-0000-0100-000004050000}"/>
    <hyperlink ref="X124" r:id="rId1286" xr:uid="{00000000-0004-0000-0100-000005050000}"/>
    <hyperlink ref="Y124" r:id="rId1287" xr:uid="{00000000-0004-0000-0100-000006050000}"/>
    <hyperlink ref="B125" r:id="rId1288" xr:uid="{00000000-0004-0000-0100-000007050000}"/>
    <hyperlink ref="D125" r:id="rId1289" xr:uid="{00000000-0004-0000-0100-000008050000}"/>
    <hyperlink ref="E125" r:id="rId1290" xr:uid="{00000000-0004-0000-0100-000009050000}"/>
    <hyperlink ref="V125" r:id="rId1291" xr:uid="{00000000-0004-0000-0100-00000A050000}"/>
    <hyperlink ref="W125" r:id="rId1292" xr:uid="{00000000-0004-0000-0100-00000B050000}"/>
    <hyperlink ref="X125" r:id="rId1293" xr:uid="{00000000-0004-0000-0100-00000C050000}"/>
    <hyperlink ref="Y125" r:id="rId1294" xr:uid="{00000000-0004-0000-0100-00000D050000}"/>
    <hyperlink ref="B126" r:id="rId1295" xr:uid="{00000000-0004-0000-0100-00000E050000}"/>
    <hyperlink ref="D126" r:id="rId1296" xr:uid="{00000000-0004-0000-0100-00000F050000}"/>
    <hyperlink ref="E126" r:id="rId1297" xr:uid="{00000000-0004-0000-0100-000010050000}"/>
    <hyperlink ref="V126" r:id="rId1298" xr:uid="{00000000-0004-0000-0100-000011050000}"/>
    <hyperlink ref="W126" r:id="rId1299" xr:uid="{00000000-0004-0000-0100-000012050000}"/>
    <hyperlink ref="X126" r:id="rId1300" xr:uid="{00000000-0004-0000-0100-000013050000}"/>
    <hyperlink ref="Y126" r:id="rId1301" xr:uid="{00000000-0004-0000-0100-000014050000}"/>
    <hyperlink ref="B127" r:id="rId1302" xr:uid="{00000000-0004-0000-0100-000015050000}"/>
    <hyperlink ref="D127" r:id="rId1303" xr:uid="{00000000-0004-0000-0100-000016050000}"/>
    <hyperlink ref="V127" r:id="rId1304" xr:uid="{00000000-0004-0000-0100-000017050000}"/>
    <hyperlink ref="W127" r:id="rId1305" xr:uid="{00000000-0004-0000-0100-000018050000}"/>
    <hyperlink ref="X127" r:id="rId1306" xr:uid="{00000000-0004-0000-0100-000019050000}"/>
    <hyperlink ref="Y127" r:id="rId1307" xr:uid="{00000000-0004-0000-0100-00001A050000}"/>
    <hyperlink ref="B128" r:id="rId1308" xr:uid="{00000000-0004-0000-0100-00001B050000}"/>
    <hyperlink ref="D128" r:id="rId1309" xr:uid="{00000000-0004-0000-0100-00001C050000}"/>
    <hyperlink ref="E128" r:id="rId1310" xr:uid="{00000000-0004-0000-0100-00001D050000}"/>
    <hyperlink ref="V128" r:id="rId1311" xr:uid="{00000000-0004-0000-0100-00001E050000}"/>
    <hyperlink ref="W128" r:id="rId1312" xr:uid="{00000000-0004-0000-0100-00001F050000}"/>
    <hyperlink ref="B129" r:id="rId1313" xr:uid="{00000000-0004-0000-0100-000020050000}"/>
    <hyperlink ref="D129" r:id="rId1314" xr:uid="{00000000-0004-0000-0100-000021050000}"/>
    <hyperlink ref="E129" r:id="rId1315" xr:uid="{00000000-0004-0000-0100-000022050000}"/>
    <hyperlink ref="V129" r:id="rId1316" xr:uid="{00000000-0004-0000-0100-000023050000}"/>
    <hyperlink ref="W129" r:id="rId1317" xr:uid="{00000000-0004-0000-0100-000024050000}"/>
    <hyperlink ref="X129" r:id="rId1318" xr:uid="{00000000-0004-0000-0100-000025050000}"/>
    <hyperlink ref="Y129" r:id="rId1319" xr:uid="{00000000-0004-0000-0100-000026050000}"/>
    <hyperlink ref="B130" r:id="rId1320" xr:uid="{00000000-0004-0000-0100-000027050000}"/>
    <hyperlink ref="D130" r:id="rId1321" xr:uid="{00000000-0004-0000-0100-000028050000}"/>
    <hyperlink ref="E130" r:id="rId1322" xr:uid="{00000000-0004-0000-0100-000029050000}"/>
    <hyperlink ref="V130" r:id="rId1323" xr:uid="{00000000-0004-0000-0100-00002A050000}"/>
    <hyperlink ref="W130" r:id="rId1324" xr:uid="{00000000-0004-0000-0100-00002B050000}"/>
    <hyperlink ref="B131" r:id="rId1325" xr:uid="{00000000-0004-0000-0100-00002C050000}"/>
    <hyperlink ref="D131" r:id="rId1326" xr:uid="{00000000-0004-0000-0100-00002D050000}"/>
    <hyperlink ref="E131" r:id="rId1327" xr:uid="{00000000-0004-0000-0100-00002E050000}"/>
    <hyperlink ref="B132" r:id="rId1328" xr:uid="{00000000-0004-0000-0100-00002F050000}"/>
    <hyperlink ref="D132" r:id="rId1329" xr:uid="{00000000-0004-0000-0100-000030050000}"/>
    <hyperlink ref="E132" r:id="rId1330" xr:uid="{00000000-0004-0000-0100-000031050000}"/>
    <hyperlink ref="B133" r:id="rId1331" xr:uid="{00000000-0004-0000-0100-000032050000}"/>
    <hyperlink ref="D133" r:id="rId1332" xr:uid="{00000000-0004-0000-0100-000033050000}"/>
    <hyperlink ref="E133" r:id="rId1333" xr:uid="{00000000-0004-0000-0100-000034050000}"/>
    <hyperlink ref="B134" r:id="rId1334" xr:uid="{00000000-0004-0000-0100-000035050000}"/>
    <hyperlink ref="D134" r:id="rId1335" xr:uid="{00000000-0004-0000-0100-000036050000}"/>
    <hyperlink ref="E134" r:id="rId1336" xr:uid="{00000000-0004-0000-0100-000037050000}"/>
    <hyperlink ref="V134" r:id="rId1337" xr:uid="{00000000-0004-0000-0100-000038050000}"/>
    <hyperlink ref="W134" r:id="rId1338" xr:uid="{00000000-0004-0000-0100-000039050000}"/>
    <hyperlink ref="X134" r:id="rId1339" xr:uid="{00000000-0004-0000-0100-00003A050000}"/>
    <hyperlink ref="Y134" r:id="rId1340" xr:uid="{00000000-0004-0000-0100-00003B050000}"/>
    <hyperlink ref="B135" r:id="rId1341" xr:uid="{00000000-0004-0000-0100-00003C050000}"/>
    <hyperlink ref="D135" r:id="rId1342" xr:uid="{00000000-0004-0000-0100-00003D050000}"/>
    <hyperlink ref="E135" r:id="rId1343" xr:uid="{00000000-0004-0000-0100-00003E050000}"/>
    <hyperlink ref="V135" r:id="rId1344" xr:uid="{00000000-0004-0000-0100-00003F050000}"/>
    <hyperlink ref="W135" r:id="rId1345" xr:uid="{00000000-0004-0000-0100-000040050000}"/>
    <hyperlink ref="X135" r:id="rId1346" xr:uid="{00000000-0004-0000-0100-000041050000}"/>
    <hyperlink ref="Y135" r:id="rId1347" xr:uid="{00000000-0004-0000-0100-000042050000}"/>
    <hyperlink ref="Z135" r:id="rId1348" xr:uid="{00000000-0004-0000-0100-000043050000}"/>
    <hyperlink ref="AA135" r:id="rId1349" xr:uid="{00000000-0004-0000-0100-000044050000}"/>
    <hyperlink ref="AB135" r:id="rId1350" xr:uid="{00000000-0004-0000-0100-000045050000}"/>
    <hyperlink ref="AC135" r:id="rId1351" xr:uid="{00000000-0004-0000-0100-000046050000}"/>
    <hyperlink ref="B136" r:id="rId1352" xr:uid="{00000000-0004-0000-0100-000047050000}"/>
    <hyperlink ref="D136" r:id="rId1353" xr:uid="{00000000-0004-0000-0100-000048050000}"/>
    <hyperlink ref="E136" r:id="rId1354" xr:uid="{00000000-0004-0000-0100-000049050000}"/>
    <hyperlink ref="V136" r:id="rId1355" xr:uid="{00000000-0004-0000-0100-00004A050000}"/>
    <hyperlink ref="W136" r:id="rId1356" xr:uid="{00000000-0004-0000-0100-00004B050000}"/>
    <hyperlink ref="B137" r:id="rId1357" xr:uid="{00000000-0004-0000-0100-00004C050000}"/>
    <hyperlink ref="D137" r:id="rId1358" xr:uid="{00000000-0004-0000-0100-00004D050000}"/>
    <hyperlink ref="E137" r:id="rId1359" xr:uid="{00000000-0004-0000-0100-00004E050000}"/>
    <hyperlink ref="B138" r:id="rId1360" xr:uid="{00000000-0004-0000-0100-00004F050000}"/>
    <hyperlink ref="D138" r:id="rId1361" xr:uid="{00000000-0004-0000-0100-000050050000}"/>
    <hyperlink ref="E138" r:id="rId1362" xr:uid="{00000000-0004-0000-0100-000051050000}"/>
    <hyperlink ref="V138" r:id="rId1363" xr:uid="{00000000-0004-0000-0100-000052050000}"/>
    <hyperlink ref="W138" r:id="rId1364" xr:uid="{00000000-0004-0000-0100-000053050000}"/>
    <hyperlink ref="X138" r:id="rId1365" xr:uid="{00000000-0004-0000-0100-000054050000}"/>
    <hyperlink ref="Y138" r:id="rId1366" xr:uid="{00000000-0004-0000-0100-000055050000}"/>
    <hyperlink ref="Z138" r:id="rId1367" xr:uid="{00000000-0004-0000-0100-000056050000}"/>
    <hyperlink ref="AA138" r:id="rId1368" xr:uid="{00000000-0004-0000-0100-000057050000}"/>
    <hyperlink ref="AB138" r:id="rId1369" xr:uid="{00000000-0004-0000-0100-000058050000}"/>
    <hyperlink ref="AC138" r:id="rId1370" xr:uid="{00000000-0004-0000-0100-000059050000}"/>
    <hyperlink ref="AD138" r:id="rId1371" xr:uid="{00000000-0004-0000-0100-00005A050000}"/>
    <hyperlink ref="B139" r:id="rId1372" xr:uid="{00000000-0004-0000-0100-00005B050000}"/>
    <hyperlink ref="D139" r:id="rId1373" xr:uid="{00000000-0004-0000-0100-00005C050000}"/>
    <hyperlink ref="E139" r:id="rId1374" xr:uid="{00000000-0004-0000-0100-00005D050000}"/>
    <hyperlink ref="V139" r:id="rId1375" xr:uid="{00000000-0004-0000-0100-00005E050000}"/>
    <hyperlink ref="W139" r:id="rId1376" xr:uid="{00000000-0004-0000-0100-00005F050000}"/>
    <hyperlink ref="X139" r:id="rId1377" xr:uid="{00000000-0004-0000-0100-000060050000}"/>
    <hyperlink ref="Y139" r:id="rId1378" xr:uid="{00000000-0004-0000-0100-000061050000}"/>
    <hyperlink ref="B140" r:id="rId1379" xr:uid="{00000000-0004-0000-0100-000062050000}"/>
    <hyperlink ref="D140" r:id="rId1380" xr:uid="{00000000-0004-0000-0100-000063050000}"/>
    <hyperlink ref="E140" r:id="rId1381" xr:uid="{00000000-0004-0000-0100-000064050000}"/>
    <hyperlink ref="V140" r:id="rId1382" xr:uid="{00000000-0004-0000-0100-000065050000}"/>
    <hyperlink ref="W140" r:id="rId1383" xr:uid="{00000000-0004-0000-0100-000066050000}"/>
    <hyperlink ref="X140" r:id="rId1384" xr:uid="{00000000-0004-0000-0100-000067050000}"/>
    <hyperlink ref="Y140" r:id="rId1385" xr:uid="{00000000-0004-0000-0100-000068050000}"/>
    <hyperlink ref="Z140" r:id="rId1386" xr:uid="{00000000-0004-0000-0100-000069050000}"/>
    <hyperlink ref="AA140" r:id="rId1387" xr:uid="{00000000-0004-0000-0100-00006A050000}"/>
    <hyperlink ref="B141" r:id="rId1388" xr:uid="{00000000-0004-0000-0100-00006B050000}"/>
    <hyperlink ref="D141" r:id="rId1389" xr:uid="{00000000-0004-0000-0100-00006C050000}"/>
    <hyperlink ref="E141" r:id="rId1390" xr:uid="{00000000-0004-0000-0100-00006D050000}"/>
    <hyperlink ref="B142" r:id="rId1391" xr:uid="{00000000-0004-0000-0100-00006E050000}"/>
    <hyperlink ref="D142" r:id="rId1392" xr:uid="{00000000-0004-0000-0100-00006F050000}"/>
    <hyperlink ref="E142" r:id="rId1393" xr:uid="{00000000-0004-0000-0100-000070050000}"/>
    <hyperlink ref="V142" r:id="rId1394" xr:uid="{00000000-0004-0000-0100-000071050000}"/>
    <hyperlink ref="W142" r:id="rId1395" xr:uid="{00000000-0004-0000-0100-000072050000}"/>
    <hyperlink ref="X142" r:id="rId1396" xr:uid="{00000000-0004-0000-0100-000073050000}"/>
    <hyperlink ref="Y142" r:id="rId1397" xr:uid="{00000000-0004-0000-0100-000074050000}"/>
    <hyperlink ref="B143" r:id="rId1398" xr:uid="{00000000-0004-0000-0100-000075050000}"/>
    <hyperlink ref="D143" r:id="rId1399" xr:uid="{00000000-0004-0000-0100-000076050000}"/>
    <hyperlink ref="E143" r:id="rId1400" xr:uid="{00000000-0004-0000-0100-000077050000}"/>
    <hyperlink ref="V143" r:id="rId1401" xr:uid="{00000000-0004-0000-0100-000078050000}"/>
    <hyperlink ref="W143" r:id="rId1402" xr:uid="{00000000-0004-0000-0100-000079050000}"/>
    <hyperlink ref="B144" r:id="rId1403" xr:uid="{00000000-0004-0000-0100-00007A050000}"/>
    <hyperlink ref="D144" r:id="rId1404" xr:uid="{00000000-0004-0000-0100-00007B050000}"/>
    <hyperlink ref="E144" r:id="rId1405" xr:uid="{00000000-0004-0000-0100-00007C050000}"/>
    <hyperlink ref="V144" r:id="rId1406" xr:uid="{00000000-0004-0000-0100-00007D050000}"/>
    <hyperlink ref="W144" r:id="rId1407" xr:uid="{00000000-0004-0000-0100-00007E050000}"/>
    <hyperlink ref="B145" r:id="rId1408" xr:uid="{00000000-0004-0000-0100-00007F050000}"/>
    <hyperlink ref="D145" r:id="rId1409" xr:uid="{00000000-0004-0000-0100-000080050000}"/>
    <hyperlink ref="E145" r:id="rId1410" xr:uid="{00000000-0004-0000-0100-000081050000}"/>
    <hyperlink ref="V145" r:id="rId1411" xr:uid="{00000000-0004-0000-0100-000082050000}"/>
    <hyperlink ref="W145" r:id="rId1412" xr:uid="{00000000-0004-0000-0100-000083050000}"/>
    <hyperlink ref="X145" r:id="rId1413" xr:uid="{00000000-0004-0000-0100-000084050000}"/>
    <hyperlink ref="Y145" r:id="rId1414" xr:uid="{00000000-0004-0000-0100-000085050000}"/>
    <hyperlink ref="Z145" r:id="rId1415" xr:uid="{00000000-0004-0000-0100-000086050000}"/>
    <hyperlink ref="AA145" r:id="rId1416" xr:uid="{00000000-0004-0000-0100-000087050000}"/>
    <hyperlink ref="AB145" r:id="rId1417" xr:uid="{00000000-0004-0000-0100-000088050000}"/>
    <hyperlink ref="AC145" r:id="rId1418" xr:uid="{00000000-0004-0000-0100-000089050000}"/>
    <hyperlink ref="AD145" r:id="rId1419" xr:uid="{00000000-0004-0000-0100-00008A050000}"/>
    <hyperlink ref="B146" r:id="rId1420" xr:uid="{00000000-0004-0000-0100-00008B050000}"/>
    <hyperlink ref="D146" r:id="rId1421" xr:uid="{00000000-0004-0000-0100-00008C050000}"/>
    <hyperlink ref="E146" r:id="rId1422" xr:uid="{00000000-0004-0000-0100-00008D050000}"/>
    <hyperlink ref="V146" r:id="rId1423" xr:uid="{00000000-0004-0000-0100-00008E050000}"/>
    <hyperlink ref="W146" r:id="rId1424" xr:uid="{00000000-0004-0000-0100-00008F050000}"/>
    <hyperlink ref="B147" r:id="rId1425" xr:uid="{00000000-0004-0000-0100-000090050000}"/>
    <hyperlink ref="D147" r:id="rId1426" xr:uid="{00000000-0004-0000-0100-000091050000}"/>
    <hyperlink ref="E147" r:id="rId1427" xr:uid="{00000000-0004-0000-0100-000092050000}"/>
    <hyperlink ref="V147" r:id="rId1428" xr:uid="{00000000-0004-0000-0100-000093050000}"/>
    <hyperlink ref="W147" r:id="rId1429" xr:uid="{00000000-0004-0000-0100-000094050000}"/>
    <hyperlink ref="X147" r:id="rId1430" xr:uid="{00000000-0004-0000-0100-000095050000}"/>
    <hyperlink ref="Y147" r:id="rId1431" xr:uid="{00000000-0004-0000-0100-000096050000}"/>
    <hyperlink ref="B148" r:id="rId1432" xr:uid="{00000000-0004-0000-0100-000097050000}"/>
    <hyperlink ref="D148" r:id="rId1433" xr:uid="{00000000-0004-0000-0100-000098050000}"/>
    <hyperlink ref="E148" r:id="rId1434" xr:uid="{00000000-0004-0000-0100-000099050000}"/>
    <hyperlink ref="V148" r:id="rId1435" xr:uid="{00000000-0004-0000-0100-00009A050000}"/>
    <hyperlink ref="W148" r:id="rId1436" xr:uid="{00000000-0004-0000-0100-00009B050000}"/>
    <hyperlink ref="X148" r:id="rId1437" xr:uid="{00000000-0004-0000-0100-00009C050000}"/>
    <hyperlink ref="Y148" r:id="rId1438" xr:uid="{00000000-0004-0000-0100-00009D050000}"/>
    <hyperlink ref="Z148" r:id="rId1439" xr:uid="{00000000-0004-0000-0100-00009E050000}"/>
    <hyperlink ref="AA148" r:id="rId1440" xr:uid="{00000000-0004-0000-0100-00009F050000}"/>
    <hyperlink ref="AB148" r:id="rId1441" xr:uid="{00000000-0004-0000-0100-0000A0050000}"/>
    <hyperlink ref="AC148" r:id="rId1442" xr:uid="{00000000-0004-0000-0100-0000A1050000}"/>
    <hyperlink ref="AD148" r:id="rId1443" xr:uid="{00000000-0004-0000-0100-0000A2050000}"/>
    <hyperlink ref="B149" r:id="rId1444" xr:uid="{00000000-0004-0000-0100-0000A3050000}"/>
    <hyperlink ref="D149" r:id="rId1445" xr:uid="{00000000-0004-0000-0100-0000A4050000}"/>
    <hyperlink ref="E149" r:id="rId1446" xr:uid="{00000000-0004-0000-0100-0000A5050000}"/>
    <hyperlink ref="B150" r:id="rId1447" xr:uid="{00000000-0004-0000-0100-0000A6050000}"/>
    <hyperlink ref="D150" r:id="rId1448" xr:uid="{00000000-0004-0000-0100-0000A7050000}"/>
    <hyperlink ref="E150" r:id="rId1449" xr:uid="{00000000-0004-0000-0100-0000A8050000}"/>
    <hyperlink ref="V150" r:id="rId1450" xr:uid="{00000000-0004-0000-0100-0000A9050000}"/>
    <hyperlink ref="W150" r:id="rId1451" xr:uid="{00000000-0004-0000-0100-0000AA050000}"/>
    <hyperlink ref="X150" r:id="rId1452" xr:uid="{00000000-0004-0000-0100-0000AB050000}"/>
    <hyperlink ref="Y150" r:id="rId1453" xr:uid="{00000000-0004-0000-0100-0000AC050000}"/>
    <hyperlink ref="B151" r:id="rId1454" xr:uid="{00000000-0004-0000-0100-0000AD050000}"/>
    <hyperlink ref="D151" r:id="rId1455" xr:uid="{00000000-0004-0000-0100-0000AE050000}"/>
    <hyperlink ref="E151" r:id="rId1456" xr:uid="{00000000-0004-0000-0100-0000AF050000}"/>
    <hyperlink ref="B152" r:id="rId1457" xr:uid="{00000000-0004-0000-0100-0000B0050000}"/>
    <hyperlink ref="D152" r:id="rId1458" xr:uid="{00000000-0004-0000-0100-0000B1050000}"/>
    <hyperlink ref="E152" r:id="rId1459" xr:uid="{00000000-0004-0000-0100-0000B2050000}"/>
    <hyperlink ref="V152" r:id="rId1460" xr:uid="{00000000-0004-0000-0100-0000B3050000}"/>
    <hyperlink ref="W152" r:id="rId1461" xr:uid="{00000000-0004-0000-0100-0000B4050000}"/>
    <hyperlink ref="B153" r:id="rId1462" xr:uid="{00000000-0004-0000-0100-0000B5050000}"/>
    <hyperlink ref="D153" r:id="rId1463" xr:uid="{00000000-0004-0000-0100-0000B6050000}"/>
    <hyperlink ref="E153" r:id="rId1464" xr:uid="{00000000-0004-0000-0100-0000B7050000}"/>
    <hyperlink ref="V153" r:id="rId1465" xr:uid="{00000000-0004-0000-0100-0000B8050000}"/>
    <hyperlink ref="W153" r:id="rId1466" xr:uid="{00000000-0004-0000-0100-0000B9050000}"/>
    <hyperlink ref="X153" r:id="rId1467" xr:uid="{00000000-0004-0000-0100-0000BA050000}"/>
    <hyperlink ref="Y153" r:id="rId1468" xr:uid="{00000000-0004-0000-0100-0000BB050000}"/>
    <hyperlink ref="Z153" r:id="rId1469" xr:uid="{00000000-0004-0000-0100-0000BC050000}"/>
    <hyperlink ref="AA153" r:id="rId1470" xr:uid="{00000000-0004-0000-0100-0000BD050000}"/>
    <hyperlink ref="AB153" r:id="rId1471" xr:uid="{00000000-0004-0000-0100-0000BE050000}"/>
    <hyperlink ref="AC153" r:id="rId1472" xr:uid="{00000000-0004-0000-0100-0000BF050000}"/>
    <hyperlink ref="AD153" r:id="rId1473" xr:uid="{00000000-0004-0000-0100-0000C0050000}"/>
    <hyperlink ref="B154" r:id="rId1474" xr:uid="{00000000-0004-0000-0100-0000C1050000}"/>
    <hyperlink ref="D154" r:id="rId1475" xr:uid="{00000000-0004-0000-0100-0000C2050000}"/>
    <hyperlink ref="E154" r:id="rId1476" xr:uid="{00000000-0004-0000-0100-0000C3050000}"/>
    <hyperlink ref="V154" r:id="rId1477" xr:uid="{00000000-0004-0000-0100-0000C4050000}"/>
    <hyperlink ref="W154" r:id="rId1478" xr:uid="{00000000-0004-0000-0100-0000C5050000}"/>
    <hyperlink ref="X154" r:id="rId1479" xr:uid="{00000000-0004-0000-0100-0000C6050000}"/>
    <hyperlink ref="Y154" r:id="rId1480" xr:uid="{00000000-0004-0000-0100-0000C7050000}"/>
    <hyperlink ref="Z154" r:id="rId1481" xr:uid="{00000000-0004-0000-0100-0000C8050000}"/>
    <hyperlink ref="AA154" r:id="rId1482" xr:uid="{00000000-0004-0000-0100-0000C9050000}"/>
    <hyperlink ref="AB154" r:id="rId1483" xr:uid="{00000000-0004-0000-0100-0000CA050000}"/>
    <hyperlink ref="AC154" r:id="rId1484" xr:uid="{00000000-0004-0000-0100-0000CB050000}"/>
    <hyperlink ref="AD154" r:id="rId1485" xr:uid="{00000000-0004-0000-0100-0000CC050000}"/>
    <hyperlink ref="B155" r:id="rId1486" xr:uid="{00000000-0004-0000-0100-0000CD050000}"/>
    <hyperlink ref="D155" r:id="rId1487" xr:uid="{00000000-0004-0000-0100-0000CE050000}"/>
    <hyperlink ref="E155" r:id="rId1488" xr:uid="{00000000-0004-0000-0100-0000CF050000}"/>
    <hyperlink ref="V155" r:id="rId1489" xr:uid="{00000000-0004-0000-0100-0000D0050000}"/>
    <hyperlink ref="W155" r:id="rId1490" xr:uid="{00000000-0004-0000-0100-0000D1050000}"/>
    <hyperlink ref="X155" r:id="rId1491" xr:uid="{00000000-0004-0000-0100-0000D2050000}"/>
    <hyperlink ref="Y155" r:id="rId1492" xr:uid="{00000000-0004-0000-0100-0000D3050000}"/>
    <hyperlink ref="Z155" r:id="rId1493" xr:uid="{00000000-0004-0000-0100-0000D4050000}"/>
    <hyperlink ref="AA155" r:id="rId1494" xr:uid="{00000000-0004-0000-0100-0000D5050000}"/>
    <hyperlink ref="AB155" r:id="rId1495" xr:uid="{00000000-0004-0000-0100-0000D6050000}"/>
    <hyperlink ref="AC155" r:id="rId1496" xr:uid="{00000000-0004-0000-0100-0000D7050000}"/>
    <hyperlink ref="B156" r:id="rId1497" xr:uid="{00000000-0004-0000-0100-0000D8050000}"/>
    <hyperlink ref="D156" r:id="rId1498" xr:uid="{00000000-0004-0000-0100-0000D9050000}"/>
    <hyperlink ref="E156" r:id="rId1499" xr:uid="{00000000-0004-0000-0100-0000DA050000}"/>
    <hyperlink ref="V156" r:id="rId1500" xr:uid="{00000000-0004-0000-0100-0000DB050000}"/>
    <hyperlink ref="W156" r:id="rId1501" xr:uid="{00000000-0004-0000-0100-0000DC050000}"/>
    <hyperlink ref="B157" r:id="rId1502" xr:uid="{00000000-0004-0000-0100-0000DD050000}"/>
    <hyperlink ref="D157" r:id="rId1503" xr:uid="{00000000-0004-0000-0100-0000DE050000}"/>
    <hyperlink ref="E157" r:id="rId1504" xr:uid="{00000000-0004-0000-0100-0000DF050000}"/>
    <hyperlink ref="B158" r:id="rId1505" xr:uid="{00000000-0004-0000-0100-0000E0050000}"/>
    <hyperlink ref="D158" r:id="rId1506" xr:uid="{00000000-0004-0000-0100-0000E1050000}"/>
    <hyperlink ref="E158" r:id="rId1507" xr:uid="{00000000-0004-0000-0100-0000E2050000}"/>
    <hyperlink ref="B159" r:id="rId1508" xr:uid="{00000000-0004-0000-0100-0000E3050000}"/>
    <hyperlink ref="D159" r:id="rId1509" xr:uid="{00000000-0004-0000-0100-0000E4050000}"/>
    <hyperlink ref="E159" r:id="rId1510" xr:uid="{00000000-0004-0000-0100-0000E5050000}"/>
    <hyperlink ref="V159" r:id="rId1511" xr:uid="{00000000-0004-0000-0100-0000E6050000}"/>
    <hyperlink ref="W159" r:id="rId1512" xr:uid="{00000000-0004-0000-0100-0000E7050000}"/>
    <hyperlink ref="X159" r:id="rId1513" xr:uid="{00000000-0004-0000-0100-0000E8050000}"/>
    <hyperlink ref="Y159" r:id="rId1514" xr:uid="{00000000-0004-0000-0100-0000E9050000}"/>
    <hyperlink ref="B160" r:id="rId1515" xr:uid="{00000000-0004-0000-0100-0000EA050000}"/>
    <hyperlink ref="D160" r:id="rId1516" xr:uid="{00000000-0004-0000-0100-0000EB050000}"/>
    <hyperlink ref="E160" r:id="rId1517" xr:uid="{00000000-0004-0000-0100-0000EC050000}"/>
    <hyperlink ref="V160" r:id="rId1518" xr:uid="{00000000-0004-0000-0100-0000ED050000}"/>
    <hyperlink ref="W160" r:id="rId1519" xr:uid="{00000000-0004-0000-0100-0000EE050000}"/>
    <hyperlink ref="X160" r:id="rId1520" xr:uid="{00000000-0004-0000-0100-0000EF050000}"/>
    <hyperlink ref="Y160" r:id="rId1521" xr:uid="{00000000-0004-0000-0100-0000F0050000}"/>
    <hyperlink ref="Z160" r:id="rId1522" xr:uid="{00000000-0004-0000-0100-0000F1050000}"/>
    <hyperlink ref="AA160" r:id="rId1523" xr:uid="{00000000-0004-0000-0100-0000F2050000}"/>
    <hyperlink ref="AB160" r:id="rId1524" xr:uid="{00000000-0004-0000-0100-0000F3050000}"/>
    <hyperlink ref="AC160" r:id="rId1525" xr:uid="{00000000-0004-0000-0100-0000F4050000}"/>
    <hyperlink ref="AD160" r:id="rId1526" xr:uid="{00000000-0004-0000-0100-0000F5050000}"/>
    <hyperlink ref="B161" r:id="rId1527" xr:uid="{00000000-0004-0000-0100-0000F6050000}"/>
    <hyperlink ref="D161" r:id="rId1528" xr:uid="{00000000-0004-0000-0100-0000F7050000}"/>
    <hyperlink ref="E161" r:id="rId1529" xr:uid="{00000000-0004-0000-0100-0000F8050000}"/>
    <hyperlink ref="V161" r:id="rId1530" xr:uid="{00000000-0004-0000-0100-0000F9050000}"/>
    <hyperlink ref="W161" r:id="rId1531" xr:uid="{00000000-0004-0000-0100-0000FA050000}"/>
    <hyperlink ref="B162" r:id="rId1532" xr:uid="{00000000-0004-0000-0100-0000FB050000}"/>
    <hyperlink ref="D162" r:id="rId1533" xr:uid="{00000000-0004-0000-0100-0000FC050000}"/>
    <hyperlink ref="E162" r:id="rId1534" xr:uid="{00000000-0004-0000-0100-0000FD050000}"/>
    <hyperlink ref="V162" r:id="rId1535" xr:uid="{00000000-0004-0000-0100-0000FE050000}"/>
    <hyperlink ref="W162" r:id="rId1536" xr:uid="{00000000-0004-0000-0100-0000FF050000}"/>
    <hyperlink ref="B163" r:id="rId1537" xr:uid="{00000000-0004-0000-0100-000000060000}"/>
    <hyperlink ref="D163" r:id="rId1538" xr:uid="{00000000-0004-0000-0100-000001060000}"/>
    <hyperlink ref="E163" r:id="rId1539" xr:uid="{00000000-0004-0000-0100-000002060000}"/>
    <hyperlink ref="V163" r:id="rId1540" xr:uid="{00000000-0004-0000-0100-000003060000}"/>
    <hyperlink ref="W163" r:id="rId1541" xr:uid="{00000000-0004-0000-0100-000004060000}"/>
    <hyperlink ref="B164" r:id="rId1542" xr:uid="{00000000-0004-0000-0100-000005060000}"/>
    <hyperlink ref="D164" r:id="rId1543" xr:uid="{00000000-0004-0000-0100-000006060000}"/>
    <hyperlink ref="E164" r:id="rId1544" xr:uid="{00000000-0004-0000-0100-000007060000}"/>
    <hyperlink ref="V164" r:id="rId1545" xr:uid="{00000000-0004-0000-0100-000008060000}"/>
    <hyperlink ref="W164" r:id="rId1546" xr:uid="{00000000-0004-0000-0100-000009060000}"/>
    <hyperlink ref="B165" r:id="rId1547" xr:uid="{00000000-0004-0000-0100-00000A060000}"/>
    <hyperlink ref="D165" r:id="rId1548" xr:uid="{00000000-0004-0000-0100-00000B060000}"/>
    <hyperlink ref="E165" r:id="rId1549" xr:uid="{00000000-0004-0000-0100-00000C060000}"/>
    <hyperlink ref="V165" r:id="rId1550" xr:uid="{00000000-0004-0000-0100-00000D060000}"/>
    <hyperlink ref="W165" r:id="rId1551" xr:uid="{00000000-0004-0000-0100-00000E060000}"/>
    <hyperlink ref="X165" r:id="rId1552" xr:uid="{00000000-0004-0000-0100-00000F060000}"/>
    <hyperlink ref="Y165" r:id="rId1553" xr:uid="{00000000-0004-0000-0100-000010060000}"/>
    <hyperlink ref="Z165" r:id="rId1554" xr:uid="{00000000-0004-0000-0100-000011060000}"/>
    <hyperlink ref="AA165" r:id="rId1555" xr:uid="{00000000-0004-0000-0100-000012060000}"/>
    <hyperlink ref="B166" r:id="rId1556" xr:uid="{00000000-0004-0000-0100-000013060000}"/>
    <hyperlink ref="D166" r:id="rId1557" xr:uid="{00000000-0004-0000-0100-000014060000}"/>
    <hyperlink ref="E166" r:id="rId1558" xr:uid="{00000000-0004-0000-0100-000015060000}"/>
    <hyperlink ref="B167" r:id="rId1559" xr:uid="{00000000-0004-0000-0100-000016060000}"/>
    <hyperlink ref="D167" r:id="rId1560" xr:uid="{00000000-0004-0000-0100-000017060000}"/>
    <hyperlink ref="E167" r:id="rId1561" xr:uid="{00000000-0004-0000-0100-000018060000}"/>
    <hyperlink ref="V167" r:id="rId1562" xr:uid="{00000000-0004-0000-0100-000019060000}"/>
    <hyperlink ref="W167" r:id="rId1563" xr:uid="{00000000-0004-0000-0100-00001A060000}"/>
    <hyperlink ref="B168" r:id="rId1564" xr:uid="{00000000-0004-0000-0100-00001B060000}"/>
    <hyperlink ref="D168" r:id="rId1565" xr:uid="{00000000-0004-0000-0100-00001C060000}"/>
    <hyperlink ref="E168" r:id="rId1566" xr:uid="{00000000-0004-0000-0100-00001D060000}"/>
    <hyperlink ref="B169" r:id="rId1567" xr:uid="{00000000-0004-0000-0100-00001E060000}"/>
    <hyperlink ref="D169" r:id="rId1568" xr:uid="{00000000-0004-0000-0100-00001F060000}"/>
    <hyperlink ref="E169" r:id="rId1569" xr:uid="{00000000-0004-0000-0100-000020060000}"/>
    <hyperlink ref="V169" r:id="rId1570" xr:uid="{00000000-0004-0000-0100-000021060000}"/>
    <hyperlink ref="W169" r:id="rId1571" xr:uid="{00000000-0004-0000-0100-000022060000}"/>
    <hyperlink ref="B170" r:id="rId1572" xr:uid="{00000000-0004-0000-0100-000023060000}"/>
    <hyperlink ref="D170" r:id="rId1573" xr:uid="{00000000-0004-0000-0100-000024060000}"/>
    <hyperlink ref="B171" r:id="rId1574" xr:uid="{00000000-0004-0000-0100-000025060000}"/>
    <hyperlink ref="D171" r:id="rId1575" xr:uid="{00000000-0004-0000-0100-000026060000}"/>
    <hyperlink ref="E171" r:id="rId1576" xr:uid="{00000000-0004-0000-0100-000027060000}"/>
    <hyperlink ref="V171" r:id="rId1577" xr:uid="{00000000-0004-0000-0100-000028060000}"/>
    <hyperlink ref="W171" r:id="rId1578" xr:uid="{00000000-0004-0000-0100-000029060000}"/>
    <hyperlink ref="B172" r:id="rId1579" xr:uid="{00000000-0004-0000-0100-00002A060000}"/>
    <hyperlink ref="D172" r:id="rId1580" xr:uid="{00000000-0004-0000-0100-00002B060000}"/>
    <hyperlink ref="E172" r:id="rId1581" xr:uid="{00000000-0004-0000-0100-00002C060000}"/>
    <hyperlink ref="B173" r:id="rId1582" xr:uid="{00000000-0004-0000-0100-00002D060000}"/>
    <hyperlink ref="D173" r:id="rId1583" xr:uid="{00000000-0004-0000-0100-00002E060000}"/>
    <hyperlink ref="E173" r:id="rId1584" xr:uid="{00000000-0004-0000-0100-00002F060000}"/>
    <hyperlink ref="B174" r:id="rId1585" xr:uid="{00000000-0004-0000-0100-000030060000}"/>
    <hyperlink ref="D174" r:id="rId1586" xr:uid="{00000000-0004-0000-0100-000031060000}"/>
    <hyperlink ref="V174" r:id="rId1587" xr:uid="{00000000-0004-0000-0100-000032060000}"/>
    <hyperlink ref="W174" r:id="rId1588" xr:uid="{00000000-0004-0000-0100-000033060000}"/>
    <hyperlink ref="B175" r:id="rId1589" xr:uid="{00000000-0004-0000-0100-000034060000}"/>
    <hyperlink ref="D175" r:id="rId1590" xr:uid="{00000000-0004-0000-0100-000035060000}"/>
    <hyperlink ref="E175" r:id="rId1591" xr:uid="{00000000-0004-0000-0100-000036060000}"/>
    <hyperlink ref="V175" r:id="rId1592" xr:uid="{00000000-0004-0000-0100-000037060000}"/>
    <hyperlink ref="W175" r:id="rId1593" xr:uid="{00000000-0004-0000-0100-000038060000}"/>
    <hyperlink ref="X175" r:id="rId1594" xr:uid="{00000000-0004-0000-0100-000039060000}"/>
    <hyperlink ref="Y175" r:id="rId1595" xr:uid="{00000000-0004-0000-0100-00003A060000}"/>
    <hyperlink ref="B176" r:id="rId1596" xr:uid="{00000000-0004-0000-0100-00003B060000}"/>
    <hyperlink ref="D176" r:id="rId1597" xr:uid="{00000000-0004-0000-0100-00003C060000}"/>
    <hyperlink ref="E176" r:id="rId1598" xr:uid="{00000000-0004-0000-0100-00003D060000}"/>
    <hyperlink ref="V176" r:id="rId1599" xr:uid="{00000000-0004-0000-0100-00003E060000}"/>
    <hyperlink ref="W176" r:id="rId1600" xr:uid="{00000000-0004-0000-0100-00003F060000}"/>
    <hyperlink ref="B177" r:id="rId1601" xr:uid="{00000000-0004-0000-0100-000040060000}"/>
    <hyperlink ref="D177" r:id="rId1602" xr:uid="{00000000-0004-0000-0100-000041060000}"/>
    <hyperlink ref="E177" r:id="rId1603" xr:uid="{00000000-0004-0000-0100-000042060000}"/>
    <hyperlink ref="V177" r:id="rId1604" xr:uid="{00000000-0004-0000-0100-000043060000}"/>
    <hyperlink ref="W177" r:id="rId1605" xr:uid="{00000000-0004-0000-0100-000044060000}"/>
    <hyperlink ref="X177" r:id="rId1606" xr:uid="{00000000-0004-0000-0100-000045060000}"/>
    <hyperlink ref="Y177" r:id="rId1607" xr:uid="{00000000-0004-0000-0100-000046060000}"/>
    <hyperlink ref="Z177" r:id="rId1608" xr:uid="{00000000-0004-0000-0100-000047060000}"/>
    <hyperlink ref="AA177" r:id="rId1609" xr:uid="{00000000-0004-0000-0100-000048060000}"/>
    <hyperlink ref="AB177" r:id="rId1610" xr:uid="{00000000-0004-0000-0100-000049060000}"/>
    <hyperlink ref="AC177" r:id="rId1611" xr:uid="{00000000-0004-0000-0100-00004A060000}"/>
    <hyperlink ref="B178" r:id="rId1612" xr:uid="{00000000-0004-0000-0100-00004B060000}"/>
    <hyperlink ref="D178" r:id="rId1613" xr:uid="{00000000-0004-0000-0100-00004C060000}"/>
    <hyperlink ref="E178" r:id="rId1614" xr:uid="{00000000-0004-0000-0100-00004D060000}"/>
    <hyperlink ref="B179" r:id="rId1615" xr:uid="{00000000-0004-0000-0100-00004E060000}"/>
    <hyperlink ref="D179" r:id="rId1616" xr:uid="{00000000-0004-0000-0100-00004F060000}"/>
    <hyperlink ref="E179" r:id="rId1617" xr:uid="{00000000-0004-0000-0100-000050060000}"/>
    <hyperlink ref="V179" r:id="rId1618" xr:uid="{00000000-0004-0000-0100-000051060000}"/>
    <hyperlink ref="W179" r:id="rId1619" xr:uid="{00000000-0004-0000-0100-000052060000}"/>
    <hyperlink ref="X179" r:id="rId1620" xr:uid="{00000000-0004-0000-0100-000053060000}"/>
    <hyperlink ref="Y179" r:id="rId1621" xr:uid="{00000000-0004-0000-0100-000054060000}"/>
    <hyperlink ref="Z179" r:id="rId1622" xr:uid="{00000000-0004-0000-0100-000055060000}"/>
    <hyperlink ref="AA179" r:id="rId1623" xr:uid="{00000000-0004-0000-0100-000056060000}"/>
    <hyperlink ref="AB179" r:id="rId1624" xr:uid="{00000000-0004-0000-0100-000057060000}"/>
    <hyperlink ref="AC179" r:id="rId1625" xr:uid="{00000000-0004-0000-0100-000058060000}"/>
    <hyperlink ref="AD179" r:id="rId1626" xr:uid="{00000000-0004-0000-0100-000059060000}"/>
    <hyperlink ref="B180" r:id="rId1627" xr:uid="{00000000-0004-0000-0100-00005A060000}"/>
    <hyperlink ref="D180" r:id="rId1628" xr:uid="{00000000-0004-0000-0100-00005B060000}"/>
    <hyperlink ref="E180" r:id="rId1629" xr:uid="{00000000-0004-0000-0100-00005C060000}"/>
    <hyperlink ref="V180" r:id="rId1630" xr:uid="{00000000-0004-0000-0100-00005D060000}"/>
    <hyperlink ref="W180" r:id="rId1631" xr:uid="{00000000-0004-0000-0100-00005E060000}"/>
    <hyperlink ref="X180" r:id="rId1632" xr:uid="{00000000-0004-0000-0100-00005F060000}"/>
    <hyperlink ref="Y180" r:id="rId1633" xr:uid="{00000000-0004-0000-0100-000060060000}"/>
    <hyperlink ref="Z180" r:id="rId1634" xr:uid="{00000000-0004-0000-0100-000061060000}"/>
    <hyperlink ref="AA180" r:id="rId1635" xr:uid="{00000000-0004-0000-0100-000062060000}"/>
    <hyperlink ref="B181" r:id="rId1636" xr:uid="{00000000-0004-0000-0100-000063060000}"/>
    <hyperlink ref="D181" r:id="rId1637" xr:uid="{00000000-0004-0000-0100-000064060000}"/>
    <hyperlink ref="E181" r:id="rId1638" xr:uid="{00000000-0004-0000-0100-000065060000}"/>
    <hyperlink ref="V181" r:id="rId1639" xr:uid="{00000000-0004-0000-0100-000066060000}"/>
    <hyperlink ref="W181" r:id="rId1640" xr:uid="{00000000-0004-0000-0100-000067060000}"/>
    <hyperlink ref="B182" r:id="rId1641" xr:uid="{00000000-0004-0000-0100-000068060000}"/>
    <hyperlink ref="D182" r:id="rId1642" xr:uid="{00000000-0004-0000-0100-000069060000}"/>
    <hyperlink ref="E182" r:id="rId1643" xr:uid="{00000000-0004-0000-0100-00006A060000}"/>
    <hyperlink ref="V182" r:id="rId1644" xr:uid="{00000000-0004-0000-0100-00006B060000}"/>
    <hyperlink ref="W182" r:id="rId1645" xr:uid="{00000000-0004-0000-0100-00006C060000}"/>
    <hyperlink ref="B183" r:id="rId1646" xr:uid="{00000000-0004-0000-0100-00006D060000}"/>
    <hyperlink ref="D183" r:id="rId1647" xr:uid="{00000000-0004-0000-0100-00006E060000}"/>
    <hyperlink ref="E183" r:id="rId1648" xr:uid="{00000000-0004-0000-0100-00006F060000}"/>
    <hyperlink ref="V183" r:id="rId1649" xr:uid="{00000000-0004-0000-0100-000070060000}"/>
    <hyperlink ref="W183" r:id="rId1650" xr:uid="{00000000-0004-0000-0100-000071060000}"/>
    <hyperlink ref="B184" r:id="rId1651" xr:uid="{00000000-0004-0000-0100-000072060000}"/>
    <hyperlink ref="D184" r:id="rId1652" xr:uid="{00000000-0004-0000-0100-000073060000}"/>
    <hyperlink ref="E184" r:id="rId1653" xr:uid="{00000000-0004-0000-0100-000074060000}"/>
    <hyperlink ref="V184" r:id="rId1654" xr:uid="{00000000-0004-0000-0100-000075060000}"/>
    <hyperlink ref="W184" r:id="rId1655" xr:uid="{00000000-0004-0000-0100-000076060000}"/>
    <hyperlink ref="B185" r:id="rId1656" xr:uid="{00000000-0004-0000-0100-000077060000}"/>
    <hyperlink ref="D185" r:id="rId1657" xr:uid="{00000000-0004-0000-0100-000078060000}"/>
    <hyperlink ref="E185" r:id="rId1658" xr:uid="{00000000-0004-0000-0100-000079060000}"/>
    <hyperlink ref="B186" r:id="rId1659" xr:uid="{00000000-0004-0000-0100-00007A060000}"/>
    <hyperlink ref="D186" r:id="rId1660" xr:uid="{00000000-0004-0000-0100-00007B060000}"/>
    <hyperlink ref="E186" r:id="rId1661" xr:uid="{00000000-0004-0000-0100-00007C060000}"/>
    <hyperlink ref="V186" r:id="rId1662" xr:uid="{00000000-0004-0000-0100-00007D060000}"/>
    <hyperlink ref="W186" r:id="rId1663" xr:uid="{00000000-0004-0000-0100-00007E060000}"/>
    <hyperlink ref="B187" r:id="rId1664" xr:uid="{00000000-0004-0000-0100-00007F060000}"/>
    <hyperlink ref="D187" r:id="rId1665" xr:uid="{00000000-0004-0000-0100-000080060000}"/>
    <hyperlink ref="E187" r:id="rId1666" xr:uid="{00000000-0004-0000-0100-000081060000}"/>
    <hyperlink ref="V187" r:id="rId1667" xr:uid="{00000000-0004-0000-0100-000082060000}"/>
    <hyperlink ref="W187" r:id="rId1668" xr:uid="{00000000-0004-0000-0100-000083060000}"/>
    <hyperlink ref="X187" r:id="rId1669" xr:uid="{00000000-0004-0000-0100-000084060000}"/>
    <hyperlink ref="Y187" r:id="rId1670" xr:uid="{00000000-0004-0000-0100-000085060000}"/>
    <hyperlink ref="B188" r:id="rId1671" xr:uid="{00000000-0004-0000-0100-000086060000}"/>
    <hyperlink ref="D188" r:id="rId1672" xr:uid="{00000000-0004-0000-0100-000087060000}"/>
    <hyperlink ref="E188" r:id="rId1673" xr:uid="{00000000-0004-0000-0100-000088060000}"/>
    <hyperlink ref="V188" r:id="rId1674" xr:uid="{00000000-0004-0000-0100-000089060000}"/>
    <hyperlink ref="W188" r:id="rId1675" xr:uid="{00000000-0004-0000-0100-00008A060000}"/>
    <hyperlink ref="X188" r:id="rId1676" xr:uid="{00000000-0004-0000-0100-00008B060000}"/>
    <hyperlink ref="Y188" r:id="rId1677" xr:uid="{00000000-0004-0000-0100-00008C060000}"/>
    <hyperlink ref="B189" r:id="rId1678" xr:uid="{00000000-0004-0000-0100-00008D060000}"/>
    <hyperlink ref="D189" r:id="rId1679" xr:uid="{00000000-0004-0000-0100-00008E060000}"/>
    <hyperlink ref="E189" r:id="rId1680" xr:uid="{00000000-0004-0000-0100-00008F060000}"/>
    <hyperlink ref="B190" r:id="rId1681" xr:uid="{00000000-0004-0000-0100-000090060000}"/>
    <hyperlink ref="D190" r:id="rId1682" xr:uid="{00000000-0004-0000-0100-000091060000}"/>
    <hyperlink ref="E190" r:id="rId1683" xr:uid="{00000000-0004-0000-0100-000092060000}"/>
    <hyperlink ref="B191" r:id="rId1684" xr:uid="{00000000-0004-0000-0100-000093060000}"/>
    <hyperlink ref="D191" r:id="rId1685" xr:uid="{00000000-0004-0000-0100-000094060000}"/>
    <hyperlink ref="E191" r:id="rId1686" xr:uid="{00000000-0004-0000-0100-000095060000}"/>
    <hyperlink ref="V191" r:id="rId1687" xr:uid="{00000000-0004-0000-0100-000096060000}"/>
    <hyperlink ref="W191" r:id="rId1688" xr:uid="{00000000-0004-0000-0100-000097060000}"/>
    <hyperlink ref="X191" r:id="rId1689" xr:uid="{00000000-0004-0000-0100-000098060000}"/>
    <hyperlink ref="Y191" r:id="rId1690" xr:uid="{00000000-0004-0000-0100-000099060000}"/>
    <hyperlink ref="Z191" r:id="rId1691" xr:uid="{00000000-0004-0000-0100-00009A060000}"/>
    <hyperlink ref="AA191" r:id="rId1692" xr:uid="{00000000-0004-0000-0100-00009B060000}"/>
    <hyperlink ref="AB191" r:id="rId1693" xr:uid="{00000000-0004-0000-0100-00009C060000}"/>
    <hyperlink ref="AC191" r:id="rId1694" xr:uid="{00000000-0004-0000-0100-00009D060000}"/>
    <hyperlink ref="AD191" r:id="rId1695" xr:uid="{00000000-0004-0000-0100-00009E060000}"/>
    <hyperlink ref="B192" r:id="rId1696" xr:uid="{00000000-0004-0000-0100-00009F060000}"/>
    <hyperlink ref="D192" r:id="rId1697" xr:uid="{00000000-0004-0000-0100-0000A0060000}"/>
    <hyperlink ref="E192" r:id="rId1698" xr:uid="{00000000-0004-0000-0100-0000A1060000}"/>
    <hyperlink ref="V192" r:id="rId1699" xr:uid="{00000000-0004-0000-0100-0000A2060000}"/>
    <hyperlink ref="W192" r:id="rId1700" xr:uid="{00000000-0004-0000-0100-0000A3060000}"/>
    <hyperlink ref="X192" r:id="rId1701" xr:uid="{00000000-0004-0000-0100-0000A4060000}"/>
    <hyperlink ref="Y192" r:id="rId1702" xr:uid="{00000000-0004-0000-0100-0000A5060000}"/>
    <hyperlink ref="Z192" r:id="rId1703" xr:uid="{00000000-0004-0000-0100-0000A6060000}"/>
    <hyperlink ref="AA192" r:id="rId1704" xr:uid="{00000000-0004-0000-0100-0000A7060000}"/>
    <hyperlink ref="B193" r:id="rId1705" xr:uid="{00000000-0004-0000-0100-0000A8060000}"/>
    <hyperlink ref="D193" r:id="rId1706" xr:uid="{00000000-0004-0000-0100-0000A9060000}"/>
    <hyperlink ref="E193" r:id="rId1707" xr:uid="{00000000-0004-0000-0100-0000AA060000}"/>
    <hyperlink ref="B194" r:id="rId1708" xr:uid="{00000000-0004-0000-0100-0000AB060000}"/>
    <hyperlink ref="D194" r:id="rId1709" xr:uid="{00000000-0004-0000-0100-0000AC060000}"/>
    <hyperlink ref="E194" r:id="rId1710" xr:uid="{00000000-0004-0000-0100-0000AD060000}"/>
    <hyperlink ref="V194" r:id="rId1711" xr:uid="{00000000-0004-0000-0100-0000AE060000}"/>
    <hyperlink ref="W194" r:id="rId1712" xr:uid="{00000000-0004-0000-0100-0000AF060000}"/>
    <hyperlink ref="X194" r:id="rId1713" xr:uid="{00000000-0004-0000-0100-0000B0060000}"/>
    <hyperlink ref="Y194" r:id="rId1714" xr:uid="{00000000-0004-0000-0100-0000B1060000}"/>
    <hyperlink ref="B195" r:id="rId1715" xr:uid="{00000000-0004-0000-0100-0000B2060000}"/>
    <hyperlink ref="D195" r:id="rId1716" xr:uid="{00000000-0004-0000-0100-0000B3060000}"/>
    <hyperlink ref="E195" r:id="rId1717" xr:uid="{00000000-0004-0000-0100-0000B4060000}"/>
    <hyperlink ref="B196" r:id="rId1718" xr:uid="{00000000-0004-0000-0100-0000B5060000}"/>
    <hyperlink ref="D196" r:id="rId1719" xr:uid="{00000000-0004-0000-0100-0000B6060000}"/>
    <hyperlink ref="E196" r:id="rId1720" xr:uid="{00000000-0004-0000-0100-0000B7060000}"/>
    <hyperlink ref="V196" r:id="rId1721" xr:uid="{00000000-0004-0000-0100-0000B8060000}"/>
    <hyperlink ref="W196" r:id="rId1722" xr:uid="{00000000-0004-0000-0100-0000B9060000}"/>
    <hyperlink ref="X196" r:id="rId1723" xr:uid="{00000000-0004-0000-0100-0000BA060000}"/>
    <hyperlink ref="Y196" r:id="rId1724" xr:uid="{00000000-0004-0000-0100-0000BB060000}"/>
    <hyperlink ref="B197" r:id="rId1725" xr:uid="{00000000-0004-0000-0100-0000BC060000}"/>
    <hyperlink ref="D197" r:id="rId1726" xr:uid="{00000000-0004-0000-0100-0000BD060000}"/>
    <hyperlink ref="E197" r:id="rId1727" xr:uid="{00000000-0004-0000-0100-0000BE060000}"/>
    <hyperlink ref="V197" r:id="rId1728" xr:uid="{00000000-0004-0000-0100-0000BF060000}"/>
    <hyperlink ref="W197" r:id="rId1729" xr:uid="{00000000-0004-0000-0100-0000C0060000}"/>
    <hyperlink ref="B198" r:id="rId1730" xr:uid="{00000000-0004-0000-0100-0000C1060000}"/>
    <hyperlink ref="D198" r:id="rId1731" xr:uid="{00000000-0004-0000-0100-0000C2060000}"/>
    <hyperlink ref="E198" r:id="rId1732" xr:uid="{00000000-0004-0000-0100-0000C3060000}"/>
    <hyperlink ref="V198" r:id="rId1733" xr:uid="{00000000-0004-0000-0100-0000C4060000}"/>
    <hyperlink ref="W198" r:id="rId1734" xr:uid="{00000000-0004-0000-0100-0000C5060000}"/>
    <hyperlink ref="X198" r:id="rId1735" xr:uid="{00000000-0004-0000-0100-0000C6060000}"/>
    <hyperlink ref="Y198" r:id="rId1736" xr:uid="{00000000-0004-0000-0100-0000C7060000}"/>
    <hyperlink ref="B199" r:id="rId1737" xr:uid="{00000000-0004-0000-0100-0000C8060000}"/>
    <hyperlink ref="D199" r:id="rId1738" xr:uid="{00000000-0004-0000-0100-0000C9060000}"/>
    <hyperlink ref="E199" r:id="rId1739" xr:uid="{00000000-0004-0000-0100-0000CA060000}"/>
    <hyperlink ref="V199" r:id="rId1740" xr:uid="{00000000-0004-0000-0100-0000CB060000}"/>
    <hyperlink ref="W199" r:id="rId1741" xr:uid="{00000000-0004-0000-0100-0000CC060000}"/>
    <hyperlink ref="B200" r:id="rId1742" xr:uid="{00000000-0004-0000-0100-0000CD060000}"/>
    <hyperlink ref="D200" r:id="rId1743" xr:uid="{00000000-0004-0000-0100-0000CE060000}"/>
    <hyperlink ref="E200" r:id="rId1744" xr:uid="{00000000-0004-0000-0100-0000CF060000}"/>
    <hyperlink ref="V200" r:id="rId1745" xr:uid="{00000000-0004-0000-0100-0000D0060000}"/>
    <hyperlink ref="W200" r:id="rId1746" xr:uid="{00000000-0004-0000-0100-0000D1060000}"/>
    <hyperlink ref="B201" r:id="rId1747" xr:uid="{00000000-0004-0000-0100-0000D2060000}"/>
    <hyperlink ref="D201" r:id="rId1748" xr:uid="{00000000-0004-0000-0100-0000D3060000}"/>
    <hyperlink ref="E201" r:id="rId1749" xr:uid="{00000000-0004-0000-0100-0000D4060000}"/>
    <hyperlink ref="V201" r:id="rId1750" xr:uid="{00000000-0004-0000-0100-0000D5060000}"/>
    <hyperlink ref="W201" r:id="rId1751" xr:uid="{00000000-0004-0000-0100-0000D6060000}"/>
    <hyperlink ref="B202" r:id="rId1752" xr:uid="{00000000-0004-0000-0100-0000D7060000}"/>
    <hyperlink ref="D202" r:id="rId1753" xr:uid="{00000000-0004-0000-0100-0000D8060000}"/>
    <hyperlink ref="E202" r:id="rId1754" xr:uid="{00000000-0004-0000-0100-0000D9060000}"/>
    <hyperlink ref="V202" r:id="rId1755" xr:uid="{00000000-0004-0000-0100-0000DA060000}"/>
    <hyperlink ref="W202" r:id="rId1756" xr:uid="{00000000-0004-0000-0100-0000DB060000}"/>
    <hyperlink ref="B203" r:id="rId1757" xr:uid="{00000000-0004-0000-0100-0000DC060000}"/>
    <hyperlink ref="D203" r:id="rId1758" xr:uid="{00000000-0004-0000-0100-0000DD060000}"/>
    <hyperlink ref="E203" r:id="rId1759" xr:uid="{00000000-0004-0000-0100-0000DE060000}"/>
    <hyperlink ref="B204" r:id="rId1760" xr:uid="{00000000-0004-0000-0100-0000DF060000}"/>
    <hyperlink ref="D204" r:id="rId1761" xr:uid="{00000000-0004-0000-0100-0000E0060000}"/>
    <hyperlink ref="E204" r:id="rId1762" xr:uid="{00000000-0004-0000-0100-0000E1060000}"/>
    <hyperlink ref="V204" r:id="rId1763" xr:uid="{00000000-0004-0000-0100-0000E2060000}"/>
    <hyperlink ref="W204" r:id="rId1764" xr:uid="{00000000-0004-0000-0100-0000E3060000}"/>
    <hyperlink ref="B205" r:id="rId1765" xr:uid="{00000000-0004-0000-0100-0000E4060000}"/>
    <hyperlink ref="D205" r:id="rId1766" xr:uid="{00000000-0004-0000-0100-0000E5060000}"/>
    <hyperlink ref="E205" r:id="rId1767" xr:uid="{00000000-0004-0000-0100-0000E6060000}"/>
    <hyperlink ref="B206" r:id="rId1768" xr:uid="{00000000-0004-0000-0100-0000E7060000}"/>
    <hyperlink ref="D206" r:id="rId1769" xr:uid="{00000000-0004-0000-0100-0000E8060000}"/>
    <hyperlink ref="E206" r:id="rId1770" xr:uid="{00000000-0004-0000-0100-0000E9060000}"/>
    <hyperlink ref="B207" r:id="rId1771" xr:uid="{00000000-0004-0000-0100-0000EA060000}"/>
    <hyperlink ref="D207" r:id="rId1772" xr:uid="{00000000-0004-0000-0100-0000EB060000}"/>
    <hyperlink ref="E207" r:id="rId1773" xr:uid="{00000000-0004-0000-0100-0000EC060000}"/>
    <hyperlink ref="B208" r:id="rId1774" xr:uid="{00000000-0004-0000-0100-0000ED060000}"/>
    <hyperlink ref="D208" r:id="rId1775" xr:uid="{00000000-0004-0000-0100-0000EE060000}"/>
    <hyperlink ref="E208" r:id="rId1776" xr:uid="{00000000-0004-0000-0100-0000EF060000}"/>
    <hyperlink ref="B209" r:id="rId1777" xr:uid="{00000000-0004-0000-0100-0000F0060000}"/>
    <hyperlink ref="D209" r:id="rId1778" xr:uid="{00000000-0004-0000-0100-0000F1060000}"/>
    <hyperlink ref="E209" r:id="rId1779" xr:uid="{00000000-0004-0000-0100-0000F2060000}"/>
    <hyperlink ref="B210" r:id="rId1780" xr:uid="{00000000-0004-0000-0100-0000F3060000}"/>
    <hyperlink ref="D210" r:id="rId1781" xr:uid="{00000000-0004-0000-0100-0000F4060000}"/>
    <hyperlink ref="E210" r:id="rId1782" xr:uid="{00000000-0004-0000-0100-0000F5060000}"/>
    <hyperlink ref="V210" r:id="rId1783" xr:uid="{00000000-0004-0000-0100-0000F6060000}"/>
    <hyperlink ref="W210" r:id="rId1784" xr:uid="{00000000-0004-0000-0100-0000F7060000}"/>
    <hyperlink ref="X210" r:id="rId1785" xr:uid="{00000000-0004-0000-0100-0000F8060000}"/>
    <hyperlink ref="Y210" r:id="rId1786" xr:uid="{00000000-0004-0000-0100-0000F9060000}"/>
    <hyperlink ref="B211" r:id="rId1787" xr:uid="{00000000-0004-0000-0100-0000FA060000}"/>
    <hyperlink ref="D211" r:id="rId1788" xr:uid="{00000000-0004-0000-0100-0000FB060000}"/>
    <hyperlink ref="E211" r:id="rId1789" xr:uid="{00000000-0004-0000-0100-0000FC060000}"/>
    <hyperlink ref="B212" r:id="rId1790" xr:uid="{00000000-0004-0000-0100-0000FD060000}"/>
    <hyperlink ref="D212" r:id="rId1791" xr:uid="{00000000-0004-0000-0100-0000FE060000}"/>
    <hyperlink ref="E212" r:id="rId1792" xr:uid="{00000000-0004-0000-0100-0000FF060000}"/>
    <hyperlink ref="B213" r:id="rId1793" xr:uid="{00000000-0004-0000-0100-000000070000}"/>
    <hyperlink ref="D213" r:id="rId1794" xr:uid="{00000000-0004-0000-0100-000001070000}"/>
    <hyperlink ref="V213" r:id="rId1795" xr:uid="{00000000-0004-0000-0100-000002070000}"/>
    <hyperlink ref="W213" r:id="rId1796" xr:uid="{00000000-0004-0000-0100-000003070000}"/>
    <hyperlink ref="B214" r:id="rId1797" xr:uid="{00000000-0004-0000-0100-000004070000}"/>
    <hyperlink ref="D214" r:id="rId1798" xr:uid="{00000000-0004-0000-0100-000005070000}"/>
    <hyperlink ref="E214" r:id="rId1799" xr:uid="{00000000-0004-0000-0100-000006070000}"/>
    <hyperlink ref="V214" r:id="rId1800" xr:uid="{00000000-0004-0000-0100-000007070000}"/>
    <hyperlink ref="W214" r:id="rId1801" xr:uid="{00000000-0004-0000-0100-000008070000}"/>
    <hyperlink ref="B215" r:id="rId1802" xr:uid="{00000000-0004-0000-0100-000009070000}"/>
    <hyperlink ref="D215" r:id="rId1803" xr:uid="{00000000-0004-0000-0100-00000A070000}"/>
    <hyperlink ref="B216" r:id="rId1804" xr:uid="{00000000-0004-0000-0100-00000B070000}"/>
    <hyperlink ref="D216" r:id="rId1805" xr:uid="{00000000-0004-0000-0100-00000C070000}"/>
    <hyperlink ref="E216" r:id="rId1806" xr:uid="{00000000-0004-0000-0100-00000D070000}"/>
    <hyperlink ref="V216" r:id="rId1807" xr:uid="{00000000-0004-0000-0100-00000E070000}"/>
    <hyperlink ref="W216" r:id="rId1808" xr:uid="{00000000-0004-0000-0100-00000F070000}"/>
    <hyperlink ref="B217" r:id="rId1809" xr:uid="{00000000-0004-0000-0100-000010070000}"/>
    <hyperlink ref="D217" r:id="rId1810" xr:uid="{00000000-0004-0000-0100-000011070000}"/>
    <hyperlink ref="V217" r:id="rId1811" xr:uid="{00000000-0004-0000-0100-000012070000}"/>
    <hyperlink ref="W217" r:id="rId1812" xr:uid="{00000000-0004-0000-0100-000013070000}"/>
    <hyperlink ref="X217" r:id="rId1813" xr:uid="{00000000-0004-0000-0100-000014070000}"/>
    <hyperlink ref="Y217" r:id="rId1814" xr:uid="{00000000-0004-0000-0100-000015070000}"/>
    <hyperlink ref="B218" r:id="rId1815" xr:uid="{00000000-0004-0000-0100-000016070000}"/>
    <hyperlink ref="D218" r:id="rId1816" xr:uid="{00000000-0004-0000-0100-000017070000}"/>
    <hyperlink ref="E218" r:id="rId1817" xr:uid="{00000000-0004-0000-0100-000018070000}"/>
    <hyperlink ref="V218" r:id="rId1818" xr:uid="{00000000-0004-0000-0100-000019070000}"/>
    <hyperlink ref="W218" r:id="rId1819" xr:uid="{00000000-0004-0000-0100-00001A070000}"/>
    <hyperlink ref="B219" r:id="rId1820" xr:uid="{00000000-0004-0000-0100-00001B070000}"/>
    <hyperlink ref="D219" r:id="rId1821" xr:uid="{00000000-0004-0000-0100-00001C070000}"/>
    <hyperlink ref="E219" r:id="rId1822" xr:uid="{00000000-0004-0000-0100-00001D070000}"/>
    <hyperlink ref="V219" r:id="rId1823" xr:uid="{00000000-0004-0000-0100-00001E070000}"/>
    <hyperlink ref="W219" r:id="rId1824" xr:uid="{00000000-0004-0000-0100-00001F070000}"/>
    <hyperlink ref="B220" r:id="rId1825" xr:uid="{00000000-0004-0000-0100-000020070000}"/>
    <hyperlink ref="D220" r:id="rId1826" xr:uid="{00000000-0004-0000-0100-000021070000}"/>
    <hyperlink ref="E220" r:id="rId1827" xr:uid="{00000000-0004-0000-0100-000022070000}"/>
    <hyperlink ref="V220" r:id="rId1828" xr:uid="{00000000-0004-0000-0100-000023070000}"/>
    <hyperlink ref="W220" r:id="rId1829" xr:uid="{00000000-0004-0000-0100-000024070000}"/>
    <hyperlink ref="B221" r:id="rId1830" xr:uid="{00000000-0004-0000-0100-000025070000}"/>
    <hyperlink ref="D221" r:id="rId1831" xr:uid="{00000000-0004-0000-0100-000026070000}"/>
    <hyperlink ref="E221" r:id="rId1832" xr:uid="{00000000-0004-0000-0100-000027070000}"/>
    <hyperlink ref="B222" r:id="rId1833" xr:uid="{00000000-0004-0000-0100-000028070000}"/>
    <hyperlink ref="D222" r:id="rId1834" xr:uid="{00000000-0004-0000-0100-000029070000}"/>
    <hyperlink ref="E222" r:id="rId1835" xr:uid="{00000000-0004-0000-0100-00002A070000}"/>
    <hyperlink ref="V222" r:id="rId1836" xr:uid="{00000000-0004-0000-0100-00002B070000}"/>
    <hyperlink ref="W222" r:id="rId1837" xr:uid="{00000000-0004-0000-0100-00002C070000}"/>
    <hyperlink ref="B223" r:id="rId1838" xr:uid="{00000000-0004-0000-0100-00002D070000}"/>
    <hyperlink ref="D223" r:id="rId1839" xr:uid="{00000000-0004-0000-0100-00002E070000}"/>
    <hyperlink ref="E223" r:id="rId1840" xr:uid="{00000000-0004-0000-0100-00002F070000}"/>
    <hyperlink ref="V223" r:id="rId1841" xr:uid="{00000000-0004-0000-0100-000030070000}"/>
    <hyperlink ref="W223" r:id="rId1842" xr:uid="{00000000-0004-0000-0100-000031070000}"/>
    <hyperlink ref="B224" r:id="rId1843" xr:uid="{00000000-0004-0000-0100-000032070000}"/>
    <hyperlink ref="D224" r:id="rId1844" xr:uid="{00000000-0004-0000-0100-000033070000}"/>
    <hyperlink ref="E224" r:id="rId1845" xr:uid="{00000000-0004-0000-0100-000034070000}"/>
    <hyperlink ref="B225" r:id="rId1846" xr:uid="{00000000-0004-0000-0100-000035070000}"/>
    <hyperlink ref="D225" r:id="rId1847" xr:uid="{00000000-0004-0000-0100-000036070000}"/>
    <hyperlink ref="E225" r:id="rId1848" xr:uid="{00000000-0004-0000-0100-000037070000}"/>
    <hyperlink ref="V225" r:id="rId1849" xr:uid="{00000000-0004-0000-0100-000038070000}"/>
    <hyperlink ref="W225" r:id="rId1850" xr:uid="{00000000-0004-0000-0100-000039070000}"/>
    <hyperlink ref="B226" r:id="rId1851" xr:uid="{00000000-0004-0000-0100-00003A070000}"/>
    <hyperlink ref="D226" r:id="rId1852" xr:uid="{00000000-0004-0000-0100-00003B070000}"/>
    <hyperlink ref="E226" r:id="rId1853" xr:uid="{00000000-0004-0000-0100-00003C070000}"/>
    <hyperlink ref="V226" r:id="rId1854" xr:uid="{00000000-0004-0000-0100-00003D070000}"/>
    <hyperlink ref="W226" r:id="rId1855" xr:uid="{00000000-0004-0000-0100-00003E070000}"/>
    <hyperlink ref="B227" r:id="rId1856" xr:uid="{00000000-0004-0000-0100-00003F070000}"/>
    <hyperlink ref="D227" r:id="rId1857" xr:uid="{00000000-0004-0000-0100-000040070000}"/>
    <hyperlink ref="E227" r:id="rId1858" xr:uid="{00000000-0004-0000-0100-000041070000}"/>
    <hyperlink ref="V227" r:id="rId1859" xr:uid="{00000000-0004-0000-0100-000042070000}"/>
    <hyperlink ref="W227" r:id="rId1860" xr:uid="{00000000-0004-0000-0100-000043070000}"/>
    <hyperlink ref="B228" r:id="rId1861" xr:uid="{00000000-0004-0000-0100-000044070000}"/>
    <hyperlink ref="D228" r:id="rId1862" xr:uid="{00000000-0004-0000-0100-000045070000}"/>
    <hyperlink ref="E228" r:id="rId1863" xr:uid="{00000000-0004-0000-0100-000046070000}"/>
    <hyperlink ref="V228" r:id="rId1864" xr:uid="{00000000-0004-0000-0100-000047070000}"/>
    <hyperlink ref="W228" r:id="rId1865" xr:uid="{00000000-0004-0000-0100-000048070000}"/>
    <hyperlink ref="B229" r:id="rId1866" xr:uid="{00000000-0004-0000-0100-000049070000}"/>
    <hyperlink ref="D229" r:id="rId1867" xr:uid="{00000000-0004-0000-0100-00004A070000}"/>
    <hyperlink ref="E229" r:id="rId1868" xr:uid="{00000000-0004-0000-0100-00004B070000}"/>
    <hyperlink ref="B230" r:id="rId1869" xr:uid="{00000000-0004-0000-0100-00004C070000}"/>
    <hyperlink ref="D230" r:id="rId1870" xr:uid="{00000000-0004-0000-0100-00004D070000}"/>
    <hyperlink ref="E230" r:id="rId1871" xr:uid="{00000000-0004-0000-0100-00004E070000}"/>
    <hyperlink ref="B231" r:id="rId1872" xr:uid="{00000000-0004-0000-0100-00004F070000}"/>
    <hyperlink ref="D231" r:id="rId1873" xr:uid="{00000000-0004-0000-0100-000050070000}"/>
    <hyperlink ref="E231" r:id="rId1874" xr:uid="{00000000-0004-0000-0100-000051070000}"/>
    <hyperlink ref="B232" r:id="rId1875" xr:uid="{00000000-0004-0000-0100-000052070000}"/>
    <hyperlink ref="D232" r:id="rId1876" xr:uid="{00000000-0004-0000-0100-000053070000}"/>
    <hyperlink ref="E232" r:id="rId1877" xr:uid="{00000000-0004-0000-0100-000054070000}"/>
    <hyperlink ref="B233" r:id="rId1878" xr:uid="{00000000-0004-0000-0100-000055070000}"/>
    <hyperlink ref="D233" r:id="rId1879" xr:uid="{00000000-0004-0000-0100-000056070000}"/>
    <hyperlink ref="E233" r:id="rId1880" xr:uid="{00000000-0004-0000-0100-000057070000}"/>
    <hyperlink ref="B234" r:id="rId1881" xr:uid="{00000000-0004-0000-0100-000058070000}"/>
    <hyperlink ref="D234" r:id="rId1882" xr:uid="{00000000-0004-0000-0100-000059070000}"/>
    <hyperlink ref="E234" r:id="rId1883" xr:uid="{00000000-0004-0000-0100-00005A070000}"/>
    <hyperlink ref="B235" r:id="rId1884" xr:uid="{00000000-0004-0000-0100-00005B070000}"/>
    <hyperlink ref="D235" r:id="rId1885" xr:uid="{00000000-0004-0000-0100-00005C070000}"/>
    <hyperlink ref="E235" r:id="rId1886" xr:uid="{00000000-0004-0000-0100-00005D070000}"/>
    <hyperlink ref="V235" r:id="rId1887" xr:uid="{00000000-0004-0000-0100-00005E070000}"/>
    <hyperlink ref="W235" r:id="rId1888" xr:uid="{00000000-0004-0000-0100-00005F070000}"/>
    <hyperlink ref="B236" r:id="rId1889" xr:uid="{00000000-0004-0000-0100-000060070000}"/>
    <hyperlink ref="D236" r:id="rId1890" xr:uid="{00000000-0004-0000-0100-000061070000}"/>
    <hyperlink ref="E236" r:id="rId1891" xr:uid="{00000000-0004-0000-0100-000062070000}"/>
    <hyperlink ref="V236" r:id="rId1892" xr:uid="{00000000-0004-0000-0100-000063070000}"/>
    <hyperlink ref="W236" r:id="rId1893" xr:uid="{00000000-0004-0000-0100-000064070000}"/>
    <hyperlink ref="B237" r:id="rId1894" xr:uid="{00000000-0004-0000-0100-000065070000}"/>
    <hyperlink ref="D237" r:id="rId1895" xr:uid="{00000000-0004-0000-0100-000066070000}"/>
    <hyperlink ref="E237" r:id="rId1896" xr:uid="{00000000-0004-0000-0100-000067070000}"/>
    <hyperlink ref="V237" r:id="rId1897" xr:uid="{00000000-0004-0000-0100-000068070000}"/>
    <hyperlink ref="W237" r:id="rId1898" xr:uid="{00000000-0004-0000-0100-000069070000}"/>
    <hyperlink ref="B238" r:id="rId1899" xr:uid="{00000000-0004-0000-0100-00006A070000}"/>
    <hyperlink ref="D238" r:id="rId1900" xr:uid="{00000000-0004-0000-0100-00006B070000}"/>
    <hyperlink ref="E238" r:id="rId1901" xr:uid="{00000000-0004-0000-0100-00006C070000}"/>
    <hyperlink ref="B239" r:id="rId1902" xr:uid="{00000000-0004-0000-0100-00006D070000}"/>
    <hyperlink ref="D239" r:id="rId1903" xr:uid="{00000000-0004-0000-0100-00006E070000}"/>
    <hyperlink ref="E239" r:id="rId1904" xr:uid="{00000000-0004-0000-0100-00006F070000}"/>
    <hyperlink ref="V239" r:id="rId1905" xr:uid="{00000000-0004-0000-0100-000070070000}"/>
    <hyperlink ref="W239" r:id="rId1906" xr:uid="{00000000-0004-0000-0100-000071070000}"/>
    <hyperlink ref="B240" r:id="rId1907" xr:uid="{00000000-0004-0000-0100-000072070000}"/>
    <hyperlink ref="D240" r:id="rId1908" xr:uid="{00000000-0004-0000-0100-000073070000}"/>
    <hyperlink ref="E240" r:id="rId1909" xr:uid="{00000000-0004-0000-0100-000074070000}"/>
    <hyperlink ref="B241" r:id="rId1910" xr:uid="{00000000-0004-0000-0100-000075070000}"/>
    <hyperlink ref="D241" r:id="rId1911" xr:uid="{00000000-0004-0000-0100-000076070000}"/>
    <hyperlink ref="E241" r:id="rId1912" xr:uid="{00000000-0004-0000-0100-000077070000}"/>
    <hyperlink ref="B242" r:id="rId1913" xr:uid="{00000000-0004-0000-0100-000078070000}"/>
    <hyperlink ref="D242" r:id="rId1914" xr:uid="{00000000-0004-0000-0100-000079070000}"/>
    <hyperlink ref="E242" r:id="rId1915" xr:uid="{00000000-0004-0000-0100-00007A070000}"/>
    <hyperlink ref="B243" r:id="rId1916" xr:uid="{00000000-0004-0000-0100-00007B070000}"/>
    <hyperlink ref="D243" r:id="rId1917" xr:uid="{00000000-0004-0000-0100-00007C070000}"/>
    <hyperlink ref="E243" r:id="rId1918" xr:uid="{00000000-0004-0000-0100-00007D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Agents</vt:lpstr>
      <vt:lpstr>Feuille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KNAYZEH</cp:lastModifiedBy>
  <dcterms:created xsi:type="dcterms:W3CDTF">2025-12-24T10:29:24Z</dcterms:created>
  <dcterms:modified xsi:type="dcterms:W3CDTF">2025-12-24T10:29:24Z</dcterms:modified>
</cp:coreProperties>
</file>